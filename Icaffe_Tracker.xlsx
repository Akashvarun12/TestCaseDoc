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0" yWindow="30" windowWidth="15600" windowHeight="10770"/>
  </bookViews>
  <sheets>
    <sheet name="ICaffeMaster_Tracker" sheetId="1" r:id="rId1"/>
  </sheets>
  <definedNames>
    <definedName name="_xlnm._FilterDatabase" localSheetId="0" hidden="1">ICaffeMaster_Tracker!$A$1:$S$10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Q14" i="1"/>
  <c r="Q13" i="1"/>
  <c r="Q12" i="1" l="1"/>
  <c r="Q11" i="1"/>
  <c r="Q7" i="1" l="1"/>
  <c r="Q2" i="1"/>
  <c r="Q3" i="1"/>
  <c r="Q10" i="1" l="1"/>
  <c r="Q9" i="1"/>
  <c r="Q8" i="1"/>
  <c r="Q6" i="1"/>
  <c r="Q5" i="1"/>
  <c r="Q4" i="1"/>
</calcChain>
</file>

<file path=xl/sharedStrings.xml><?xml version="1.0" encoding="utf-8"?>
<sst xmlns="http://schemas.openxmlformats.org/spreadsheetml/2006/main" count="136" uniqueCount="78">
  <si>
    <t>MODULES</t>
  </si>
  <si>
    <t>SUB-MODULES</t>
  </si>
  <si>
    <t>TOTAL TC</t>
  </si>
  <si>
    <t>REMARKS</t>
  </si>
  <si>
    <t>REFERENCE SHEET NAME</t>
  </si>
  <si>
    <t xml:space="preserve">51+                                        36=87                      </t>
  </si>
  <si>
    <t>64+              36=100</t>
  </si>
  <si>
    <t>Akash varun</t>
  </si>
  <si>
    <t>TESTER Name</t>
  </si>
  <si>
    <t>Consignee</t>
  </si>
  <si>
    <t>ShipLine                                            ShipLine_ContactDetails</t>
  </si>
  <si>
    <t>Sub_Agent                                        SubAgent_ContactDetails</t>
  </si>
  <si>
    <t>Overseas_Agent                     OverSeasAgent_ContactDetails</t>
  </si>
  <si>
    <t>IATA_Agent                   IATAAgent_ContactDetails</t>
  </si>
  <si>
    <t>Vendor_Master</t>
  </si>
  <si>
    <t>REVIEWED BY</t>
  </si>
  <si>
    <t>Sudhir kumar sinha</t>
  </si>
  <si>
    <t>REVIEWED DATE</t>
  </si>
  <si>
    <t>56+          38=94</t>
  </si>
  <si>
    <t>37 +          39 = 76</t>
  </si>
  <si>
    <t>START DATE</t>
  </si>
  <si>
    <t>04-08-2025         08-08-2025      11-08-2025</t>
  </si>
  <si>
    <t>20-08-2025     30-08-2025</t>
  </si>
  <si>
    <t>10-09-2025      10-09-2025</t>
  </si>
  <si>
    <t>02-09-2025     05-09-2025</t>
  </si>
  <si>
    <t>23-09-2025     10-09-2025</t>
  </si>
  <si>
    <t>06-09-2025    11-09-2025</t>
  </si>
  <si>
    <t>24-09-2025     24-09-2025</t>
  </si>
  <si>
    <t>12-09-2025    15-09-2025</t>
  </si>
  <si>
    <t>08-12-2025                         13-08-2025     08-09-2025</t>
  </si>
  <si>
    <t>STATUS</t>
  </si>
  <si>
    <t>Completed</t>
  </si>
  <si>
    <t>Pending</t>
  </si>
  <si>
    <t>FILE HYPERLINK NAME</t>
  </si>
  <si>
    <t>END DATE</t>
  </si>
  <si>
    <t>COUNT LOGED IN JIRA</t>
  </si>
  <si>
    <t>COUNT BUG FIXED</t>
  </si>
  <si>
    <t>The IEC number is classified as Government and has been accepted as a duplicate data entry in the master record.</t>
  </si>
  <si>
    <t>For foreign countries, the PIN code has been accepted as a string (alphanumeric) value.</t>
  </si>
  <si>
    <t>COUNT PASS TC</t>
  </si>
  <si>
    <t>COUNT FAIL TC</t>
  </si>
  <si>
    <t>COUNT HOLD</t>
  </si>
  <si>
    <t>SL No.</t>
  </si>
  <si>
    <t>Party-&gt;Consignee</t>
  </si>
  <si>
    <t>Party-&gt;Sub Agent
Party-&gt;Contact Details</t>
  </si>
  <si>
    <t>Party-&gt;ShipLine
Party-&gt;Contact Details</t>
  </si>
  <si>
    <t>Party-&gt;IATA Agent
Party-&gt; Contact Details</t>
  </si>
  <si>
    <t>Party-&gt;Vendor Master</t>
  </si>
  <si>
    <t>Master</t>
  </si>
  <si>
    <t>15 (1 Dupliacte Bug ID used - 74)</t>
  </si>
  <si>
    <t>Overseas Agent (Inward RCM)</t>
  </si>
  <si>
    <t>Service Invoice</t>
  </si>
  <si>
    <t>ServiceInvoice_Search</t>
  </si>
  <si>
    <t xml:space="preserve"> </t>
  </si>
  <si>
    <t>ServiceInvoice_Print</t>
  </si>
  <si>
    <t>Operation</t>
  </si>
  <si>
    <t>Overseas Agent (Inward RCM)
Tab As-
1. Over Seas Invoice Inward (Reverse Charge
2. Search</t>
  </si>
  <si>
    <t>Party-&gt;Overseas Agent                     
Party-&gt;Contact Details</t>
  </si>
  <si>
    <t>Party-&gt;Exporter
Tab As-
1. Shipper
2. Other Details
3. Contact Details</t>
  </si>
  <si>
    <t>1. Shipper
2. Shipper_OtherDetails
3. Shipper_ContactDeteails</t>
  </si>
  <si>
    <t>GST Invoice-&gt;Service-&gt; Service Invoice&gt;</t>
  </si>
  <si>
    <t>GST Invoice-&gt;Service-&gt; Search</t>
  </si>
  <si>
    <t>GST Invoice-&gt;Service-&gt;Print</t>
  </si>
  <si>
    <t>BUG FIXED BY</t>
  </si>
  <si>
    <t>Pooja</t>
  </si>
  <si>
    <t>2 (Pending: Page not responsive; Excel Upload button is hidden (discussed with dev team))</t>
  </si>
  <si>
    <t>Party-&gt;Exporter
Tab As-
1. Shipper</t>
  </si>
  <si>
    <t>HOLD</t>
  </si>
  <si>
    <t>1. Shipper</t>
  </si>
  <si>
    <t>67+               9+                30 
Hold (2)=108</t>
  </si>
  <si>
    <t xml:space="preserve">Party-&gt;Overseas Agent                     
</t>
  </si>
  <si>
    <t>46(15 Duplicate Bug ID used due to the same issue occurring.e) -  212,192,199,175,210,205,203)</t>
  </si>
  <si>
    <t>26(3 Duplicate Bug ID used due to the same issue occurring. - 345,334,286)</t>
  </si>
  <si>
    <t>GST Invoice-&gt;Reimbursable-&gt;ReimbursableInvoice</t>
  </si>
  <si>
    <t>2 (Pending: Page not responsive)</t>
  </si>
  <si>
    <t>Reimbursable_Invoice</t>
  </si>
  <si>
    <t>working</t>
  </si>
  <si>
    <t>22(4 Duplicate Bug ID used due to the same issue occurring. - 423,199,200,212,277,192,201,204,195,192)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</si>
</sst>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5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/>
    </xf>
    <xf numFmtId="0" fontId="1" fillId="2" borderId="1" xfId="1" applyAlignment="1">
      <alignment horizontal="left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top" wrapText="1"/>
    </xf>
    <xf numFmtId="14" fontId="2" fillId="0" borderId="2" xfId="0" applyNumberFormat="1" applyFont="1" applyBorder="1" applyAlignment="1">
      <alignment horizontal="left" vertical="top" wrapText="1"/>
    </xf>
    <xf numFmtId="0" fontId="1" fillId="2" borderId="1" xfId="1" applyAlignment="1">
      <alignment horizontal="left" vertical="top"/>
    </xf>
    <xf numFmtId="0" fontId="0" fillId="0" borderId="4" xfId="0" applyBorder="1"/>
    <xf numFmtId="0" fontId="2" fillId="0" borderId="5" xfId="0" applyFont="1" applyBorder="1" applyAlignment="1">
      <alignment horizontal="left" vertical="top" wrapText="1"/>
    </xf>
    <xf numFmtId="0" fontId="1" fillId="2" borderId="6" xfId="1" applyBorder="1" applyAlignment="1">
      <alignment horizontal="left"/>
    </xf>
    <xf numFmtId="14" fontId="4" fillId="0" borderId="2" xfId="0" applyNumberFormat="1" applyFont="1" applyBorder="1" applyAlignment="1">
      <alignment horizontal="left" vertical="top" wrapText="1"/>
    </xf>
    <xf numFmtId="14" fontId="3" fillId="0" borderId="2" xfId="0" applyNumberFormat="1" applyFont="1" applyBorder="1" applyAlignment="1">
      <alignment horizontal="left" vertical="top" wrapText="1"/>
    </xf>
    <xf numFmtId="14" fontId="2" fillId="0" borderId="3" xfId="0" applyNumberFormat="1" applyFont="1" applyBorder="1" applyAlignment="1">
      <alignment horizontal="left" vertical="top" wrapText="1"/>
    </xf>
    <xf numFmtId="0" fontId="2" fillId="0" borderId="4" xfId="0" applyFont="1" applyBorder="1" applyAlignment="1">
      <alignment vertical="top" wrapText="1"/>
    </xf>
    <xf numFmtId="0" fontId="0" fillId="3" borderId="0" xfId="0" applyFill="1" applyAlignment="1">
      <alignment horizontal="left"/>
    </xf>
    <xf numFmtId="0" fontId="2" fillId="0" borderId="4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14" fontId="3" fillId="0" borderId="2" xfId="0" applyNumberFormat="1" applyFont="1" applyBorder="1" applyAlignment="1">
      <alignment horizontal="left" vertical="top"/>
    </xf>
    <xf numFmtId="14" fontId="3" fillId="0" borderId="7" xfId="0" applyNumberFormat="1" applyFont="1" applyBorder="1" applyAlignment="1">
      <alignment horizontal="left" vertical="top"/>
    </xf>
    <xf numFmtId="14" fontId="2" fillId="0" borderId="7" xfId="0" applyNumberFormat="1" applyFont="1" applyBorder="1" applyAlignment="1">
      <alignment horizontal="left" vertical="top"/>
    </xf>
    <xf numFmtId="0" fontId="0" fillId="0" borderId="4" xfId="0" applyBorder="1" applyAlignment="1">
      <alignment horizontal="left"/>
    </xf>
    <xf numFmtId="14" fontId="2" fillId="0" borderId="7" xfId="0" applyNumberFormat="1" applyFont="1" applyBorder="1" applyAlignment="1">
      <alignment horizontal="left" vertical="top" wrapText="1"/>
    </xf>
    <xf numFmtId="0" fontId="5" fillId="0" borderId="8" xfId="2" applyFill="1" applyBorder="1" applyAlignment="1">
      <alignment horizontal="left" vertical="top" wrapText="1"/>
    </xf>
    <xf numFmtId="14" fontId="0" fillId="0" borderId="4" xfId="0" applyNumberFormat="1" applyBorder="1" applyAlignment="1">
      <alignment horizontal="left" vertical="top" wrapText="1"/>
    </xf>
    <xf numFmtId="0" fontId="5" fillId="0" borderId="10" xfId="2" applyBorder="1" applyAlignment="1">
      <alignment horizontal="left" vertical="top" wrapText="1"/>
    </xf>
    <xf numFmtId="0" fontId="2" fillId="0" borderId="9" xfId="0" applyFont="1" applyBorder="1" applyAlignment="1">
      <alignment vertical="top" wrapText="1"/>
    </xf>
    <xf numFmtId="0" fontId="0" fillId="0" borderId="4" xfId="0" applyBorder="1" applyAlignment="1">
      <alignment horizontal="left" vertical="top"/>
    </xf>
    <xf numFmtId="0" fontId="5" fillId="0" borderId="11" xfId="2" applyBorder="1" applyAlignment="1">
      <alignment horizontal="left" vertical="top" wrapText="1"/>
    </xf>
    <xf numFmtId="0" fontId="5" fillId="0" borderId="12" xfId="2" applyBorder="1" applyAlignment="1">
      <alignment horizontal="left" vertical="top" wrapText="1"/>
    </xf>
    <xf numFmtId="0" fontId="5" fillId="0" borderId="13" xfId="2" applyBorder="1" applyAlignment="1">
      <alignment horizontal="left" vertical="top" wrapText="1"/>
    </xf>
    <xf numFmtId="0" fontId="5" fillId="0" borderId="14" xfId="2" applyBorder="1" applyAlignment="1">
      <alignment horizontal="left" vertical="top" wrapText="1"/>
    </xf>
    <xf numFmtId="0" fontId="6" fillId="0" borderId="4" xfId="0" applyFont="1" applyBorder="1" applyAlignment="1">
      <alignment vertical="top" wrapText="1"/>
    </xf>
    <xf numFmtId="0" fontId="2" fillId="0" borderId="15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Fill="1" applyBorder="1" applyAlignment="1">
      <alignment horizontal="left" vertical="top" wrapText="1"/>
    </xf>
    <xf numFmtId="14" fontId="3" fillId="0" borderId="7" xfId="0" applyNumberFormat="1" applyFont="1" applyBorder="1" applyAlignment="1">
      <alignment horizontal="left" vertical="top" wrapText="1"/>
    </xf>
    <xf numFmtId="0" fontId="5" fillId="0" borderId="16" xfId="2" applyBorder="1" applyAlignment="1">
      <alignment horizontal="left" vertical="top" wrapText="1"/>
    </xf>
    <xf numFmtId="0" fontId="5" fillId="0" borderId="4" xfId="2" applyBorder="1" applyAlignment="1">
      <alignment horizontal="left" vertical="top"/>
    </xf>
    <xf numFmtId="0" fontId="0" fillId="0" borderId="4" xfId="0" applyFill="1" applyBorder="1" applyAlignment="1">
      <alignment horizontal="left" vertical="top"/>
    </xf>
    <xf numFmtId="0" fontId="0" fillId="0" borderId="4" xfId="0" applyBorder="1" applyAlignment="1">
      <alignment horizontal="left" vertical="top" wrapText="1"/>
    </xf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"/>
  <sheetViews>
    <sheetView tabSelected="1" zoomScale="86" zoomScaleNormal="86" workbookViewId="0">
      <pane ySplit="1" topLeftCell="A11" activePane="bottomLeft" state="frozen"/>
      <selection activeCell="B1" sqref="B1"/>
      <selection pane="bottomLeft" activeCell="G15" sqref="G15"/>
    </sheetView>
  </sheetViews>
  <sheetFormatPr defaultRowHeight="15" x14ac:dyDescent="0.25"/>
  <cols>
    <col min="2" max="2" width="15.28515625" customWidth="1"/>
    <col min="3" max="3" width="29.140625" customWidth="1"/>
    <col min="5" max="5" width="16.85546875" customWidth="1"/>
    <col min="6" max="6" width="17.42578125" customWidth="1"/>
    <col min="7" max="7" width="12.85546875" customWidth="1"/>
    <col min="8" max="8" width="22" customWidth="1"/>
    <col min="9" max="9" width="18.42578125" customWidth="1"/>
    <col min="10" max="10" width="12.85546875" bestFit="1" customWidth="1"/>
    <col min="11" max="12" width="11.42578125" bestFit="1" customWidth="1"/>
    <col min="13" max="13" width="17.42578125" customWidth="1"/>
    <col min="14" max="14" width="10.7109375" customWidth="1"/>
    <col min="15" max="15" width="25.28515625" bestFit="1" customWidth="1"/>
    <col min="16" max="16" width="25.7109375" bestFit="1" customWidth="1"/>
    <col min="17" max="17" width="21" bestFit="1" customWidth="1"/>
    <col min="18" max="18" width="12.7109375" customWidth="1"/>
    <col min="19" max="19" width="15.28515625" bestFit="1" customWidth="1"/>
  </cols>
  <sheetData>
    <row r="1" spans="1:19" x14ac:dyDescent="0.25">
      <c r="A1" s="16" t="s">
        <v>42</v>
      </c>
      <c r="B1" s="11" t="s">
        <v>0</v>
      </c>
      <c r="C1" s="2" t="s">
        <v>1</v>
      </c>
      <c r="D1" s="2" t="s">
        <v>2</v>
      </c>
      <c r="E1" s="2" t="s">
        <v>39</v>
      </c>
      <c r="F1" s="2" t="s">
        <v>40</v>
      </c>
      <c r="G1" s="2" t="s">
        <v>41</v>
      </c>
      <c r="H1" s="2" t="s">
        <v>35</v>
      </c>
      <c r="I1" s="2" t="s">
        <v>36</v>
      </c>
      <c r="J1" s="8" t="s">
        <v>8</v>
      </c>
      <c r="K1" s="2" t="s">
        <v>20</v>
      </c>
      <c r="L1" s="2" t="s">
        <v>34</v>
      </c>
      <c r="M1" s="2" t="s">
        <v>63</v>
      </c>
      <c r="N1" s="2" t="s">
        <v>30</v>
      </c>
      <c r="O1" s="2" t="s">
        <v>3</v>
      </c>
      <c r="P1" s="2" t="s">
        <v>4</v>
      </c>
      <c r="Q1" s="2" t="s">
        <v>33</v>
      </c>
      <c r="R1" s="11" t="s">
        <v>15</v>
      </c>
      <c r="S1" s="11" t="s">
        <v>17</v>
      </c>
    </row>
    <row r="2" spans="1:19" ht="76.5" customHeight="1" x14ac:dyDescent="0.25">
      <c r="A2" s="28">
        <v>1</v>
      </c>
      <c r="B2" s="15" t="s">
        <v>48</v>
      </c>
      <c r="C2" s="10" t="s">
        <v>58</v>
      </c>
      <c r="D2" s="4" t="s">
        <v>69</v>
      </c>
      <c r="E2" s="5">
        <v>85</v>
      </c>
      <c r="F2" s="5">
        <v>22</v>
      </c>
      <c r="G2" s="4"/>
      <c r="H2" s="5">
        <v>22</v>
      </c>
      <c r="I2" s="3">
        <v>20</v>
      </c>
      <c r="J2" s="4" t="s">
        <v>7</v>
      </c>
      <c r="K2" s="13" t="s">
        <v>21</v>
      </c>
      <c r="L2" s="7" t="s">
        <v>29</v>
      </c>
      <c r="M2" s="7" t="s">
        <v>64</v>
      </c>
      <c r="N2" s="3" t="s">
        <v>31</v>
      </c>
      <c r="O2" s="4" t="s">
        <v>37</v>
      </c>
      <c r="P2" s="7" t="s">
        <v>59</v>
      </c>
      <c r="Q2" s="29" t="str">
        <f>HYPERLINK("[Icaffe_Export Sea_Masters Test Cases.xlsx]Shipper!A1","Go to Shipper")</f>
        <v>Go to Shipper</v>
      </c>
      <c r="R2" s="33" t="s">
        <v>16</v>
      </c>
      <c r="S2" s="9"/>
    </row>
    <row r="3" spans="1:19" ht="78" customHeight="1" x14ac:dyDescent="0.25">
      <c r="A3" s="28">
        <v>2</v>
      </c>
      <c r="B3" s="15" t="s">
        <v>48</v>
      </c>
      <c r="C3" s="10" t="s">
        <v>66</v>
      </c>
      <c r="D3" s="4">
        <v>2</v>
      </c>
      <c r="E3" s="5"/>
      <c r="F3" s="5">
        <v>2</v>
      </c>
      <c r="G3" s="4">
        <v>2</v>
      </c>
      <c r="H3" s="5">
        <v>2</v>
      </c>
      <c r="I3" s="3"/>
      <c r="J3" s="4" t="s">
        <v>7</v>
      </c>
      <c r="K3" s="13">
        <v>45873</v>
      </c>
      <c r="L3" s="7"/>
      <c r="M3" s="7" t="s">
        <v>64</v>
      </c>
      <c r="N3" s="3" t="s">
        <v>67</v>
      </c>
      <c r="O3" s="4" t="s">
        <v>65</v>
      </c>
      <c r="P3" s="7" t="s">
        <v>68</v>
      </c>
      <c r="Q3" s="29" t="str">
        <f>HYPERLINK("[Icaffe_Export Sea_Masters Test Cases.xlsx]Shipper!A1","Go to Shipper")</f>
        <v>Go to Shipper</v>
      </c>
      <c r="R3" s="33" t="s">
        <v>16</v>
      </c>
      <c r="S3" s="9"/>
    </row>
    <row r="4" spans="1:19" ht="47.25" customHeight="1" x14ac:dyDescent="0.25">
      <c r="A4" s="28">
        <v>3</v>
      </c>
      <c r="B4" s="15" t="s">
        <v>48</v>
      </c>
      <c r="C4" s="10" t="s">
        <v>43</v>
      </c>
      <c r="D4" s="3">
        <v>44</v>
      </c>
      <c r="E4" s="3">
        <v>36</v>
      </c>
      <c r="F4" s="3">
        <v>8</v>
      </c>
      <c r="G4" s="3"/>
      <c r="H4" s="3">
        <v>8</v>
      </c>
      <c r="I4" s="3">
        <v>8</v>
      </c>
      <c r="J4" s="4" t="s">
        <v>7</v>
      </c>
      <c r="K4" s="12">
        <v>45882</v>
      </c>
      <c r="L4" s="7">
        <v>45911</v>
      </c>
      <c r="M4" s="7" t="s">
        <v>64</v>
      </c>
      <c r="N4" s="3" t="s">
        <v>31</v>
      </c>
      <c r="O4" s="4" t="s">
        <v>38</v>
      </c>
      <c r="P4" s="3" t="s">
        <v>9</v>
      </c>
      <c r="Q4" s="29" t="str">
        <f>HYPERLINK("[Icaffe_Export Sea_Masters Test Cases.xlsx]Consignee!A1","Go to Consignee")</f>
        <v>Go to Consignee</v>
      </c>
      <c r="R4" s="33" t="s">
        <v>16</v>
      </c>
      <c r="S4" s="9"/>
    </row>
    <row r="5" spans="1:19" ht="47.25" customHeight="1" x14ac:dyDescent="0.25">
      <c r="A5" s="28">
        <v>4</v>
      </c>
      <c r="B5" s="15" t="s">
        <v>48</v>
      </c>
      <c r="C5" s="10" t="s">
        <v>44</v>
      </c>
      <c r="D5" s="3" t="s">
        <v>18</v>
      </c>
      <c r="E5" s="3">
        <v>79</v>
      </c>
      <c r="F5" s="3">
        <v>15</v>
      </c>
      <c r="G5" s="3"/>
      <c r="H5" s="3">
        <v>15</v>
      </c>
      <c r="I5" s="3">
        <v>15</v>
      </c>
      <c r="J5" s="4" t="s">
        <v>7</v>
      </c>
      <c r="K5" s="13" t="s">
        <v>22</v>
      </c>
      <c r="L5" s="7" t="s">
        <v>23</v>
      </c>
      <c r="M5" s="7" t="s">
        <v>64</v>
      </c>
      <c r="N5" s="3" t="s">
        <v>31</v>
      </c>
      <c r="O5" s="6"/>
      <c r="P5" s="3" t="s">
        <v>11</v>
      </c>
      <c r="Q5" s="30" t="str">
        <f>HYPERLINK("[Icaffe_Export Sea_Masters Test Cases.xlsx]Sub_Agent!A1","Go to Sub_Agent")</f>
        <v>Go to Sub_Agent</v>
      </c>
      <c r="R5" s="33" t="s">
        <v>16</v>
      </c>
      <c r="S5" s="9"/>
    </row>
    <row r="6" spans="1:19" ht="60.75" customHeight="1" x14ac:dyDescent="0.25">
      <c r="A6" s="28">
        <v>5</v>
      </c>
      <c r="B6" s="15" t="s">
        <v>48</v>
      </c>
      <c r="C6" s="10" t="s">
        <v>57</v>
      </c>
      <c r="D6" s="3" t="s">
        <v>5</v>
      </c>
      <c r="E6" s="3">
        <v>63</v>
      </c>
      <c r="F6" s="3">
        <v>24</v>
      </c>
      <c r="G6" s="3"/>
      <c r="H6" s="3">
        <v>24</v>
      </c>
      <c r="I6" s="3">
        <v>22</v>
      </c>
      <c r="J6" s="4" t="s">
        <v>7</v>
      </c>
      <c r="K6" s="13" t="s">
        <v>24</v>
      </c>
      <c r="L6" s="7" t="s">
        <v>25</v>
      </c>
      <c r="M6" s="7" t="s">
        <v>64</v>
      </c>
      <c r="N6" s="3" t="s">
        <v>31</v>
      </c>
      <c r="O6" s="6"/>
      <c r="P6" s="3" t="s">
        <v>12</v>
      </c>
      <c r="Q6" s="31" t="str">
        <f>HYPERLINK("[Icaffe_Export Sea_Masters Test Cases.xlsx]OverSeas_Agent!A1","Go to OverSeas_Agent")</f>
        <v>Go to OverSeas_Agent</v>
      </c>
      <c r="R6" s="33" t="s">
        <v>16</v>
      </c>
      <c r="S6" s="9"/>
    </row>
    <row r="7" spans="1:19" ht="59.25" customHeight="1" x14ac:dyDescent="0.25">
      <c r="A7" s="28">
        <v>5</v>
      </c>
      <c r="B7" s="15" t="s">
        <v>48</v>
      </c>
      <c r="C7" s="10" t="s">
        <v>70</v>
      </c>
      <c r="D7" s="3">
        <v>2</v>
      </c>
      <c r="E7" s="3"/>
      <c r="F7" s="3">
        <v>2</v>
      </c>
      <c r="G7" s="3">
        <v>2</v>
      </c>
      <c r="H7" s="3">
        <v>2</v>
      </c>
      <c r="I7" s="3">
        <v>2</v>
      </c>
      <c r="J7" s="4" t="s">
        <v>7</v>
      </c>
      <c r="K7" s="13">
        <v>45902</v>
      </c>
      <c r="L7" s="7"/>
      <c r="M7" s="7" t="s">
        <v>64</v>
      </c>
      <c r="N7" s="3" t="s">
        <v>67</v>
      </c>
      <c r="O7" s="4" t="s">
        <v>74</v>
      </c>
      <c r="P7" s="3" t="s">
        <v>12</v>
      </c>
      <c r="Q7" s="31" t="str">
        <f>HYPERLINK("[Icaffe_Export Sea_Masters Test Cases.xlsx]OverSeas_Agent!A1","Go to OverSeas_Agent")</f>
        <v>Go to OverSeas_Agent</v>
      </c>
      <c r="R7" s="33" t="s">
        <v>16</v>
      </c>
      <c r="S7" s="9"/>
    </row>
    <row r="8" spans="1:19" ht="61.5" customHeight="1" x14ac:dyDescent="0.25">
      <c r="A8" s="28">
        <v>5</v>
      </c>
      <c r="B8" s="15" t="s">
        <v>48</v>
      </c>
      <c r="C8" s="10" t="s">
        <v>45</v>
      </c>
      <c r="D8" s="3" t="s">
        <v>6</v>
      </c>
      <c r="E8" s="3">
        <v>77</v>
      </c>
      <c r="F8" s="3">
        <v>23</v>
      </c>
      <c r="G8" s="3"/>
      <c r="H8" s="3">
        <v>23</v>
      </c>
      <c r="I8" s="3">
        <v>23</v>
      </c>
      <c r="J8" s="4" t="s">
        <v>7</v>
      </c>
      <c r="K8" s="13" t="s">
        <v>26</v>
      </c>
      <c r="L8" s="7" t="s">
        <v>27</v>
      </c>
      <c r="M8" s="7" t="s">
        <v>64</v>
      </c>
      <c r="N8" s="3" t="s">
        <v>31</v>
      </c>
      <c r="O8" s="4"/>
      <c r="P8" s="3" t="s">
        <v>10</v>
      </c>
      <c r="Q8" s="30" t="str">
        <f>HYPERLINK("[Icaffe_Export Sea_Masters Test Cases.xlsx]ShipLine!A1","Go to ShipLine")</f>
        <v>Go to ShipLine</v>
      </c>
      <c r="R8" s="33" t="s">
        <v>16</v>
      </c>
      <c r="S8" s="9"/>
    </row>
    <row r="9" spans="1:19" ht="49.5" customHeight="1" x14ac:dyDescent="0.25">
      <c r="A9" s="28">
        <v>6</v>
      </c>
      <c r="B9" s="15" t="s">
        <v>48</v>
      </c>
      <c r="C9" s="10" t="s">
        <v>46</v>
      </c>
      <c r="D9" s="3" t="s">
        <v>19</v>
      </c>
      <c r="E9" s="3">
        <v>66</v>
      </c>
      <c r="F9" s="3">
        <v>10</v>
      </c>
      <c r="G9" s="3"/>
      <c r="H9" s="3">
        <v>10</v>
      </c>
      <c r="I9" s="3">
        <v>10</v>
      </c>
      <c r="J9" s="4" t="s">
        <v>7</v>
      </c>
      <c r="K9" s="13" t="s">
        <v>28</v>
      </c>
      <c r="L9" s="7" t="s">
        <v>27</v>
      </c>
      <c r="M9" s="7" t="s">
        <v>64</v>
      </c>
      <c r="N9" s="3" t="s">
        <v>31</v>
      </c>
      <c r="O9" s="6"/>
      <c r="P9" s="3" t="s">
        <v>13</v>
      </c>
      <c r="Q9" s="30" t="str">
        <f>HYPERLINK("[Icaffe_Export Sea_Masters Test Cases.xlsx]IATA_Agent!A1","Go to IATA_Agent")</f>
        <v>Go to IATA_Agent</v>
      </c>
      <c r="R9" s="33" t="s">
        <v>16</v>
      </c>
      <c r="S9" s="9"/>
    </row>
    <row r="10" spans="1:19" s="1" customFormat="1" ht="76.5" customHeight="1" x14ac:dyDescent="0.25">
      <c r="A10" s="28">
        <v>7</v>
      </c>
      <c r="B10" s="15" t="s">
        <v>48</v>
      </c>
      <c r="C10" s="10" t="s">
        <v>47</v>
      </c>
      <c r="D10" s="3">
        <v>75</v>
      </c>
      <c r="E10" s="3">
        <v>65</v>
      </c>
      <c r="F10" s="3">
        <v>10</v>
      </c>
      <c r="G10" s="3"/>
      <c r="H10" s="3">
        <v>10</v>
      </c>
      <c r="I10" s="3">
        <v>7</v>
      </c>
      <c r="J10" s="4" t="s">
        <v>7</v>
      </c>
      <c r="K10" s="13">
        <v>45922</v>
      </c>
      <c r="L10" s="14"/>
      <c r="M10" s="7" t="s">
        <v>64</v>
      </c>
      <c r="N10" s="3" t="s">
        <v>32</v>
      </c>
      <c r="O10" s="6"/>
      <c r="P10" s="3" t="s">
        <v>14</v>
      </c>
      <c r="Q10" s="32" t="str">
        <f>HYPERLINK("[Icaffe_Export Sea_Masters Test Cases.xlsx]Vendor_Master!A1","Go to Vendor_Master")</f>
        <v>Go to Vendor_Master</v>
      </c>
      <c r="R10" s="33" t="s">
        <v>16</v>
      </c>
      <c r="S10" s="9"/>
    </row>
    <row r="11" spans="1:19" s="1" customFormat="1" ht="81" customHeight="1" x14ac:dyDescent="0.25">
      <c r="A11" s="28">
        <v>8</v>
      </c>
      <c r="B11" s="17" t="s">
        <v>55</v>
      </c>
      <c r="C11" s="17" t="s">
        <v>56</v>
      </c>
      <c r="D11" s="18">
        <v>120</v>
      </c>
      <c r="E11" s="18">
        <v>105</v>
      </c>
      <c r="F11" s="4" t="s">
        <v>49</v>
      </c>
      <c r="G11" s="18"/>
      <c r="H11" s="18">
        <v>15</v>
      </c>
      <c r="I11" s="18">
        <v>0</v>
      </c>
      <c r="J11" s="4" t="s">
        <v>7</v>
      </c>
      <c r="K11" s="13">
        <v>45929</v>
      </c>
      <c r="L11" s="19"/>
      <c r="M11" s="19"/>
      <c r="N11" s="3" t="s">
        <v>32</v>
      </c>
      <c r="O11" s="20"/>
      <c r="P11" s="21" t="s">
        <v>50</v>
      </c>
      <c r="Q11" s="24" t="str">
        <f>HYPERLINK("[Icaffe_Export Sea_Operaton Test Cases.xlsx]OverseasAgent_InwardRCM!A1","Go to OverseasAgent_InwardRCM")</f>
        <v>Go to OverseasAgent_InwardRCM</v>
      </c>
      <c r="R11" s="33" t="s">
        <v>16</v>
      </c>
      <c r="S11" s="22"/>
    </row>
    <row r="12" spans="1:19" s="1" customFormat="1" ht="84" customHeight="1" x14ac:dyDescent="0.25">
      <c r="A12" s="28">
        <v>9</v>
      </c>
      <c r="B12" s="27" t="s">
        <v>55</v>
      </c>
      <c r="C12" s="10" t="s">
        <v>60</v>
      </c>
      <c r="D12" s="4">
        <v>298</v>
      </c>
      <c r="E12" s="18">
        <v>249</v>
      </c>
      <c r="F12" s="4" t="s">
        <v>71</v>
      </c>
      <c r="G12" s="18"/>
      <c r="H12" s="18">
        <v>46</v>
      </c>
      <c r="I12" s="4">
        <v>0</v>
      </c>
      <c r="J12" s="4" t="s">
        <v>7</v>
      </c>
      <c r="K12" s="13">
        <v>45941</v>
      </c>
      <c r="L12" s="19"/>
      <c r="M12" s="19"/>
      <c r="N12" s="3" t="s">
        <v>32</v>
      </c>
      <c r="O12" s="20"/>
      <c r="P12" s="23" t="s">
        <v>51</v>
      </c>
      <c r="Q12" s="24" t="str">
        <f>HYPERLINK("[Icaffe_Export Sea_Operaton Test Cases.xlsx]ServiceInvoice!A1","Go to  ServiceInvoice")</f>
        <v>Go to  ServiceInvoice</v>
      </c>
      <c r="R12" s="33" t="s">
        <v>16</v>
      </c>
      <c r="S12" s="22"/>
    </row>
    <row r="13" spans="1:19" s="1" customFormat="1" ht="30" x14ac:dyDescent="0.25">
      <c r="A13" s="28">
        <v>10</v>
      </c>
      <c r="B13" s="27" t="s">
        <v>55</v>
      </c>
      <c r="C13" s="10" t="s">
        <v>61</v>
      </c>
      <c r="D13" s="3">
        <v>70</v>
      </c>
      <c r="E13" s="3">
        <v>28</v>
      </c>
      <c r="F13" s="3">
        <v>13</v>
      </c>
      <c r="G13" s="3"/>
      <c r="H13" s="3">
        <v>13</v>
      </c>
      <c r="I13" s="3">
        <v>0</v>
      </c>
      <c r="J13" s="4" t="s">
        <v>7</v>
      </c>
      <c r="K13" s="25">
        <v>45988</v>
      </c>
      <c r="L13" s="13"/>
      <c r="M13" s="13"/>
      <c r="N13" s="3" t="s">
        <v>32</v>
      </c>
      <c r="O13" s="13"/>
      <c r="P13" s="3" t="s">
        <v>52</v>
      </c>
      <c r="Q13" s="26" t="str">
        <f>HYPERLINK("[Icaffe_Export Sea_Operaton Test Cases.xlsx]ServiceInvoice_Search!A1","Go to  ServiceInvoice_Search")</f>
        <v>Go to  ServiceInvoice_Search</v>
      </c>
      <c r="R13" s="33" t="s">
        <v>16</v>
      </c>
      <c r="S13" s="22"/>
    </row>
    <row r="14" spans="1:19" ht="63.75" x14ac:dyDescent="0.25">
      <c r="A14" s="28">
        <v>11</v>
      </c>
      <c r="B14" s="15" t="s">
        <v>55</v>
      </c>
      <c r="C14" s="10" t="s">
        <v>62</v>
      </c>
      <c r="D14" s="35">
        <v>54</v>
      </c>
      <c r="E14" s="35">
        <v>26</v>
      </c>
      <c r="F14" s="35" t="s">
        <v>72</v>
      </c>
      <c r="G14" s="35">
        <v>2</v>
      </c>
      <c r="H14" s="35">
        <v>26</v>
      </c>
      <c r="I14" s="35">
        <v>0</v>
      </c>
      <c r="J14" s="4" t="s">
        <v>7</v>
      </c>
      <c r="K14" s="13">
        <v>46006</v>
      </c>
      <c r="L14" s="14" t="s">
        <v>53</v>
      </c>
      <c r="M14" s="14"/>
      <c r="N14" s="35" t="s">
        <v>32</v>
      </c>
      <c r="O14" s="14"/>
      <c r="P14" s="35" t="s">
        <v>54</v>
      </c>
      <c r="Q14" s="38" t="str">
        <f>HYPERLINK("[Icaffe_Export Sea_Operaton Test Cases.xlsx]ServiceInvoice_Print!A1","Go to  ServiceInvoice_Print")</f>
        <v>Go to  ServiceInvoice_Print</v>
      </c>
      <c r="R14" s="33" t="s">
        <v>16</v>
      </c>
      <c r="S14" s="22"/>
    </row>
    <row r="15" spans="1:19" ht="77.25" customHeight="1" x14ac:dyDescent="0.25">
      <c r="A15" s="40">
        <v>12</v>
      </c>
      <c r="B15" s="15" t="s">
        <v>55</v>
      </c>
      <c r="C15" s="34" t="s">
        <v>73</v>
      </c>
      <c r="D15" s="36">
        <v>92</v>
      </c>
      <c r="E15" s="28">
        <v>70</v>
      </c>
      <c r="F15" s="41" t="s">
        <v>77</v>
      </c>
      <c r="G15" s="9"/>
      <c r="H15" s="36">
        <v>22</v>
      </c>
      <c r="I15" s="36">
        <v>0</v>
      </c>
      <c r="J15" s="4" t="s">
        <v>7</v>
      </c>
      <c r="K15" s="37">
        <v>46015</v>
      </c>
      <c r="L15" s="9"/>
      <c r="M15" s="9"/>
      <c r="N15" s="36" t="s">
        <v>76</v>
      </c>
      <c r="O15" s="9"/>
      <c r="P15" s="28" t="s">
        <v>75</v>
      </c>
      <c r="Q15" s="39" t="str">
        <f>HYPERLINK("[Icaffe_Export Sea_Operaton Test Cases.xlsx]Reimbursable_Invoice!A1","Go to  Reimbursable_Invoice")</f>
        <v>Go to  Reimbursable_Invoice</v>
      </c>
      <c r="R15" s="33" t="s">
        <v>16</v>
      </c>
      <c r="S15" s="9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ICaffeMaster_Tracker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2025-11-12T11:23:05Z</dcterms:created>
  <dcterms:modified xsi:type="dcterms:W3CDTF">2026-01-07T12:24:11Z</dcterms:modified>
</cp:coreProperties>
</file>
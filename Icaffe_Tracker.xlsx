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0" yWindow="30" windowWidth="15600" windowHeight="10770"/>
  </bookViews>
  <sheets>
    <sheet name="ICaffe_Tracker" sheetId="1" r:id="rId1"/>
  </sheets>
  <definedNames>
    <definedName name="_xlnm._FilterDatabase" localSheetId="0" hidden="1">ICaffe_Tracker!$A$1:$S$16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1" l="1"/>
  <c r="Q29" i="1"/>
  <c r="Q28" i="1" l="1"/>
  <c r="Q27" i="1"/>
  <c r="Q26" i="1"/>
  <c r="Q25" i="1" l="1"/>
  <c r="Q24" i="1" l="1"/>
  <c r="Q23" i="1" l="1"/>
  <c r="Q22" i="1"/>
  <c r="Q15" i="1" l="1"/>
  <c r="Q13" i="1"/>
  <c r="Q10" i="1"/>
  <c r="Q8" i="1"/>
  <c r="Q4" i="1"/>
  <c r="Q3" i="1"/>
  <c r="Q20" i="1"/>
  <c r="Q14" i="1" l="1"/>
  <c r="Q12" i="1"/>
  <c r="Q9" i="1"/>
  <c r="Q7" i="1"/>
  <c r="Q21" i="1" l="1"/>
  <c r="Q19" i="1"/>
  <c r="Q18" i="1" l="1"/>
  <c r="Q17" i="1"/>
  <c r="Q11" i="1" l="1"/>
  <c r="Q2" i="1"/>
  <c r="Q5" i="1"/>
  <c r="Q16" i="1" l="1"/>
  <c r="Q6" i="1"/>
</calcChain>
</file>

<file path=xl/sharedStrings.xml><?xml version="1.0" encoding="utf-8"?>
<sst xmlns="http://schemas.openxmlformats.org/spreadsheetml/2006/main" count="226" uniqueCount="95">
  <si>
    <t>MODULES</t>
  </si>
  <si>
    <t>SUB-MODULES</t>
  </si>
  <si>
    <t>TOTAL TC</t>
  </si>
  <si>
    <t>REMARKS</t>
  </si>
  <si>
    <t>REFERENCE SHEET NAME</t>
  </si>
  <si>
    <t>Akash varun</t>
  </si>
  <si>
    <t>TESTER Name</t>
  </si>
  <si>
    <t>Consignee</t>
  </si>
  <si>
    <t>Overseas_Agent                     OverSeasAgent_ContactDetails</t>
  </si>
  <si>
    <t>Vendor_Master</t>
  </si>
  <si>
    <t>REVIEWED BY</t>
  </si>
  <si>
    <t>Sudhir kumar sinha</t>
  </si>
  <si>
    <t>REVIEWED DATE</t>
  </si>
  <si>
    <t>START DATE</t>
  </si>
  <si>
    <t>STATUS</t>
  </si>
  <si>
    <t>Completed</t>
  </si>
  <si>
    <t>Pending</t>
  </si>
  <si>
    <t>FILE HYPERLINK NAME</t>
  </si>
  <si>
    <t>END DATE</t>
  </si>
  <si>
    <t>COUNT LOGED IN JIRA</t>
  </si>
  <si>
    <t>COUNT BUG FIXED</t>
  </si>
  <si>
    <t>The IEC number is classified as Government and has been accepted as a duplicate data entry in the master record.</t>
  </si>
  <si>
    <t>For foreign countries, the PIN code has been accepted as a string (alphanumeric) value.</t>
  </si>
  <si>
    <t>COUNT PASS TC</t>
  </si>
  <si>
    <t>COUNT FAIL TC</t>
  </si>
  <si>
    <t>COUNT HOLD</t>
  </si>
  <si>
    <t>SL No.</t>
  </si>
  <si>
    <t>Party-&gt;Consignee</t>
  </si>
  <si>
    <t>Party-&gt;Vendor Master</t>
  </si>
  <si>
    <t>Master</t>
  </si>
  <si>
    <t>Overseas Agent (Inward RCM)</t>
  </si>
  <si>
    <t>Service Invoice</t>
  </si>
  <si>
    <t>ServiceInvoice_Search</t>
  </si>
  <si>
    <t xml:space="preserve"> </t>
  </si>
  <si>
    <t>ServiceInvoice_Print</t>
  </si>
  <si>
    <t>Operation</t>
  </si>
  <si>
    <t>Overseas Agent (Inward RCM)
Tab As-
1. Over Seas Invoice Inward (Reverse Charge
2. Search</t>
  </si>
  <si>
    <t>GST Invoice-&gt;Service-&gt; Service Invoice&gt;</t>
  </si>
  <si>
    <t>GST Invoice-&gt;Service-&gt; Search</t>
  </si>
  <si>
    <t>GST Invoice-&gt;Service-&gt;Print</t>
  </si>
  <si>
    <t>BUG FIXED BY</t>
  </si>
  <si>
    <t>Pooja</t>
  </si>
  <si>
    <t>2 (Pending: Page not responsive; Excel Upload button is hidden (discussed with dev team))</t>
  </si>
  <si>
    <t>Party-&gt;Exporter
Tab As-
1. Shipper</t>
  </si>
  <si>
    <t>HOLD</t>
  </si>
  <si>
    <t xml:space="preserve">Party-&gt;Overseas Agent                     
</t>
  </si>
  <si>
    <t>2 (Pending: Page not responsive)</t>
  </si>
  <si>
    <t>Reimbursable_Invoice</t>
  </si>
  <si>
    <t xml:space="preserve">Party-&gt;Exporter
Tab As-
1. Shipper
</t>
  </si>
  <si>
    <t xml:space="preserve">Party-&gt;Exporter
Tab As-
2. Other Details
</t>
  </si>
  <si>
    <t>Party-&gt;Exporter
Tab As-
3. Contact Details</t>
  </si>
  <si>
    <t xml:space="preserve">Party-&gt;Sub Agent
</t>
  </si>
  <si>
    <t xml:space="preserve">Party-&gt;ShipLine
</t>
  </si>
  <si>
    <t>Party-&gt;IATA Agent</t>
  </si>
  <si>
    <t xml:space="preserve"> 05-09-2025</t>
  </si>
  <si>
    <t xml:space="preserve">Shipper
</t>
  </si>
  <si>
    <t xml:space="preserve">Shipper_OtherDetails
</t>
  </si>
  <si>
    <t xml:space="preserve"> Shipper_ContactDeteails</t>
  </si>
  <si>
    <t>Shipper</t>
  </si>
  <si>
    <t xml:space="preserve">Sub_Agent                                        </t>
  </si>
  <si>
    <t>SubAgent_ContactDetails</t>
  </si>
  <si>
    <t xml:space="preserve">Overseas_Agent                     </t>
  </si>
  <si>
    <t>OverSeasAgent_ContactDetails</t>
  </si>
  <si>
    <t xml:space="preserve">ShipLine                                            </t>
  </si>
  <si>
    <t>ShipLine_ContactDetails</t>
  </si>
  <si>
    <t xml:space="preserve">IATA_Agent                   </t>
  </si>
  <si>
    <t>IATAAgent_ContactDetails</t>
  </si>
  <si>
    <t>GST Invoice-&gt;Reimbursable-&gt;Search</t>
  </si>
  <si>
    <t>ReimbursableInvoice_Search</t>
  </si>
  <si>
    <t>GST Invoice-&gt;Reimbursable-&gt;Print</t>
  </si>
  <si>
    <t>ReimbursableInvoice_Print</t>
  </si>
  <si>
    <t>Transport_Invoice</t>
  </si>
  <si>
    <t>Party-&gt;Sub Agent-&gt;Contact Details</t>
  </si>
  <si>
    <t>Party-&gt;Overseas Agent-&gt;Contact Details</t>
  </si>
  <si>
    <t>Party-&gt;ShipLine-&gt;Contact Details</t>
  </si>
  <si>
    <t>Party-&gt;IATA Agent-&gt; Contact Details</t>
  </si>
  <si>
    <t>BA-429 (This Jira bug ID is marked as duplicate because the same issue occurs).</t>
  </si>
  <si>
    <t>BA-429 (this bug ID is used because the same issue occurs in Sub Agent and Shipline).</t>
  </si>
  <si>
    <t>(this bug ID is used because the same issue occurs. - 345,334,286)</t>
  </si>
  <si>
    <t>GST Invoice-&gt;Reimbursable-&gt;Reimbursable Invoice</t>
  </si>
  <si>
    <t>(this bug ID is used because the same issue occurs. - 255)</t>
  </si>
  <si>
    <t>(this bug ID is used because the same issue occurs. - 512,566,575)</t>
  </si>
  <si>
    <t>(this bug ID is used because the same issue occurs. - 423,421)</t>
  </si>
  <si>
    <t>(this bug ID is used because the same issue occurs - 74)</t>
  </si>
  <si>
    <t>GST Invoice-&gt;Transport-&gt;Search</t>
  </si>
  <si>
    <t>TransportInvoice_Search</t>
  </si>
  <si>
    <t>GST Invoice-&gt;Transport-&gt;Print</t>
  </si>
  <si>
    <t>Working</t>
  </si>
  <si>
    <t>(this bug ID is used because the same issue occurs. - 630,632)</t>
  </si>
  <si>
    <t>TransportInvoice_Print</t>
  </si>
  <si>
    <t>GST Invoice-&gt;Transport</t>
  </si>
  <si>
    <t>GST Invoice-&gt;Other Invoice</t>
  </si>
  <si>
    <t>GST Invoice-&gt;Other Invoice&gt;Search</t>
  </si>
  <si>
    <t>Other_Invoice</t>
  </si>
  <si>
    <t>OtherInvoice_Search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</si>
</sst>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43434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6" fillId="0" borderId="2" xfId="0" applyFont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7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5" fillId="0" borderId="2" xfId="2" applyBorder="1" applyAlignment="1">
      <alignment horizontal="left" vertical="top" wrapText="1"/>
    </xf>
    <xf numFmtId="0" fontId="7" fillId="0" borderId="2" xfId="0" applyFont="1" applyFill="1" applyBorder="1" applyAlignment="1">
      <alignment vertical="top" wrapText="1"/>
    </xf>
    <xf numFmtId="0" fontId="7" fillId="0" borderId="2" xfId="0" applyFont="1" applyFill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/>
    </xf>
    <xf numFmtId="0" fontId="11" fillId="0" borderId="2" xfId="0" applyFont="1" applyBorder="1" applyAlignment="1">
      <alignment wrapText="1"/>
    </xf>
    <xf numFmtId="0" fontId="13" fillId="3" borderId="0" xfId="0" applyFont="1" applyFill="1" applyAlignment="1">
      <alignment horizontal="left"/>
    </xf>
    <xf numFmtId="0" fontId="14" fillId="2" borderId="3" xfId="1" applyFont="1" applyBorder="1" applyAlignment="1">
      <alignment horizontal="left"/>
    </xf>
    <xf numFmtId="0" fontId="13" fillId="0" borderId="0" xfId="0" applyFont="1"/>
    <xf numFmtId="0" fontId="0" fillId="5" borderId="2" xfId="0" applyFill="1" applyBorder="1" applyAlignment="1">
      <alignment horizontal="left" vertical="top" wrapText="1"/>
    </xf>
    <xf numFmtId="14" fontId="0" fillId="5" borderId="2" xfId="0" applyNumberFormat="1" applyFont="1" applyFill="1" applyBorder="1" applyAlignment="1">
      <alignment horizontal="left" vertical="top" wrapText="1"/>
    </xf>
    <xf numFmtId="0" fontId="14" fillId="2" borderId="3" xfId="1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 wrapText="1"/>
    </xf>
    <xf numFmtId="0" fontId="9" fillId="5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top"/>
    </xf>
    <xf numFmtId="14" fontId="3" fillId="0" borderId="2" xfId="0" applyNumberFormat="1" applyFont="1" applyBorder="1" applyAlignment="1">
      <alignment horizontal="left" vertical="top"/>
    </xf>
    <xf numFmtId="14" fontId="2" fillId="0" borderId="2" xfId="0" applyNumberFormat="1" applyFont="1" applyBorder="1" applyAlignment="1">
      <alignment horizontal="left" vertical="top"/>
    </xf>
    <xf numFmtId="0" fontId="5" fillId="0" borderId="2" xfId="2" applyFill="1" applyBorder="1" applyAlignment="1">
      <alignment horizontal="left" vertical="top" wrapText="1"/>
    </xf>
    <xf numFmtId="0" fontId="12" fillId="4" borderId="2" xfId="0" applyFont="1" applyFill="1" applyBorder="1" applyAlignment="1">
      <alignment vertical="top" wrapText="1"/>
    </xf>
    <xf numFmtId="0" fontId="0" fillId="0" borderId="0" xfId="0" applyFill="1"/>
    <xf numFmtId="0" fontId="0" fillId="6" borderId="2" xfId="0" applyFill="1" applyBorder="1" applyAlignment="1">
      <alignment horizontal="left" vertical="top"/>
    </xf>
    <xf numFmtId="0" fontId="2" fillId="6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/>
    </xf>
    <xf numFmtId="14" fontId="3" fillId="6" borderId="2" xfId="0" applyNumberFormat="1" applyFont="1" applyFill="1" applyBorder="1" applyAlignment="1">
      <alignment horizontal="left" vertical="top" wrapText="1"/>
    </xf>
    <xf numFmtId="14" fontId="2" fillId="6" borderId="2" xfId="0" applyNumberFormat="1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vertical="top" wrapText="1"/>
    </xf>
    <xf numFmtId="0" fontId="5" fillId="6" borderId="2" xfId="2" applyFill="1" applyBorder="1" applyAlignment="1">
      <alignment horizontal="left" vertical="top" wrapText="1"/>
    </xf>
    <xf numFmtId="0" fontId="6" fillId="6" borderId="2" xfId="0" applyFont="1" applyFill="1" applyBorder="1" applyAlignment="1">
      <alignment vertical="top" wrapText="1"/>
    </xf>
    <xf numFmtId="14" fontId="12" fillId="6" borderId="2" xfId="0" applyNumberFormat="1" applyFont="1" applyFill="1" applyBorder="1" applyAlignment="1">
      <alignment horizontal="right" wrapText="1"/>
    </xf>
    <xf numFmtId="14" fontId="4" fillId="6" borderId="2" xfId="0" applyNumberFormat="1" applyFont="1" applyFill="1" applyBorder="1" applyAlignment="1">
      <alignment horizontal="left" vertical="top" wrapText="1"/>
    </xf>
    <xf numFmtId="0" fontId="10" fillId="6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top" wrapText="1"/>
    </xf>
    <xf numFmtId="14" fontId="0" fillId="0" borderId="2" xfId="0" applyNumberFormat="1" applyBorder="1"/>
    <xf numFmtId="0" fontId="5" fillId="0" borderId="2" xfId="2" applyBorder="1" applyAlignment="1">
      <alignment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86" zoomScaleNormal="86" workbookViewId="0">
      <pane ySplit="1" topLeftCell="A21" activePane="bottomLeft" state="frozen"/>
      <selection activeCell="B1" sqref="B1"/>
      <selection pane="bottomLeft" activeCell="A2" sqref="A2:S30"/>
    </sheetView>
  </sheetViews>
  <sheetFormatPr defaultRowHeight="15" x14ac:dyDescent="0.25"/>
  <cols>
    <col min="2" max="2" width="15.28515625" customWidth="1"/>
    <col min="3" max="3" width="31.28515625" customWidth="1"/>
    <col min="5" max="5" width="16.85546875" customWidth="1"/>
    <col min="6" max="6" width="17.140625" customWidth="1"/>
    <col min="7" max="7" width="12.85546875" customWidth="1"/>
    <col min="8" max="8" width="22" customWidth="1"/>
    <col min="9" max="9" width="18.42578125" customWidth="1"/>
    <col min="10" max="10" width="12.85546875" bestFit="1" customWidth="1"/>
    <col min="11" max="12" width="11.42578125" bestFit="1" customWidth="1"/>
    <col min="13" max="13" width="17.42578125" customWidth="1"/>
    <col min="14" max="14" width="10.7109375" customWidth="1"/>
    <col min="15" max="15" width="25.28515625" bestFit="1" customWidth="1"/>
    <col min="16" max="16" width="28.28515625" customWidth="1"/>
    <col min="17" max="17" width="21" bestFit="1" customWidth="1"/>
    <col min="18" max="18" width="12.7109375" customWidth="1"/>
    <col min="19" max="19" width="15.28515625" bestFit="1" customWidth="1"/>
  </cols>
  <sheetData>
    <row r="1" spans="1:19" s="23" customFormat="1" x14ac:dyDescent="0.25">
      <c r="A1" s="21" t="s">
        <v>26</v>
      </c>
      <c r="B1" s="22" t="s">
        <v>0</v>
      </c>
      <c r="C1" s="22" t="s">
        <v>1</v>
      </c>
      <c r="D1" s="22" t="s">
        <v>2</v>
      </c>
      <c r="E1" s="22" t="s">
        <v>23</v>
      </c>
      <c r="F1" s="22" t="s">
        <v>24</v>
      </c>
      <c r="G1" s="22" t="s">
        <v>25</v>
      </c>
      <c r="H1" s="22" t="s">
        <v>19</v>
      </c>
      <c r="I1" s="22" t="s">
        <v>20</v>
      </c>
      <c r="J1" s="26" t="s">
        <v>6</v>
      </c>
      <c r="K1" s="22" t="s">
        <v>13</v>
      </c>
      <c r="L1" s="22" t="s">
        <v>18</v>
      </c>
      <c r="M1" s="22" t="s">
        <v>40</v>
      </c>
      <c r="N1" s="22" t="s">
        <v>14</v>
      </c>
      <c r="O1" s="22" t="s">
        <v>3</v>
      </c>
      <c r="P1" s="22" t="s">
        <v>4</v>
      </c>
      <c r="Q1" s="22" t="s">
        <v>17</v>
      </c>
      <c r="R1" s="22" t="s">
        <v>10</v>
      </c>
      <c r="S1" s="22" t="s">
        <v>12</v>
      </c>
    </row>
    <row r="2" spans="1:19" s="35" customFormat="1" ht="51" x14ac:dyDescent="0.25">
      <c r="A2" s="36">
        <v>1</v>
      </c>
      <c r="B2" s="37" t="s">
        <v>29</v>
      </c>
      <c r="C2" s="38" t="s">
        <v>48</v>
      </c>
      <c r="D2" s="39">
        <v>68</v>
      </c>
      <c r="E2" s="39">
        <v>53</v>
      </c>
      <c r="F2" s="40">
        <v>15</v>
      </c>
      <c r="G2" s="39"/>
      <c r="H2" s="40">
        <v>15</v>
      </c>
      <c r="I2" s="38">
        <v>15</v>
      </c>
      <c r="J2" s="39" t="s">
        <v>5</v>
      </c>
      <c r="K2" s="41">
        <v>45873</v>
      </c>
      <c r="L2" s="42">
        <v>45999</v>
      </c>
      <c r="M2" s="42" t="s">
        <v>41</v>
      </c>
      <c r="N2" s="38" t="s">
        <v>15</v>
      </c>
      <c r="O2" s="43" t="s">
        <v>21</v>
      </c>
      <c r="P2" s="42" t="s">
        <v>55</v>
      </c>
      <c r="Q2" s="44" t="str">
        <f>HYPERLINK("[Icaffe_Export Sea_Masters Test Cases.xlsx]Shipper!A1","Go to Shipper")</f>
        <v>Go to Shipper</v>
      </c>
      <c r="R2" s="45" t="s">
        <v>11</v>
      </c>
      <c r="S2" s="46">
        <v>46027</v>
      </c>
    </row>
    <row r="3" spans="1:19" ht="51" x14ac:dyDescent="0.25">
      <c r="A3" s="36">
        <v>2</v>
      </c>
      <c r="B3" s="37" t="s">
        <v>29</v>
      </c>
      <c r="C3" s="38" t="s">
        <v>49</v>
      </c>
      <c r="D3" s="39">
        <v>10</v>
      </c>
      <c r="E3" s="40">
        <v>9</v>
      </c>
      <c r="F3" s="40">
        <v>1</v>
      </c>
      <c r="G3" s="39"/>
      <c r="H3" s="40">
        <v>1</v>
      </c>
      <c r="I3" s="38">
        <v>1</v>
      </c>
      <c r="J3" s="39" t="s">
        <v>5</v>
      </c>
      <c r="K3" s="41">
        <v>45877</v>
      </c>
      <c r="L3" s="42">
        <v>45882</v>
      </c>
      <c r="M3" s="42" t="s">
        <v>41</v>
      </c>
      <c r="N3" s="38" t="s">
        <v>15</v>
      </c>
      <c r="O3" s="43" t="s">
        <v>21</v>
      </c>
      <c r="P3" s="42" t="s">
        <v>56</v>
      </c>
      <c r="Q3" s="44" t="str">
        <f>HYPERLINK("[Icaffe_Export Sea_Masters Test Cases.xlsx]Shipper_OtherDetails!A1","Go to Shipper_OtherDetails")</f>
        <v>Go to Shipper_OtherDetails</v>
      </c>
      <c r="R3" s="45" t="s">
        <v>11</v>
      </c>
      <c r="S3" s="46">
        <v>46027</v>
      </c>
    </row>
    <row r="4" spans="1:19" ht="51" x14ac:dyDescent="0.25">
      <c r="A4" s="36">
        <v>3</v>
      </c>
      <c r="B4" s="37" t="s">
        <v>29</v>
      </c>
      <c r="C4" s="38" t="s">
        <v>50</v>
      </c>
      <c r="D4" s="39">
        <v>30</v>
      </c>
      <c r="E4" s="40">
        <v>24</v>
      </c>
      <c r="F4" s="40">
        <v>6</v>
      </c>
      <c r="G4" s="39"/>
      <c r="H4" s="40">
        <v>6</v>
      </c>
      <c r="I4" s="38">
        <v>6</v>
      </c>
      <c r="J4" s="39" t="s">
        <v>5</v>
      </c>
      <c r="K4" s="41">
        <v>45880</v>
      </c>
      <c r="L4" s="42">
        <v>45908</v>
      </c>
      <c r="M4" s="42" t="s">
        <v>41</v>
      </c>
      <c r="N4" s="38" t="s">
        <v>15</v>
      </c>
      <c r="O4" s="43" t="s">
        <v>21</v>
      </c>
      <c r="P4" s="42" t="s">
        <v>57</v>
      </c>
      <c r="Q4" s="44" t="str">
        <f>HYPERLINK("[Icaffe_Export Sea_Masters Test Cases.xlsx]Shipper_ContactDeteails!A1","Go to Shipper_ContactDeteails")</f>
        <v>Go to Shipper_ContactDeteails</v>
      </c>
      <c r="R4" s="45" t="s">
        <v>11</v>
      </c>
      <c r="S4" s="46">
        <v>46027</v>
      </c>
    </row>
    <row r="5" spans="1:19" ht="51" x14ac:dyDescent="0.25">
      <c r="A5" s="36">
        <v>4</v>
      </c>
      <c r="B5" s="37" t="s">
        <v>29</v>
      </c>
      <c r="C5" s="38" t="s">
        <v>43</v>
      </c>
      <c r="D5" s="39">
        <v>2</v>
      </c>
      <c r="E5" s="40"/>
      <c r="F5" s="40"/>
      <c r="G5" s="39">
        <v>2</v>
      </c>
      <c r="H5" s="40">
        <v>2</v>
      </c>
      <c r="I5" s="38"/>
      <c r="J5" s="39" t="s">
        <v>5</v>
      </c>
      <c r="K5" s="41">
        <v>45873</v>
      </c>
      <c r="L5" s="42"/>
      <c r="M5" s="42" t="s">
        <v>41</v>
      </c>
      <c r="N5" s="38" t="s">
        <v>44</v>
      </c>
      <c r="O5" s="43" t="s">
        <v>42</v>
      </c>
      <c r="P5" s="42" t="s">
        <v>58</v>
      </c>
      <c r="Q5" s="44" t="str">
        <f>HYPERLINK("[Icaffe_Export Sea_Masters Test Cases.xlsx]Shipper!A1","Go to Shipper")</f>
        <v>Go to Shipper</v>
      </c>
      <c r="R5" s="45" t="s">
        <v>11</v>
      </c>
      <c r="S5" s="46">
        <v>46027</v>
      </c>
    </row>
    <row r="6" spans="1:19" ht="38.25" x14ac:dyDescent="0.25">
      <c r="A6" s="36">
        <v>5</v>
      </c>
      <c r="B6" s="37" t="s">
        <v>29</v>
      </c>
      <c r="C6" s="38" t="s">
        <v>27</v>
      </c>
      <c r="D6" s="38">
        <v>44</v>
      </c>
      <c r="E6" s="38">
        <v>36</v>
      </c>
      <c r="F6" s="38">
        <v>8</v>
      </c>
      <c r="G6" s="38"/>
      <c r="H6" s="38">
        <v>8</v>
      </c>
      <c r="I6" s="38">
        <v>8</v>
      </c>
      <c r="J6" s="39" t="s">
        <v>5</v>
      </c>
      <c r="K6" s="47">
        <v>45882</v>
      </c>
      <c r="L6" s="42">
        <v>45911</v>
      </c>
      <c r="M6" s="42" t="s">
        <v>41</v>
      </c>
      <c r="N6" s="38" t="s">
        <v>15</v>
      </c>
      <c r="O6" s="43" t="s">
        <v>22</v>
      </c>
      <c r="P6" s="38" t="s">
        <v>7</v>
      </c>
      <c r="Q6" s="44" t="str">
        <f>HYPERLINK("[Icaffe_Export Sea_Masters Test Cases.xlsx]Consignee!A1","Go to Consignee")</f>
        <v>Go to Consignee</v>
      </c>
      <c r="R6" s="45" t="s">
        <v>11</v>
      </c>
      <c r="S6" s="46">
        <v>46027</v>
      </c>
    </row>
    <row r="7" spans="1:19" ht="38.25" x14ac:dyDescent="0.25">
      <c r="A7" s="36">
        <v>6</v>
      </c>
      <c r="B7" s="37" t="s">
        <v>29</v>
      </c>
      <c r="C7" s="38" t="s">
        <v>51</v>
      </c>
      <c r="D7" s="38">
        <v>56</v>
      </c>
      <c r="E7" s="38">
        <v>51</v>
      </c>
      <c r="F7" s="38">
        <v>5</v>
      </c>
      <c r="G7" s="38"/>
      <c r="H7" s="38">
        <v>5</v>
      </c>
      <c r="I7" s="38">
        <v>5</v>
      </c>
      <c r="J7" s="39" t="s">
        <v>5</v>
      </c>
      <c r="K7" s="41">
        <v>45889</v>
      </c>
      <c r="L7" s="42">
        <v>45910</v>
      </c>
      <c r="M7" s="42" t="s">
        <v>41</v>
      </c>
      <c r="N7" s="38" t="s">
        <v>15</v>
      </c>
      <c r="O7" s="48" t="s">
        <v>76</v>
      </c>
      <c r="P7" s="38" t="s">
        <v>59</v>
      </c>
      <c r="Q7" s="44" t="str">
        <f>HYPERLINK("[Icaffe_Export Sea_Masters Test Cases.xlsx]Sub_Agent!A1","Go to Sub_Agent")</f>
        <v>Go to Sub_Agent</v>
      </c>
      <c r="R7" s="45" t="s">
        <v>11</v>
      </c>
      <c r="S7" s="46">
        <v>46029</v>
      </c>
    </row>
    <row r="8" spans="1:19" ht="45" x14ac:dyDescent="0.25">
      <c r="A8" s="36">
        <v>7</v>
      </c>
      <c r="B8" s="37" t="s">
        <v>29</v>
      </c>
      <c r="C8" s="38" t="s">
        <v>72</v>
      </c>
      <c r="D8" s="38">
        <v>38</v>
      </c>
      <c r="E8" s="38">
        <v>28</v>
      </c>
      <c r="F8" s="38">
        <v>10</v>
      </c>
      <c r="G8" s="38"/>
      <c r="H8" s="38">
        <v>10</v>
      </c>
      <c r="I8" s="38">
        <v>10</v>
      </c>
      <c r="J8" s="39" t="s">
        <v>5</v>
      </c>
      <c r="K8" s="41">
        <v>45899</v>
      </c>
      <c r="L8" s="42">
        <v>45910</v>
      </c>
      <c r="M8" s="42" t="s">
        <v>41</v>
      </c>
      <c r="N8" s="38" t="s">
        <v>15</v>
      </c>
      <c r="O8" s="49"/>
      <c r="P8" s="38" t="s">
        <v>60</v>
      </c>
      <c r="Q8" s="44" t="str">
        <f>HYPERLINK("[Icaffe_Export Sea_Masters Test Cases.xlsx]SubAgent_ContactDetails!A1","Go to SubAgent_ContactDetails")</f>
        <v>Go to SubAgent_ContactDetails</v>
      </c>
      <c r="R8" s="45" t="s">
        <v>11</v>
      </c>
      <c r="S8" s="46">
        <v>46029</v>
      </c>
    </row>
    <row r="9" spans="1:19" ht="30" x14ac:dyDescent="0.25">
      <c r="A9" s="36">
        <v>8</v>
      </c>
      <c r="B9" s="37" t="s">
        <v>29</v>
      </c>
      <c r="C9" s="38" t="s">
        <v>45</v>
      </c>
      <c r="D9" s="38">
        <v>51</v>
      </c>
      <c r="E9" s="38">
        <v>38</v>
      </c>
      <c r="F9" s="38">
        <v>13</v>
      </c>
      <c r="G9" s="38"/>
      <c r="H9" s="38">
        <v>13</v>
      </c>
      <c r="I9" s="38">
        <v>13</v>
      </c>
      <c r="J9" s="39" t="s">
        <v>5</v>
      </c>
      <c r="K9" s="41">
        <v>45902</v>
      </c>
      <c r="L9" s="42">
        <v>45923</v>
      </c>
      <c r="M9" s="42" t="s">
        <v>41</v>
      </c>
      <c r="N9" s="38" t="s">
        <v>15</v>
      </c>
      <c r="O9" s="49"/>
      <c r="P9" s="38" t="s">
        <v>61</v>
      </c>
      <c r="Q9" s="44" t="str">
        <f>HYPERLINK("[Icaffe_Export Sea_Masters Test Cases.xlsx]OverSeas_Agent!A1","Go to OverSeas_Agent")</f>
        <v>Go to OverSeas_Agent</v>
      </c>
      <c r="R9" s="45" t="s">
        <v>11</v>
      </c>
      <c r="S9" s="46">
        <v>46029</v>
      </c>
    </row>
    <row r="10" spans="1:19" ht="45" x14ac:dyDescent="0.25">
      <c r="A10" s="36">
        <v>9</v>
      </c>
      <c r="B10" s="37" t="s">
        <v>29</v>
      </c>
      <c r="C10" s="38" t="s">
        <v>73</v>
      </c>
      <c r="D10" s="38">
        <v>36</v>
      </c>
      <c r="E10" s="38">
        <v>28</v>
      </c>
      <c r="F10" s="38">
        <v>8</v>
      </c>
      <c r="G10" s="38"/>
      <c r="H10" s="38">
        <v>8</v>
      </c>
      <c r="I10" s="38">
        <v>8</v>
      </c>
      <c r="J10" s="39" t="s">
        <v>5</v>
      </c>
      <c r="K10" s="41" t="s">
        <v>54</v>
      </c>
      <c r="L10" s="42">
        <v>45910</v>
      </c>
      <c r="M10" s="42" t="s">
        <v>41</v>
      </c>
      <c r="N10" s="38" t="s">
        <v>15</v>
      </c>
      <c r="O10" s="49"/>
      <c r="P10" s="38" t="s">
        <v>8</v>
      </c>
      <c r="Q10" s="44" t="str">
        <f>HYPERLINK("[Icaffe_Export Sea_Masters Test Cases.xlsx]OverSeasAgent_ContactDetails!A1","Go to OverSeasAgent_ContactDetails")</f>
        <v>Go to OverSeasAgent_ContactDetails</v>
      </c>
      <c r="R10" s="45" t="s">
        <v>11</v>
      </c>
      <c r="S10" s="46">
        <v>46029</v>
      </c>
    </row>
    <row r="11" spans="1:19" ht="30" x14ac:dyDescent="0.25">
      <c r="A11" s="36">
        <v>10</v>
      </c>
      <c r="B11" s="37" t="s">
        <v>29</v>
      </c>
      <c r="C11" s="38" t="s">
        <v>45</v>
      </c>
      <c r="D11" s="38">
        <v>2</v>
      </c>
      <c r="E11" s="38"/>
      <c r="F11" s="38"/>
      <c r="G11" s="38">
        <v>2</v>
      </c>
      <c r="H11" s="38">
        <v>2</v>
      </c>
      <c r="I11" s="38"/>
      <c r="J11" s="39" t="s">
        <v>5</v>
      </c>
      <c r="K11" s="41">
        <v>45902</v>
      </c>
      <c r="L11" s="42"/>
      <c r="M11" s="42" t="s">
        <v>41</v>
      </c>
      <c r="N11" s="38" t="s">
        <v>44</v>
      </c>
      <c r="O11" s="43" t="s">
        <v>46</v>
      </c>
      <c r="P11" s="38" t="s">
        <v>62</v>
      </c>
      <c r="Q11" s="44" t="str">
        <f>HYPERLINK("[Icaffe_Export Sea_Masters Test Cases.xlsx]OverSeas_Agent!A1","Go to OverSeas_Agent")</f>
        <v>Go to OverSeas_Agent</v>
      </c>
      <c r="R11" s="45" t="s">
        <v>11</v>
      </c>
      <c r="S11" s="46">
        <v>46029</v>
      </c>
    </row>
    <row r="12" spans="1:19" ht="38.25" x14ac:dyDescent="0.25">
      <c r="A12" s="36">
        <v>11</v>
      </c>
      <c r="B12" s="37" t="s">
        <v>29</v>
      </c>
      <c r="C12" s="38" t="s">
        <v>52</v>
      </c>
      <c r="D12" s="38">
        <v>64</v>
      </c>
      <c r="E12" s="38">
        <v>50</v>
      </c>
      <c r="F12" s="38">
        <v>14</v>
      </c>
      <c r="G12" s="38"/>
      <c r="H12" s="38">
        <v>14</v>
      </c>
      <c r="I12" s="38">
        <v>14</v>
      </c>
      <c r="J12" s="39" t="s">
        <v>5</v>
      </c>
      <c r="K12" s="41">
        <v>45906</v>
      </c>
      <c r="L12" s="42">
        <v>45924</v>
      </c>
      <c r="M12" s="42" t="s">
        <v>41</v>
      </c>
      <c r="N12" s="38" t="s">
        <v>15</v>
      </c>
      <c r="O12" s="43" t="s">
        <v>76</v>
      </c>
      <c r="P12" s="38" t="s">
        <v>63</v>
      </c>
      <c r="Q12" s="44" t="str">
        <f>HYPERLINK("[Icaffe_Export Sea_Masters Test Cases.xlsx]ShipLine!A1","Go to ShipLine")</f>
        <v>Go to ShipLine</v>
      </c>
      <c r="R12" s="45" t="s">
        <v>11</v>
      </c>
      <c r="S12" s="46">
        <v>46030</v>
      </c>
    </row>
    <row r="13" spans="1:19" ht="45" x14ac:dyDescent="0.25">
      <c r="A13" s="36">
        <v>12</v>
      </c>
      <c r="B13" s="37" t="s">
        <v>29</v>
      </c>
      <c r="C13" s="38" t="s">
        <v>74</v>
      </c>
      <c r="D13" s="38">
        <v>36</v>
      </c>
      <c r="E13" s="38">
        <v>27</v>
      </c>
      <c r="F13" s="38">
        <v>9</v>
      </c>
      <c r="G13" s="38"/>
      <c r="H13" s="38">
        <v>9</v>
      </c>
      <c r="I13" s="38">
        <v>9</v>
      </c>
      <c r="J13" s="39" t="s">
        <v>5</v>
      </c>
      <c r="K13" s="41">
        <v>45911</v>
      </c>
      <c r="L13" s="42">
        <v>45924</v>
      </c>
      <c r="M13" s="42" t="s">
        <v>41</v>
      </c>
      <c r="N13" s="38" t="s">
        <v>15</v>
      </c>
      <c r="O13" s="49"/>
      <c r="P13" s="38" t="s">
        <v>64</v>
      </c>
      <c r="Q13" s="44" t="str">
        <f>HYPERLINK("[Icaffe_Export Sea_Masters Test Cases.xlsx]ShipLine_ContactDetails!A1","Go to ShipLine_ContactDetails")</f>
        <v>Go to ShipLine_ContactDetails</v>
      </c>
      <c r="R13" s="45" t="s">
        <v>11</v>
      </c>
      <c r="S13" s="46">
        <v>46030</v>
      </c>
    </row>
    <row r="14" spans="1:19" ht="51" x14ac:dyDescent="0.25">
      <c r="A14" s="36">
        <v>13</v>
      </c>
      <c r="B14" s="37" t="s">
        <v>29</v>
      </c>
      <c r="C14" s="38" t="s">
        <v>53</v>
      </c>
      <c r="D14" s="38">
        <v>41</v>
      </c>
      <c r="E14" s="38">
        <v>37</v>
      </c>
      <c r="F14" s="38">
        <v>4</v>
      </c>
      <c r="G14" s="38"/>
      <c r="H14" s="38">
        <v>4</v>
      </c>
      <c r="I14" s="38">
        <v>4</v>
      </c>
      <c r="J14" s="39" t="s">
        <v>5</v>
      </c>
      <c r="K14" s="41">
        <v>45912</v>
      </c>
      <c r="L14" s="42">
        <v>45924</v>
      </c>
      <c r="M14" s="42" t="s">
        <v>41</v>
      </c>
      <c r="N14" s="38" t="s">
        <v>15</v>
      </c>
      <c r="O14" s="43" t="s">
        <v>77</v>
      </c>
      <c r="P14" s="38" t="s">
        <v>65</v>
      </c>
      <c r="Q14" s="44" t="str">
        <f>HYPERLINK("[Icaffe_Export Sea_Masters Test Cases.xlsx]IATA_Agent!A1","Go to IATA_Agent")</f>
        <v>Go to IATA_Agent</v>
      </c>
      <c r="R14" s="45" t="s">
        <v>11</v>
      </c>
      <c r="S14" s="46">
        <v>46030</v>
      </c>
    </row>
    <row r="15" spans="1:19" ht="45" x14ac:dyDescent="0.25">
      <c r="A15" s="36">
        <v>14</v>
      </c>
      <c r="B15" s="37" t="s">
        <v>29</v>
      </c>
      <c r="C15" s="38" t="s">
        <v>75</v>
      </c>
      <c r="D15" s="38">
        <v>34</v>
      </c>
      <c r="E15" s="38">
        <v>26</v>
      </c>
      <c r="F15" s="38">
        <v>8</v>
      </c>
      <c r="G15" s="38"/>
      <c r="H15" s="38">
        <v>8</v>
      </c>
      <c r="I15" s="38">
        <v>8</v>
      </c>
      <c r="J15" s="39" t="s">
        <v>5</v>
      </c>
      <c r="K15" s="41">
        <v>45915</v>
      </c>
      <c r="L15" s="42">
        <v>45924</v>
      </c>
      <c r="M15" s="42" t="s">
        <v>41</v>
      </c>
      <c r="N15" s="38" t="s">
        <v>15</v>
      </c>
      <c r="O15" s="49"/>
      <c r="P15" s="38" t="s">
        <v>66</v>
      </c>
      <c r="Q15" s="44" t="str">
        <f>HYPERLINK("[Icaffe_Export Sea_Masters Test Cases.xlsx]IATAAgent_ContactDetails!A1","Go to IATAAgent_ContactDetails")</f>
        <v>Go to IATAAgent_ContactDetails</v>
      </c>
      <c r="R15" s="45" t="s">
        <v>11</v>
      </c>
      <c r="S15" s="46">
        <v>46030</v>
      </c>
    </row>
    <row r="16" spans="1:19" s="1" customFormat="1" ht="30" x14ac:dyDescent="0.25">
      <c r="A16" s="6">
        <v>15</v>
      </c>
      <c r="B16" s="3" t="s">
        <v>29</v>
      </c>
      <c r="C16" s="4" t="s">
        <v>28</v>
      </c>
      <c r="D16" s="4">
        <v>75</v>
      </c>
      <c r="E16" s="4">
        <v>65</v>
      </c>
      <c r="F16" s="4">
        <v>10</v>
      </c>
      <c r="G16" s="4"/>
      <c r="H16" s="4">
        <v>10</v>
      </c>
      <c r="I16" s="4">
        <v>7</v>
      </c>
      <c r="J16" s="14" t="s">
        <v>5</v>
      </c>
      <c r="K16" s="15">
        <v>45922</v>
      </c>
      <c r="L16" s="27"/>
      <c r="M16" s="27" t="s">
        <v>41</v>
      </c>
      <c r="N16" s="4" t="s">
        <v>16</v>
      </c>
      <c r="O16" s="29"/>
      <c r="P16" s="4" t="s">
        <v>9</v>
      </c>
      <c r="Q16" s="16" t="str">
        <f>HYPERLINK("[Icaffe_Export Sea_Masters Test Cases.xlsx]Vendor_Master!A1","Go to Vendor_Master")</f>
        <v>Go to Vendor_Master</v>
      </c>
      <c r="R16" s="7" t="s">
        <v>11</v>
      </c>
      <c r="S16" s="20"/>
    </row>
    <row r="17" spans="1:19" s="1" customFormat="1" ht="63.75" x14ac:dyDescent="0.25">
      <c r="A17" s="6">
        <v>16</v>
      </c>
      <c r="B17" s="4" t="s">
        <v>35</v>
      </c>
      <c r="C17" s="4" t="s">
        <v>36</v>
      </c>
      <c r="D17" s="30">
        <v>124</v>
      </c>
      <c r="E17" s="30">
        <v>102</v>
      </c>
      <c r="F17" s="14">
        <v>22</v>
      </c>
      <c r="G17" s="30"/>
      <c r="H17" s="30">
        <v>22</v>
      </c>
      <c r="I17" s="30">
        <v>1</v>
      </c>
      <c r="J17" s="14" t="s">
        <v>5</v>
      </c>
      <c r="K17" s="15">
        <v>45929</v>
      </c>
      <c r="L17" s="31"/>
      <c r="M17" s="31"/>
      <c r="N17" s="4" t="s">
        <v>16</v>
      </c>
      <c r="O17" s="28" t="s">
        <v>83</v>
      </c>
      <c r="P17" s="32" t="s">
        <v>30</v>
      </c>
      <c r="Q17" s="33" t="str">
        <f>HYPERLINK("[Icaffe_Export Sea_Operaton Test Cases.xlsx]OverseasAgent_InwardRCM!A1","Go to OverseasAgent_InwardRCM")</f>
        <v>Go to OverseasAgent_InwardRCM</v>
      </c>
      <c r="R17" s="7" t="s">
        <v>11</v>
      </c>
      <c r="S17" s="20"/>
    </row>
    <row r="18" spans="1:19" s="1" customFormat="1" ht="30" x14ac:dyDescent="0.25">
      <c r="A18" s="6">
        <v>17</v>
      </c>
      <c r="B18" s="3" t="s">
        <v>35</v>
      </c>
      <c r="C18" s="4" t="s">
        <v>37</v>
      </c>
      <c r="D18" s="14">
        <v>297</v>
      </c>
      <c r="E18" s="30">
        <v>246</v>
      </c>
      <c r="F18" s="14">
        <v>51</v>
      </c>
      <c r="G18" s="30"/>
      <c r="H18" s="30">
        <v>51</v>
      </c>
      <c r="I18" s="14">
        <v>0</v>
      </c>
      <c r="J18" s="14" t="s">
        <v>5</v>
      </c>
      <c r="K18" s="15">
        <v>45941</v>
      </c>
      <c r="L18" s="31"/>
      <c r="M18" s="31"/>
      <c r="N18" s="4" t="s">
        <v>16</v>
      </c>
      <c r="O18" s="34"/>
      <c r="P18" s="27" t="s">
        <v>31</v>
      </c>
      <c r="Q18" s="33" t="str">
        <f>HYPERLINK("[Icaffe_Export Sea_Operaton Test Cases.xlsx]ServiceInvoice!A1","Go to  ServiceInvoice")</f>
        <v>Go to  ServiceInvoice</v>
      </c>
      <c r="R18" s="7" t="s">
        <v>11</v>
      </c>
      <c r="S18" s="20"/>
    </row>
    <row r="19" spans="1:19" s="1" customFormat="1" ht="30" x14ac:dyDescent="0.25">
      <c r="A19" s="6">
        <v>18</v>
      </c>
      <c r="B19" s="3" t="s">
        <v>35</v>
      </c>
      <c r="C19" s="4" t="s">
        <v>38</v>
      </c>
      <c r="D19" s="4">
        <v>70</v>
      </c>
      <c r="E19" s="4">
        <v>57</v>
      </c>
      <c r="F19" s="4">
        <v>13</v>
      </c>
      <c r="G19" s="4"/>
      <c r="H19" s="4">
        <v>13</v>
      </c>
      <c r="I19" s="4">
        <v>0</v>
      </c>
      <c r="J19" s="14" t="s">
        <v>5</v>
      </c>
      <c r="K19" s="5">
        <v>45988</v>
      </c>
      <c r="L19" s="15"/>
      <c r="M19" s="15"/>
      <c r="N19" s="4" t="s">
        <v>16</v>
      </c>
      <c r="O19" s="15"/>
      <c r="P19" s="4" t="s">
        <v>32</v>
      </c>
      <c r="Q19" s="16" t="str">
        <f>HYPERLINK("[Icaffe_Export Sea_Operaton Test Cases.xlsx]ServiceInvoice_Search!A1","Go to  ServiceInvoice_Search")</f>
        <v>Go to  ServiceInvoice_Search</v>
      </c>
      <c r="R19" s="7" t="s">
        <v>11</v>
      </c>
      <c r="S19" s="20"/>
    </row>
    <row r="20" spans="1:19" ht="45" x14ac:dyDescent="0.25">
      <c r="A20" s="6">
        <v>19</v>
      </c>
      <c r="B20" s="3" t="s">
        <v>35</v>
      </c>
      <c r="C20" s="4" t="s">
        <v>39</v>
      </c>
      <c r="D20" s="4">
        <v>47</v>
      </c>
      <c r="E20" s="4">
        <v>26</v>
      </c>
      <c r="F20" s="4">
        <v>21</v>
      </c>
      <c r="G20" s="4"/>
      <c r="H20" s="4">
        <v>21</v>
      </c>
      <c r="I20" s="4">
        <v>0</v>
      </c>
      <c r="J20" s="14" t="s">
        <v>5</v>
      </c>
      <c r="K20" s="15">
        <v>46006</v>
      </c>
      <c r="L20" s="27" t="s">
        <v>33</v>
      </c>
      <c r="M20" s="27"/>
      <c r="N20" s="4" t="s">
        <v>16</v>
      </c>
      <c r="O20" s="25" t="s">
        <v>78</v>
      </c>
      <c r="P20" s="4" t="s">
        <v>34</v>
      </c>
      <c r="Q20" s="16" t="str">
        <f>HYPERLINK("[Icaffe_Export Sea_Operaton Test Cases.xlsx]ServiceInvoice_Print!A1","Go to  ServiceInvoice_Print")</f>
        <v>Go to  ServiceInvoice_Print</v>
      </c>
      <c r="R20" s="7" t="s">
        <v>11</v>
      </c>
      <c r="S20" s="20"/>
    </row>
    <row r="21" spans="1:19" ht="30" x14ac:dyDescent="0.25">
      <c r="A21" s="6">
        <v>20</v>
      </c>
      <c r="B21" s="3" t="s">
        <v>35</v>
      </c>
      <c r="C21" s="4" t="s">
        <v>39</v>
      </c>
      <c r="D21" s="4">
        <v>2</v>
      </c>
      <c r="E21" s="4"/>
      <c r="F21" s="4"/>
      <c r="G21" s="4">
        <v>2</v>
      </c>
      <c r="H21" s="4"/>
      <c r="I21" s="4">
        <v>0</v>
      </c>
      <c r="J21" s="14" t="s">
        <v>5</v>
      </c>
      <c r="K21" s="15">
        <v>46006</v>
      </c>
      <c r="L21" s="27" t="s">
        <v>33</v>
      </c>
      <c r="M21" s="27"/>
      <c r="N21" s="4" t="s">
        <v>16</v>
      </c>
      <c r="O21" s="27"/>
      <c r="P21" s="4" t="s">
        <v>34</v>
      </c>
      <c r="Q21" s="16" t="str">
        <f>HYPERLINK("[Icaffe_Export Sea_Operaton Test Cases.xlsx]ServiceInvoice_Print!A1","Go to  ServiceInvoice_Print")</f>
        <v>Go to  ServiceInvoice_Print</v>
      </c>
      <c r="R21" s="7" t="s">
        <v>11</v>
      </c>
      <c r="S21" s="20"/>
    </row>
    <row r="22" spans="1:19" ht="30" x14ac:dyDescent="0.25">
      <c r="A22" s="9">
        <v>21</v>
      </c>
      <c r="B22" s="3" t="s">
        <v>35</v>
      </c>
      <c r="C22" s="4" t="s">
        <v>79</v>
      </c>
      <c r="D22" s="12">
        <v>144</v>
      </c>
      <c r="E22" s="13">
        <v>111</v>
      </c>
      <c r="F22" s="13">
        <v>33</v>
      </c>
      <c r="G22" s="2"/>
      <c r="H22" s="8">
        <v>33</v>
      </c>
      <c r="I22" s="8">
        <v>0</v>
      </c>
      <c r="J22" s="14" t="s">
        <v>5</v>
      </c>
      <c r="K22" s="15">
        <v>46015</v>
      </c>
      <c r="L22" s="2"/>
      <c r="M22" s="2"/>
      <c r="N22" s="8" t="s">
        <v>16</v>
      </c>
      <c r="O22" s="10"/>
      <c r="P22" s="6" t="s">
        <v>47</v>
      </c>
      <c r="Q22" s="16" t="str">
        <f>HYPERLINK("[Icaffe_Export Sea_Operaton Test Cases.xlsx]Reimbursable_Invoice!A1","Go to  Reimbursable_Invoice")</f>
        <v>Go to  Reimbursable_Invoice</v>
      </c>
      <c r="R22" s="7" t="s">
        <v>11</v>
      </c>
      <c r="S22" s="20"/>
    </row>
    <row r="23" spans="1:19" ht="45" x14ac:dyDescent="0.25">
      <c r="A23" s="9">
        <v>22</v>
      </c>
      <c r="B23" s="11" t="s">
        <v>35</v>
      </c>
      <c r="C23" s="8" t="s">
        <v>67</v>
      </c>
      <c r="D23" s="6">
        <v>70</v>
      </c>
      <c r="E23" s="6">
        <v>56</v>
      </c>
      <c r="F23" s="6">
        <v>14</v>
      </c>
      <c r="G23" s="2"/>
      <c r="H23" s="6">
        <v>14</v>
      </c>
      <c r="I23" s="6">
        <v>0</v>
      </c>
      <c r="J23" s="14" t="s">
        <v>5</v>
      </c>
      <c r="K23" s="15">
        <v>46038</v>
      </c>
      <c r="L23" s="2"/>
      <c r="M23" s="2"/>
      <c r="N23" s="8" t="s">
        <v>16</v>
      </c>
      <c r="O23" s="24" t="s">
        <v>80</v>
      </c>
      <c r="P23" s="10" t="s">
        <v>68</v>
      </c>
      <c r="Q23" s="16" t="str">
        <f>HYPERLINK("[Icaffe_Export Sea_Operaton Test Cases.xlsx]ReimbursableInvoice_Search!A1","Go to  ReimbursableInvoice_Search")</f>
        <v>Go to  ReimbursableInvoice_Search</v>
      </c>
      <c r="R23" s="7" t="s">
        <v>11</v>
      </c>
      <c r="S23" s="20"/>
    </row>
    <row r="24" spans="1:19" ht="45" x14ac:dyDescent="0.25">
      <c r="A24" s="9">
        <v>23</v>
      </c>
      <c r="B24" s="11" t="s">
        <v>35</v>
      </c>
      <c r="C24" s="8" t="s">
        <v>69</v>
      </c>
      <c r="D24" s="6">
        <v>48</v>
      </c>
      <c r="E24" s="6">
        <v>26</v>
      </c>
      <c r="F24" s="6">
        <v>22</v>
      </c>
      <c r="G24" s="2"/>
      <c r="H24" s="6">
        <v>22</v>
      </c>
      <c r="I24" s="6">
        <v>0</v>
      </c>
      <c r="J24" s="14" t="s">
        <v>5</v>
      </c>
      <c r="K24" s="15">
        <v>46039</v>
      </c>
      <c r="L24" s="2"/>
      <c r="M24" s="2"/>
      <c r="N24" s="6" t="s">
        <v>16</v>
      </c>
      <c r="O24" s="25" t="s">
        <v>81</v>
      </c>
      <c r="P24" s="10" t="s">
        <v>70</v>
      </c>
      <c r="Q24" s="16" t="str">
        <f>HYPERLINK("[Icaffe_Export Sea_Operaton Test Cases.xlsx]ReimbursableInvoice_Print!A1","Go to  ReimbursableInvoice_Print")</f>
        <v>Go to  ReimbursableInvoice_Print</v>
      </c>
      <c r="R24" s="7" t="s">
        <v>11</v>
      </c>
      <c r="S24" s="20"/>
    </row>
    <row r="25" spans="1:19" ht="45" x14ac:dyDescent="0.25">
      <c r="A25" s="9">
        <v>24</v>
      </c>
      <c r="B25" s="11" t="s">
        <v>35</v>
      </c>
      <c r="C25" s="8" t="s">
        <v>90</v>
      </c>
      <c r="D25" s="6">
        <v>111</v>
      </c>
      <c r="E25" s="6">
        <v>90</v>
      </c>
      <c r="F25" s="6">
        <v>21</v>
      </c>
      <c r="G25" s="2"/>
      <c r="H25" s="6">
        <v>21</v>
      </c>
      <c r="I25" s="6">
        <v>0</v>
      </c>
      <c r="J25" s="14" t="s">
        <v>5</v>
      </c>
      <c r="K25" s="19">
        <v>46041</v>
      </c>
      <c r="L25" s="2"/>
      <c r="M25" s="2"/>
      <c r="N25" s="6" t="s">
        <v>16</v>
      </c>
      <c r="O25" s="24" t="s">
        <v>82</v>
      </c>
      <c r="P25" s="6" t="s">
        <v>71</v>
      </c>
      <c r="Q25" s="16" t="str">
        <f>HYPERLINK("[Icaffe_Export Sea_Operaton Test Cases.xlsx]Transport_Invoice!A1","Go to  Transport_Invoice")</f>
        <v>Go to  Transport_Invoice</v>
      </c>
      <c r="R25" s="7" t="s">
        <v>11</v>
      </c>
      <c r="S25" s="20"/>
    </row>
    <row r="26" spans="1:19" ht="45" x14ac:dyDescent="0.25">
      <c r="A26" s="9">
        <v>25</v>
      </c>
      <c r="B26" s="11" t="s">
        <v>35</v>
      </c>
      <c r="C26" s="8" t="s">
        <v>84</v>
      </c>
      <c r="D26" s="6">
        <v>69</v>
      </c>
      <c r="E26" s="6">
        <v>55</v>
      </c>
      <c r="F26" s="6">
        <v>14</v>
      </c>
      <c r="G26" s="6"/>
      <c r="H26" s="6">
        <v>14</v>
      </c>
      <c r="I26" s="6">
        <v>0</v>
      </c>
      <c r="J26" s="14" t="s">
        <v>5</v>
      </c>
      <c r="K26" s="19">
        <v>46060</v>
      </c>
      <c r="L26" s="2"/>
      <c r="M26" s="2"/>
      <c r="N26" s="6" t="s">
        <v>16</v>
      </c>
      <c r="O26" s="2"/>
      <c r="P26" s="6" t="s">
        <v>85</v>
      </c>
      <c r="Q26" s="16" t="str">
        <f>HYPERLINK("[Icaffe_Export Sea_Operaton Test Cases.xlsx]TransportInvoice_Search!A1","Go to  TransportInvoice_Search")</f>
        <v>Go to  TransportInvoice_Search</v>
      </c>
      <c r="R26" s="7" t="s">
        <v>11</v>
      </c>
      <c r="S26" s="2"/>
    </row>
    <row r="27" spans="1:19" ht="45" x14ac:dyDescent="0.25">
      <c r="A27" s="9">
        <v>26</v>
      </c>
      <c r="B27" s="11" t="s">
        <v>35</v>
      </c>
      <c r="C27" s="17" t="s">
        <v>86</v>
      </c>
      <c r="D27" s="18">
        <v>49</v>
      </c>
      <c r="E27" s="6">
        <v>28</v>
      </c>
      <c r="F27" s="6">
        <v>21</v>
      </c>
      <c r="G27" s="2"/>
      <c r="H27" s="6">
        <v>21</v>
      </c>
      <c r="I27" s="6">
        <v>0</v>
      </c>
      <c r="J27" s="14" t="s">
        <v>5</v>
      </c>
      <c r="K27" s="19">
        <v>46062</v>
      </c>
      <c r="L27" s="2"/>
      <c r="M27" s="2"/>
      <c r="N27" s="6" t="s">
        <v>16</v>
      </c>
      <c r="O27" s="24" t="s">
        <v>88</v>
      </c>
      <c r="P27" s="6" t="s">
        <v>89</v>
      </c>
      <c r="Q27" s="16" t="str">
        <f>HYPERLINK("[Icaffe_Export Sea_Operaton Test Cases.xlsx]TransportInvoice_Print!A1","Go to  TransportInvoice_Print")</f>
        <v>Go to  TransportInvoice_Print</v>
      </c>
      <c r="R27" s="10" t="s">
        <v>11</v>
      </c>
      <c r="S27" s="2"/>
    </row>
    <row r="28" spans="1:19" ht="45" x14ac:dyDescent="0.25">
      <c r="A28" s="9">
        <v>27</v>
      </c>
      <c r="B28" s="11" t="s">
        <v>35</v>
      </c>
      <c r="C28" s="17" t="s">
        <v>86</v>
      </c>
      <c r="D28" s="18">
        <v>2</v>
      </c>
      <c r="E28" s="6"/>
      <c r="F28" s="6"/>
      <c r="G28" s="6">
        <v>2</v>
      </c>
      <c r="H28" s="6"/>
      <c r="I28" s="2"/>
      <c r="J28" s="14" t="s">
        <v>5</v>
      </c>
      <c r="K28" s="19">
        <v>46062</v>
      </c>
      <c r="L28" s="2"/>
      <c r="M28" s="2"/>
      <c r="N28" s="6" t="s">
        <v>16</v>
      </c>
      <c r="O28" s="10"/>
      <c r="P28" s="6" t="s">
        <v>89</v>
      </c>
      <c r="Q28" s="16" t="str">
        <f>HYPERLINK("[Icaffe_Export Sea_Operaton Test Cases.xlsx]TransportInvoice_Print!A1","Go to  TransportInvoice_Print")</f>
        <v>Go to  TransportInvoice_Print</v>
      </c>
      <c r="R28" s="10" t="s">
        <v>11</v>
      </c>
      <c r="S28" s="2"/>
    </row>
    <row r="29" spans="1:19" ht="30" x14ac:dyDescent="0.25">
      <c r="A29" s="9">
        <v>28</v>
      </c>
      <c r="B29" s="11" t="s">
        <v>35</v>
      </c>
      <c r="C29" s="17" t="s">
        <v>91</v>
      </c>
      <c r="D29" s="18">
        <v>205</v>
      </c>
      <c r="E29" s="6">
        <v>161</v>
      </c>
      <c r="F29" s="6">
        <v>44</v>
      </c>
      <c r="G29" s="6"/>
      <c r="H29" s="6">
        <v>44</v>
      </c>
      <c r="I29" s="6">
        <v>0</v>
      </c>
      <c r="J29" s="14" t="s">
        <v>5</v>
      </c>
      <c r="K29" s="19">
        <v>46062</v>
      </c>
      <c r="L29" s="2"/>
      <c r="M29" s="2"/>
      <c r="N29" s="6" t="s">
        <v>16</v>
      </c>
      <c r="O29" s="10"/>
      <c r="P29" s="6" t="s">
        <v>93</v>
      </c>
      <c r="Q29" s="16" t="str">
        <f>HYPERLINK("[Icaffe_Export Sea_Operaton Test Cases.xlsx]Other_Invoice!A1","Go to  Other_Invoice")</f>
        <v>Go to  Other_Invoice</v>
      </c>
      <c r="R29" s="10" t="s">
        <v>11</v>
      </c>
      <c r="S29" s="2"/>
    </row>
    <row r="30" spans="1:19" ht="30" x14ac:dyDescent="0.25">
      <c r="A30" s="9">
        <v>29</v>
      </c>
      <c r="B30" s="11" t="s">
        <v>35</v>
      </c>
      <c r="C30" s="17" t="s">
        <v>92</v>
      </c>
      <c r="D30" s="6">
        <v>51</v>
      </c>
      <c r="E30" s="6">
        <v>45</v>
      </c>
      <c r="F30" s="6">
        <v>6</v>
      </c>
      <c r="G30" s="6"/>
      <c r="H30" s="6">
        <v>6</v>
      </c>
      <c r="I30" s="6">
        <v>0</v>
      </c>
      <c r="J30" s="14" t="s">
        <v>5</v>
      </c>
      <c r="K30" s="50">
        <v>46066</v>
      </c>
      <c r="L30" s="2"/>
      <c r="M30" s="2"/>
      <c r="N30" s="2" t="s">
        <v>87</v>
      </c>
      <c r="O30" s="2"/>
      <c r="P30" s="2" t="s">
        <v>94</v>
      </c>
      <c r="Q30" s="51" t="str">
        <f>HYPERLINK("[Icaffe_Export Sea_Operaton Test Cases.xlsx]OtherInvoice_Search!A1","Go to  OtherInvoice_Search")</f>
        <v>Go to  OtherInvoice_Search</v>
      </c>
      <c r="R30" s="10" t="s">
        <v>11</v>
      </c>
      <c r="S30" s="2"/>
    </row>
  </sheetData>
  <pageMargins left="0.7" right="0.7" top="0.75" bottom="0.75" header="0.3" footer="0.3"/>
  <pageSetup paperSize="9" orientation="portrait" verticalDpi="0" r:id="rId1"/>
  <ignoredErrors>
    <ignoredError sqref="Q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ICaffe_Tracker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2025-11-12T11:23:05Z</dcterms:created>
  <dcterms:modified xsi:type="dcterms:W3CDTF">2026-02-13T12:34:56Z</dcterms:modified>
</cp:coreProperties>
</file>
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30" windowWidth="28455" windowHeight="12255" tabRatio="678"/>
  </bookViews>
  <sheets>
    <sheet name="Tracker Log" sheetId="1" r:id="rId1"/>
    <sheet name="Extra Id" sheetId="2" r:id="rId2"/>
  </sheets>
  <calcPr calcId="124519"/>
</workbook>
</file>

<file path=xl/calcChain.xml><?xml version="1.0" encoding="utf-8"?>
<calcChain xmlns="http://schemas.openxmlformats.org/spreadsheetml/2006/main">
  <c r="Q60" i="1"/>
  <c r="Q59"/>
  <c r="Q58"/>
  <c r="Q57"/>
  <c r="Q56"/>
  <c r="Q55"/>
  <c r="Q54"/>
  <c r="Q53"/>
  <c r="Q52"/>
  <c r="Q51"/>
  <c r="Q50"/>
  <c r="Q49"/>
  <c r="Q48"/>
  <c r="Q47"/>
  <c r="Q46"/>
  <c r="Q45"/>
  <c r="Q44"/>
  <c r="Q43"/>
  <c r="Q42"/>
  <c r="Q41"/>
  <c r="Q40"/>
  <c r="Q39"/>
  <c r="Q38"/>
  <c r="Q37"/>
  <c r="Q36"/>
  <c r="Q35"/>
  <c r="Q34"/>
  <c r="Q33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Q3"/>
  <c r="Q2"/>
</calcChain>
</file>

<file path=xl/sharedStrings.xml><?xml version="1.0" encoding="utf-8"?>
<sst xmlns="http://schemas.openxmlformats.org/spreadsheetml/2006/main" count="357" uniqueCount="96">
  <si>
    <t>SL No.</t>
  </si>
  <si>
    <t>MODULES</t>
  </si>
  <si>
    <t>SUB-MODULES</t>
  </si>
  <si>
    <t>TOTAL TC</t>
  </si>
  <si>
    <t>COUNT PASS TC</t>
  </si>
  <si>
    <t>COUNT FAIL TC</t>
  </si>
  <si>
    <t>COUNT HOLD</t>
  </si>
  <si>
    <t>COUNT LOGED IN JIRA</t>
  </si>
  <si>
    <t>COUNT BUG FIXED</t>
  </si>
  <si>
    <t>TESTER Name</t>
  </si>
  <si>
    <t>START DATE</t>
  </si>
  <si>
    <t>END DATE</t>
  </si>
  <si>
    <t>BUG FIXED BY</t>
  </si>
  <si>
    <t>STATUS</t>
  </si>
  <si>
    <t>REMARKS</t>
  </si>
  <si>
    <t>REFERENCE SHEET NAME</t>
  </si>
  <si>
    <t>FILE HYPERLINK NAME</t>
  </si>
  <si>
    <t>REVIEWED BY</t>
  </si>
  <si>
    <t>REVIEWED DATE</t>
  </si>
  <si>
    <t>Masters</t>
  </si>
  <si>
    <t>Shivam Singh</t>
  </si>
  <si>
    <t>Pooja/Suraj Rana</t>
  </si>
  <si>
    <t>Pending</t>
  </si>
  <si>
    <t>Sudhir kumar sinha</t>
  </si>
  <si>
    <t>Suraj Rana</t>
  </si>
  <si>
    <t>Done</t>
  </si>
  <si>
    <t>Regional Master --&gt; Cost Center Master</t>
  </si>
  <si>
    <t>Misc Master - Pricniple Line HBL Master</t>
  </si>
  <si>
    <t>Misc Master - Notes, Terms &amp; Conditions</t>
  </si>
  <si>
    <t xml:space="preserve">Misc Master - Segment Master
</t>
  </si>
  <si>
    <t xml:space="preserve">Shipment Status
</t>
  </si>
  <si>
    <t xml:space="preserve">Destuffing
</t>
  </si>
  <si>
    <t xml:space="preserve">Document
</t>
  </si>
  <si>
    <t xml:space="preserve">Container
</t>
  </si>
  <si>
    <t xml:space="preserve">Stuffing Master
</t>
  </si>
  <si>
    <t xml:space="preserve">Daily Currency Rate
</t>
  </si>
  <si>
    <t xml:space="preserve">Container Yard Master
</t>
  </si>
  <si>
    <t xml:space="preserve">Create Branch
</t>
  </si>
  <si>
    <t xml:space="preserve">Charge Master - Pricing
</t>
  </si>
  <si>
    <t>Operation</t>
  </si>
  <si>
    <t xml:space="preserve">Shipment Registration
</t>
  </si>
  <si>
    <t xml:space="preserve">EDI Master --&gt; CHA Port Master
</t>
  </si>
  <si>
    <t>BA-482</t>
  </si>
  <si>
    <t>BA-256</t>
  </si>
  <si>
    <t>BA-443</t>
  </si>
  <si>
    <t xml:space="preserve">EDI Master --&gt; Transporter Master
</t>
  </si>
  <si>
    <t>Extra Bug Id  - Not Recorded in Test Cases</t>
  </si>
  <si>
    <t xml:space="preserve">EDI Master --&gt; Drawback Schedule
</t>
  </si>
  <si>
    <t xml:space="preserve">EDI Master --&gt; Country
</t>
  </si>
  <si>
    <t xml:space="preserve">EDI Master --&gt; Licence Master New
</t>
  </si>
  <si>
    <t xml:space="preserve">EDI Master --&gt; eSanchit Code
</t>
  </si>
  <si>
    <t xml:space="preserve">EDI Master --&gt; CESS Schedule Master
</t>
  </si>
  <si>
    <t xml:space="preserve">EDI Master --&gt; Rodtep Master
</t>
  </si>
  <si>
    <t>Updated</t>
  </si>
  <si>
    <t xml:space="preserve">Updated </t>
  </si>
  <si>
    <t xml:space="preserve">EDI Master --&gt; Vehicle Owner Master
</t>
  </si>
  <si>
    <t>Use Case Status</t>
  </si>
  <si>
    <t>BA-656</t>
  </si>
  <si>
    <t xml:space="preserve">EDI Master --&gt; Item Template Master
</t>
  </si>
  <si>
    <t xml:space="preserve">EDI Master --&gt; ROSL DBK
</t>
  </si>
  <si>
    <t>Created / Updated</t>
  </si>
  <si>
    <t xml:space="preserve">EDI Master --&gt; Licence Master
</t>
  </si>
  <si>
    <t xml:space="preserve">Party --&gt; Bank BRO
</t>
  </si>
  <si>
    <t xml:space="preserve">Party --&gt; CFS Master
</t>
  </si>
  <si>
    <t xml:space="preserve">EDI Master --&gt; Currency
</t>
  </si>
  <si>
    <t xml:space="preserve">EDI Master --&gt; RITC
</t>
  </si>
  <si>
    <t xml:space="preserve">EDI Master --&gt; Port
</t>
  </si>
  <si>
    <t xml:space="preserve">EDI Master --&gt; Loading &amp; CHA Port
</t>
  </si>
  <si>
    <t xml:space="preserve">Regional Master --&gt; Zone Master
</t>
  </si>
  <si>
    <t xml:space="preserve">Regional Master --&gt; Country Master
</t>
  </si>
  <si>
    <t xml:space="preserve">Regional Master --&gt; Region Master
</t>
  </si>
  <si>
    <t xml:space="preserve">Regional Master --&gt; FF Port Master
</t>
  </si>
  <si>
    <t xml:space="preserve">Regional Master --&gt; Action Master
</t>
  </si>
  <si>
    <t xml:space="preserve">Regional Master --&gt; Period Master
</t>
  </si>
  <si>
    <t xml:space="preserve">Shipment info --&gt; IMO Master
</t>
  </si>
  <si>
    <t xml:space="preserve">Shipment info --&gt; Unit Master
</t>
  </si>
  <si>
    <t xml:space="preserve">Shipment info --&gt; CHA Service
</t>
  </si>
  <si>
    <t xml:space="preserve">Misc Master - Trigger Master
</t>
  </si>
  <si>
    <t xml:space="preserve">Misc Master - Project Type Master
</t>
  </si>
  <si>
    <t xml:space="preserve">Vessel Info - Vessel
</t>
  </si>
  <si>
    <t xml:space="preserve">Vessel Info - Schedule
</t>
  </si>
  <si>
    <t xml:space="preserve">Shipment Plan Master
</t>
  </si>
  <si>
    <t>Accounts</t>
  </si>
  <si>
    <t xml:space="preserve">Master -&gt; Ledger Account
</t>
  </si>
  <si>
    <t xml:space="preserve">Master -&gt; GST Charges
</t>
  </si>
  <si>
    <t xml:space="preserve">Shipment Plan -&gt; Shipment Plan
</t>
  </si>
  <si>
    <t xml:space="preserve">Master -&gt; TDS Schedule
</t>
  </si>
  <si>
    <t xml:space="preserve">Master -&gt; Charge Rules
</t>
  </si>
  <si>
    <t>Charge Master - Cost/Revenue Master</t>
  </si>
  <si>
    <t xml:space="preserve">Master -&gt; Item Master
</t>
  </si>
  <si>
    <t xml:space="preserve">Master -&gt; Division Mapping
</t>
  </si>
  <si>
    <t xml:space="preserve">Master -&gt; TDS Party
</t>
  </si>
  <si>
    <t xml:space="preserve">Master -&gt; SAC Master
</t>
  </si>
  <si>
    <t xml:space="preserve">Master -&gt; Depreciation Rates Master
</t>
  </si>
  <si>
    <t xml:space="preserve">Master -&gt; Merge Accounts
</t>
  </si>
  <si>
    <t xml:space="preserve">Voucher -&gt; Receipt Voucher
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</si>
</sst>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3F3F7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6" fillId="0" borderId="0" applyNumberFormat="0" applyFill="0" applyBorder="0" applyAlignment="0" applyProtection="0">
      <alignment vertical="top"/>
      <protection locked="0"/>
    </xf>
  </cellStyleXfs>
  <cellXfs count="49">
    <xf numFmtId="0" fontId="0" fillId="0" borderId="0" xfId="0"/>
    <xf numFmtId="0" fontId="0" fillId="0" borderId="2" xfId="0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14" fontId="4" fillId="0" borderId="2" xfId="0" applyNumberFormat="1" applyFont="1" applyBorder="1" applyAlignment="1">
      <alignment horizontal="left" vertical="top" wrapText="1"/>
    </xf>
    <xf numFmtId="0" fontId="0" fillId="0" borderId="2" xfId="0" applyBorder="1" applyAlignment="1">
      <alignment wrapText="1"/>
    </xf>
    <xf numFmtId="14" fontId="6" fillId="0" borderId="2" xfId="2" applyNumberFormat="1" applyBorder="1" applyAlignment="1" applyProtection="1">
      <alignment horizontal="left" vertical="top" wrapText="1"/>
    </xf>
    <xf numFmtId="0" fontId="0" fillId="0" borderId="2" xfId="0" applyBorder="1" applyAlignment="1">
      <alignment vertical="top" wrapText="1"/>
    </xf>
    <xf numFmtId="0" fontId="4" fillId="5" borderId="2" xfId="0" applyFont="1" applyFill="1" applyBorder="1" applyAlignment="1">
      <alignment horizontal="left" vertical="top" wrapText="1"/>
    </xf>
    <xf numFmtId="0" fontId="5" fillId="5" borderId="2" xfId="0" applyFont="1" applyFill="1" applyBorder="1" applyAlignment="1">
      <alignment horizontal="left" vertical="top" wrapText="1"/>
    </xf>
    <xf numFmtId="14" fontId="4" fillId="5" borderId="2" xfId="0" applyNumberFormat="1" applyFont="1" applyFill="1" applyBorder="1" applyAlignment="1">
      <alignment horizontal="left" vertical="top" wrapText="1"/>
    </xf>
    <xf numFmtId="0" fontId="0" fillId="5" borderId="2" xfId="0" applyFill="1" applyBorder="1" applyAlignment="1">
      <alignment wrapText="1"/>
    </xf>
    <xf numFmtId="14" fontId="6" fillId="5" borderId="2" xfId="2" applyNumberFormat="1" applyFill="1" applyBorder="1" applyAlignment="1" applyProtection="1">
      <alignment horizontal="left" vertical="top" wrapText="1"/>
    </xf>
    <xf numFmtId="0" fontId="4" fillId="4" borderId="2" xfId="0" applyFont="1" applyFill="1" applyBorder="1" applyAlignment="1">
      <alignment horizontal="left" vertical="top" wrapText="1"/>
    </xf>
    <xf numFmtId="14" fontId="4" fillId="4" borderId="2" xfId="0" applyNumberFormat="1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vertical="top" wrapText="1"/>
    </xf>
    <xf numFmtId="0" fontId="3" fillId="3" borderId="2" xfId="1" applyFont="1" applyFill="1" applyBorder="1" applyAlignment="1">
      <alignment vertical="top" wrapText="1"/>
    </xf>
    <xf numFmtId="0" fontId="0" fillId="0" borderId="0" xfId="0" applyAlignment="1">
      <alignment wrapText="1"/>
    </xf>
    <xf numFmtId="0" fontId="0" fillId="5" borderId="2" xfId="0" applyFill="1" applyBorder="1" applyAlignment="1">
      <alignment horizontal="left" vertical="top" wrapText="1"/>
    </xf>
    <xf numFmtId="0" fontId="0" fillId="5" borderId="2" xfId="0" applyFill="1" applyBorder="1" applyAlignment="1">
      <alignment horizontal="left" vertical="top"/>
    </xf>
    <xf numFmtId="0" fontId="0" fillId="5" borderId="2" xfId="0" applyFill="1" applyBorder="1"/>
    <xf numFmtId="0" fontId="0" fillId="0" borderId="2" xfId="0" applyBorder="1" applyAlignment="1">
      <alignment horizontal="left" vertical="top"/>
    </xf>
    <xf numFmtId="0" fontId="0" fillId="0" borderId="2" xfId="0" applyBorder="1"/>
    <xf numFmtId="0" fontId="0" fillId="4" borderId="2" xfId="0" applyFill="1" applyBorder="1" applyAlignment="1">
      <alignment horizontal="left" vertical="top"/>
    </xf>
    <xf numFmtId="0" fontId="0" fillId="0" borderId="2" xfId="0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0" fillId="4" borderId="2" xfId="0" applyFill="1" applyBorder="1"/>
    <xf numFmtId="0" fontId="0" fillId="4" borderId="2" xfId="0" applyFill="1" applyBorder="1" applyAlignment="1">
      <alignment vertical="top" wrapText="1"/>
    </xf>
    <xf numFmtId="14" fontId="6" fillId="4" borderId="2" xfId="2" applyNumberFormat="1" applyFill="1" applyBorder="1" applyAlignment="1" applyProtection="1">
      <alignment horizontal="left" vertical="top" wrapText="1"/>
    </xf>
    <xf numFmtId="0" fontId="5" fillId="5" borderId="2" xfId="0" applyFont="1" applyFill="1" applyBorder="1"/>
    <xf numFmtId="0" fontId="4" fillId="0" borderId="2" xfId="0" applyFont="1" applyBorder="1" applyAlignment="1">
      <alignment horizontal="left" vertical="top"/>
    </xf>
    <xf numFmtId="0" fontId="4" fillId="4" borderId="2" xfId="0" applyFont="1" applyFill="1" applyBorder="1" applyAlignment="1">
      <alignment horizontal="left" vertical="top"/>
    </xf>
    <xf numFmtId="14" fontId="4" fillId="0" borderId="2" xfId="0" applyNumberFormat="1" applyFont="1" applyBorder="1" applyAlignment="1">
      <alignment horizontal="left" vertical="top"/>
    </xf>
    <xf numFmtId="0" fontId="0" fillId="0" borderId="2" xfId="0" applyBorder="1" applyAlignment="1"/>
    <xf numFmtId="14" fontId="6" fillId="0" borderId="2" xfId="2" applyNumberFormat="1" applyBorder="1" applyAlignment="1" applyProtection="1">
      <alignment horizontal="left" vertical="top"/>
    </xf>
    <xf numFmtId="0" fontId="5" fillId="4" borderId="2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/>
    </xf>
    <xf numFmtId="0" fontId="0" fillId="4" borderId="2" xfId="0" applyFill="1" applyBorder="1" applyAlignment="1">
      <alignment vertical="top"/>
    </xf>
    <xf numFmtId="0" fontId="0" fillId="6" borderId="2" xfId="0" applyFill="1" applyBorder="1" applyAlignment="1">
      <alignment horizontal="left" vertical="top"/>
    </xf>
    <xf numFmtId="0" fontId="4" fillId="6" borderId="2" xfId="0" applyFont="1" applyFill="1" applyBorder="1" applyAlignment="1">
      <alignment horizontal="left" vertical="top" wrapText="1"/>
    </xf>
    <xf numFmtId="0" fontId="0" fillId="6" borderId="2" xfId="0" applyFill="1" applyBorder="1"/>
    <xf numFmtId="14" fontId="4" fillId="6" borderId="2" xfId="0" applyNumberFormat="1" applyFont="1" applyFill="1" applyBorder="1" applyAlignment="1">
      <alignment horizontal="left" vertical="top" wrapText="1"/>
    </xf>
    <xf numFmtId="0" fontId="0" fillId="6" borderId="2" xfId="0" applyFill="1" applyBorder="1" applyAlignment="1">
      <alignment vertical="top"/>
    </xf>
    <xf numFmtId="14" fontId="6" fillId="6" borderId="2" xfId="2" applyNumberFormat="1" applyFill="1" applyBorder="1" applyAlignment="1" applyProtection="1">
      <alignment horizontal="left" vertical="top" wrapText="1"/>
    </xf>
    <xf numFmtId="0" fontId="0" fillId="6" borderId="0" xfId="0" applyFill="1" applyAlignment="1">
      <alignment wrapText="1"/>
    </xf>
    <xf numFmtId="0" fontId="5" fillId="0" borderId="2" xfId="0" applyFont="1" applyBorder="1" applyAlignment="1">
      <alignment horizontal="left" vertical="top"/>
    </xf>
    <xf numFmtId="0" fontId="5" fillId="0" borderId="2" xfId="0" applyFont="1" applyBorder="1"/>
  </cellXfs>
  <cellStyles count="3">
    <cellStyle name="Hyperlink" xfId="2" builtinId="8"/>
    <cellStyle name="Input" xfId="1" builtinId="20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6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.140625" style="18"/>
    <col min="2" max="2" width="15.7109375" style="18" customWidth="1"/>
    <col min="3" max="3" width="37.7109375" style="18" customWidth="1"/>
    <col min="4" max="4" width="15.85546875" style="18" customWidth="1"/>
    <col min="5" max="5" width="22" style="18" customWidth="1"/>
    <col min="6" max="6" width="19.5703125" style="18" customWidth="1"/>
    <col min="7" max="7" width="19.85546875" style="18" customWidth="1"/>
    <col min="8" max="8" width="28.5703125" style="18" customWidth="1"/>
    <col min="9" max="9" width="24" style="18" customWidth="1"/>
    <col min="10" max="10" width="19" style="18" customWidth="1"/>
    <col min="11" max="11" width="17" style="18" customWidth="1"/>
    <col min="12" max="12" width="15.7109375" style="18" customWidth="1"/>
    <col min="13" max="13" width="19.28515625" style="18" customWidth="1"/>
    <col min="14" max="14" width="13.7109375" style="18" customWidth="1"/>
    <col min="15" max="15" width="39.28515625" style="18" customWidth="1"/>
    <col min="16" max="16" width="34" style="18" customWidth="1"/>
    <col min="17" max="17" width="29.42578125" style="18" customWidth="1"/>
    <col min="18" max="18" width="21.42578125" style="18" customWidth="1"/>
    <col min="19" max="19" width="21.85546875" style="18" customWidth="1"/>
    <col min="20" max="20" width="41.5703125" style="18" customWidth="1"/>
    <col min="21" max="16384" width="9.140625" style="18"/>
  </cols>
  <sheetData>
    <row r="1" spans="1:20" ht="18.75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37" t="s">
        <v>56</v>
      </c>
    </row>
    <row r="2" spans="1:20" ht="31.5">
      <c r="A2" s="19">
        <v>1</v>
      </c>
      <c r="B2" s="8" t="s">
        <v>19</v>
      </c>
      <c r="C2" s="8" t="s">
        <v>62</v>
      </c>
      <c r="D2" s="8">
        <v>55</v>
      </c>
      <c r="E2" s="8">
        <v>42</v>
      </c>
      <c r="F2" s="8">
        <v>13</v>
      </c>
      <c r="G2" s="8"/>
      <c r="H2" s="8">
        <v>13</v>
      </c>
      <c r="I2" s="8">
        <v>13</v>
      </c>
      <c r="J2" s="10" t="s">
        <v>20</v>
      </c>
      <c r="K2" s="10">
        <v>45968</v>
      </c>
      <c r="L2" s="10">
        <v>46045</v>
      </c>
      <c r="M2" s="10" t="s">
        <v>21</v>
      </c>
      <c r="N2" s="10" t="s">
        <v>25</v>
      </c>
      <c r="O2" s="26"/>
      <c r="P2" s="9"/>
      <c r="Q2" s="12" t="str">
        <f>HYPERLINK("#'Bank_BRO'!A1","Bank_BRO")</f>
        <v>Bank_BRO</v>
      </c>
      <c r="R2" s="10" t="s">
        <v>23</v>
      </c>
      <c r="S2" s="26"/>
      <c r="T2" s="7" t="s">
        <v>53</v>
      </c>
    </row>
    <row r="3" spans="1:20" ht="31.5">
      <c r="A3" s="20">
        <v>2</v>
      </c>
      <c r="B3" s="8" t="s">
        <v>19</v>
      </c>
      <c r="C3" s="8" t="s">
        <v>63</v>
      </c>
      <c r="D3" s="8">
        <v>75</v>
      </c>
      <c r="E3" s="8">
        <v>45</v>
      </c>
      <c r="F3" s="8">
        <v>30</v>
      </c>
      <c r="G3" s="8"/>
      <c r="H3" s="8">
        <v>30</v>
      </c>
      <c r="I3" s="8">
        <v>30</v>
      </c>
      <c r="J3" s="10" t="s">
        <v>20</v>
      </c>
      <c r="K3" s="10">
        <v>45975</v>
      </c>
      <c r="L3" s="10">
        <v>46034</v>
      </c>
      <c r="M3" s="10" t="s">
        <v>21</v>
      </c>
      <c r="N3" s="10" t="s">
        <v>25</v>
      </c>
      <c r="O3" s="11"/>
      <c r="P3" s="9"/>
      <c r="Q3" s="12" t="str">
        <f>HYPERLINK("#'CFS Master'!A1","CFS Master")</f>
        <v>CFS Master</v>
      </c>
      <c r="R3" s="10" t="s">
        <v>23</v>
      </c>
      <c r="S3" s="21"/>
      <c r="T3" s="7" t="s">
        <v>54</v>
      </c>
    </row>
    <row r="4" spans="1:20" ht="31.5">
      <c r="A4" s="20">
        <v>3</v>
      </c>
      <c r="B4" s="8" t="s">
        <v>19</v>
      </c>
      <c r="C4" s="8" t="s">
        <v>64</v>
      </c>
      <c r="D4" s="8">
        <v>29</v>
      </c>
      <c r="E4" s="8">
        <v>27</v>
      </c>
      <c r="F4" s="8">
        <v>2</v>
      </c>
      <c r="G4" s="8"/>
      <c r="H4" s="8">
        <v>2</v>
      </c>
      <c r="I4" s="8">
        <v>2</v>
      </c>
      <c r="J4" s="10" t="s">
        <v>20</v>
      </c>
      <c r="K4" s="10">
        <v>45983</v>
      </c>
      <c r="L4" s="10">
        <v>46028</v>
      </c>
      <c r="M4" s="10" t="s">
        <v>24</v>
      </c>
      <c r="N4" s="10" t="s">
        <v>25</v>
      </c>
      <c r="O4" s="26"/>
      <c r="P4" s="9"/>
      <c r="Q4" s="12" t="str">
        <f>HYPERLINK("#'Currency'!A1","Currency")</f>
        <v>Currency</v>
      </c>
      <c r="R4" s="10" t="s">
        <v>23</v>
      </c>
      <c r="S4" s="21"/>
      <c r="T4" s="7" t="s">
        <v>54</v>
      </c>
    </row>
    <row r="5" spans="1:20" ht="31.5">
      <c r="A5" s="20">
        <v>4</v>
      </c>
      <c r="B5" s="8" t="s">
        <v>19</v>
      </c>
      <c r="C5" s="8" t="s">
        <v>65</v>
      </c>
      <c r="D5" s="8">
        <v>29</v>
      </c>
      <c r="E5" s="8">
        <v>19</v>
      </c>
      <c r="F5" s="8">
        <v>10</v>
      </c>
      <c r="G5" s="8"/>
      <c r="H5" s="8">
        <v>10</v>
      </c>
      <c r="I5" s="8">
        <v>10</v>
      </c>
      <c r="J5" s="10" t="s">
        <v>20</v>
      </c>
      <c r="K5" s="10">
        <v>45986</v>
      </c>
      <c r="L5" s="10">
        <v>46055</v>
      </c>
      <c r="M5" s="10" t="s">
        <v>24</v>
      </c>
      <c r="N5" s="10" t="s">
        <v>25</v>
      </c>
      <c r="O5" s="26"/>
      <c r="P5" s="9"/>
      <c r="Q5" s="12" t="str">
        <f>HYPERLINK("#'RITC'!A1","RITC")</f>
        <v>RITC</v>
      </c>
      <c r="R5" s="10" t="s">
        <v>23</v>
      </c>
      <c r="S5" s="21"/>
      <c r="T5" s="7" t="s">
        <v>54</v>
      </c>
    </row>
    <row r="6" spans="1:20" ht="31.5">
      <c r="A6" s="22">
        <v>5</v>
      </c>
      <c r="B6" s="2" t="s">
        <v>19</v>
      </c>
      <c r="C6" s="2" t="s">
        <v>66</v>
      </c>
      <c r="D6" s="2">
        <v>21</v>
      </c>
      <c r="E6" s="2">
        <v>14</v>
      </c>
      <c r="F6" s="2">
        <v>7</v>
      </c>
      <c r="G6" s="2"/>
      <c r="H6" s="2">
        <v>7</v>
      </c>
      <c r="I6" s="2"/>
      <c r="J6" s="4" t="s">
        <v>20</v>
      </c>
      <c r="K6" s="4">
        <v>45990</v>
      </c>
      <c r="L6" s="23"/>
      <c r="M6" s="23"/>
      <c r="N6" s="4" t="s">
        <v>22</v>
      </c>
      <c r="O6" s="7"/>
      <c r="P6" s="3"/>
      <c r="Q6" s="6" t="str">
        <f>HYPERLINK("#'Port'!A1","Port")</f>
        <v>Port</v>
      </c>
      <c r="R6" s="4" t="s">
        <v>23</v>
      </c>
      <c r="S6" s="23"/>
      <c r="T6" s="25"/>
    </row>
    <row r="7" spans="1:20" ht="31.5">
      <c r="A7" s="22">
        <v>6</v>
      </c>
      <c r="B7" s="2" t="s">
        <v>19</v>
      </c>
      <c r="C7" s="2" t="s">
        <v>67</v>
      </c>
      <c r="D7" s="2">
        <v>0</v>
      </c>
      <c r="E7" s="2"/>
      <c r="F7" s="2"/>
      <c r="G7" s="2"/>
      <c r="H7" s="2"/>
      <c r="I7" s="2"/>
      <c r="J7" s="4" t="s">
        <v>20</v>
      </c>
      <c r="K7" s="2"/>
      <c r="L7" s="23"/>
      <c r="M7" s="23"/>
      <c r="N7" s="4" t="s">
        <v>22</v>
      </c>
      <c r="O7" s="7"/>
      <c r="P7" s="3"/>
      <c r="Q7" s="6" t="str">
        <f>HYPERLINK("#'Loading &amp; CHA Port'!A1","Loading &amp; CHA Port")</f>
        <v>Loading &amp; CHA Port</v>
      </c>
      <c r="R7" s="4" t="s">
        <v>23</v>
      </c>
      <c r="S7" s="23"/>
      <c r="T7" s="25"/>
    </row>
    <row r="8" spans="1:20" ht="31.5">
      <c r="A8" s="9">
        <v>7</v>
      </c>
      <c r="B8" s="8" t="s">
        <v>19</v>
      </c>
      <c r="C8" s="8" t="s">
        <v>68</v>
      </c>
      <c r="D8" s="8">
        <v>20</v>
      </c>
      <c r="E8" s="8">
        <v>15</v>
      </c>
      <c r="F8" s="8">
        <v>5</v>
      </c>
      <c r="G8" s="8"/>
      <c r="H8" s="8">
        <v>5</v>
      </c>
      <c r="I8" s="8">
        <v>5</v>
      </c>
      <c r="J8" s="10" t="s">
        <v>20</v>
      </c>
      <c r="K8" s="10">
        <v>45992</v>
      </c>
      <c r="L8" s="10">
        <v>46035</v>
      </c>
      <c r="M8" s="10" t="s">
        <v>24</v>
      </c>
      <c r="N8" s="10" t="s">
        <v>25</v>
      </c>
      <c r="O8" s="26"/>
      <c r="P8" s="9"/>
      <c r="Q8" s="12" t="str">
        <f>HYPERLINK("#'Zone Master'!A1","Zone Master")</f>
        <v>Zone Master</v>
      </c>
      <c r="R8" s="10" t="s">
        <v>23</v>
      </c>
      <c r="S8" s="11"/>
      <c r="T8" s="7" t="s">
        <v>54</v>
      </c>
    </row>
    <row r="9" spans="1:20" ht="31.5">
      <c r="A9" s="20">
        <v>8</v>
      </c>
      <c r="B9" s="8" t="s">
        <v>19</v>
      </c>
      <c r="C9" s="8" t="s">
        <v>69</v>
      </c>
      <c r="D9" s="8">
        <v>25</v>
      </c>
      <c r="E9" s="8">
        <v>17</v>
      </c>
      <c r="F9" s="8">
        <v>8</v>
      </c>
      <c r="G9" s="8"/>
      <c r="H9" s="8">
        <v>8</v>
      </c>
      <c r="I9" s="8">
        <v>8</v>
      </c>
      <c r="J9" s="10" t="s">
        <v>20</v>
      </c>
      <c r="K9" s="10">
        <v>45992</v>
      </c>
      <c r="L9" s="10">
        <v>46079</v>
      </c>
      <c r="M9" s="10" t="s">
        <v>24</v>
      </c>
      <c r="N9" s="10" t="s">
        <v>25</v>
      </c>
      <c r="O9" s="26"/>
      <c r="P9" s="8"/>
      <c r="Q9" s="12" t="str">
        <f>HYPERLINK("#'Country Master'!A1","Country Master")</f>
        <v>Country Master</v>
      </c>
      <c r="R9" s="10" t="s">
        <v>23</v>
      </c>
      <c r="S9" s="21"/>
      <c r="T9" s="7" t="s">
        <v>53</v>
      </c>
    </row>
    <row r="10" spans="1:20" ht="31.5">
      <c r="A10" s="9">
        <v>9</v>
      </c>
      <c r="B10" s="8" t="s">
        <v>19</v>
      </c>
      <c r="C10" s="8" t="s">
        <v>70</v>
      </c>
      <c r="D10" s="8">
        <v>23</v>
      </c>
      <c r="E10" s="8">
        <v>18</v>
      </c>
      <c r="F10" s="8">
        <v>5</v>
      </c>
      <c r="G10" s="8"/>
      <c r="H10" s="8">
        <v>5</v>
      </c>
      <c r="I10" s="8">
        <v>5</v>
      </c>
      <c r="J10" s="10" t="s">
        <v>20</v>
      </c>
      <c r="K10" s="10">
        <v>45993</v>
      </c>
      <c r="L10" s="10">
        <v>46055</v>
      </c>
      <c r="M10" s="10" t="s">
        <v>24</v>
      </c>
      <c r="N10" s="10" t="s">
        <v>25</v>
      </c>
      <c r="O10" s="26"/>
      <c r="P10" s="30"/>
      <c r="Q10" s="12" t="str">
        <f>HYPERLINK("#'Region Master'!A1","Region Master")</f>
        <v>Region Master</v>
      </c>
      <c r="R10" s="10" t="s">
        <v>23</v>
      </c>
      <c r="S10" s="21"/>
      <c r="T10" s="7" t="s">
        <v>54</v>
      </c>
    </row>
    <row r="11" spans="1:20" ht="31.5">
      <c r="A11" s="20">
        <v>10</v>
      </c>
      <c r="B11" s="8" t="s">
        <v>19</v>
      </c>
      <c r="C11" s="8" t="s">
        <v>71</v>
      </c>
      <c r="D11" s="8">
        <v>26</v>
      </c>
      <c r="E11" s="8">
        <v>17</v>
      </c>
      <c r="F11" s="8">
        <v>9</v>
      </c>
      <c r="G11" s="8"/>
      <c r="H11" s="8">
        <v>9</v>
      </c>
      <c r="I11" s="8">
        <v>9</v>
      </c>
      <c r="J11" s="10" t="s">
        <v>20</v>
      </c>
      <c r="K11" s="10">
        <v>45994</v>
      </c>
      <c r="L11" s="10">
        <v>46086</v>
      </c>
      <c r="M11" s="10" t="s">
        <v>24</v>
      </c>
      <c r="N11" s="10" t="s">
        <v>25</v>
      </c>
      <c r="O11" s="26"/>
      <c r="P11" s="21"/>
      <c r="Q11" s="12" t="str">
        <f>HYPERLINK("#'FF Port Master'!A1","FF Port Master")</f>
        <v>FF Port Master</v>
      </c>
      <c r="R11" s="10" t="s">
        <v>23</v>
      </c>
      <c r="S11" s="21"/>
      <c r="T11" s="7" t="s">
        <v>54</v>
      </c>
    </row>
    <row r="12" spans="1:20" ht="31.5">
      <c r="A12" s="22">
        <v>11</v>
      </c>
      <c r="B12" s="13" t="s">
        <v>19</v>
      </c>
      <c r="C12" s="13" t="s">
        <v>72</v>
      </c>
      <c r="D12" s="13">
        <v>19</v>
      </c>
      <c r="E12" s="13">
        <v>11</v>
      </c>
      <c r="F12" s="13">
        <v>8</v>
      </c>
      <c r="G12" s="13"/>
      <c r="H12" s="13">
        <v>8</v>
      </c>
      <c r="I12" s="24"/>
      <c r="J12" s="4" t="s">
        <v>20</v>
      </c>
      <c r="K12" s="14">
        <v>45995</v>
      </c>
      <c r="L12" s="23"/>
      <c r="M12" s="23"/>
      <c r="N12" s="4" t="s">
        <v>22</v>
      </c>
      <c r="O12" s="7"/>
      <c r="P12" s="23"/>
      <c r="Q12" s="6" t="str">
        <f>HYPERLINK("#'Action Master'!A1","Action Master")</f>
        <v>Action Master</v>
      </c>
      <c r="R12" s="4" t="s">
        <v>23</v>
      </c>
      <c r="S12" s="23"/>
      <c r="T12" s="23"/>
    </row>
    <row r="13" spans="1:20" ht="31.5">
      <c r="A13" s="22">
        <v>12</v>
      </c>
      <c r="B13" s="13" t="s">
        <v>19</v>
      </c>
      <c r="C13" s="13" t="s">
        <v>73</v>
      </c>
      <c r="D13" s="13">
        <v>16</v>
      </c>
      <c r="E13" s="13">
        <v>10</v>
      </c>
      <c r="F13" s="13">
        <v>6</v>
      </c>
      <c r="G13" s="13"/>
      <c r="H13" s="13">
        <v>6</v>
      </c>
      <c r="I13" s="24"/>
      <c r="J13" s="4" t="s">
        <v>20</v>
      </c>
      <c r="K13" s="14">
        <v>46000</v>
      </c>
      <c r="L13" s="23"/>
      <c r="M13" s="23"/>
      <c r="N13" s="4" t="s">
        <v>22</v>
      </c>
      <c r="O13" s="7"/>
      <c r="P13" s="23"/>
      <c r="Q13" s="6" t="str">
        <f>HYPERLINK("#'Period Master'!A1","Period Master")</f>
        <v>Period Master</v>
      </c>
      <c r="R13" s="4" t="s">
        <v>23</v>
      </c>
      <c r="S13" s="23"/>
      <c r="T13" s="23"/>
    </row>
    <row r="14" spans="1:20" ht="31.5">
      <c r="A14" s="20">
        <v>13</v>
      </c>
      <c r="B14" s="8" t="s">
        <v>19</v>
      </c>
      <c r="C14" s="8" t="s">
        <v>26</v>
      </c>
      <c r="D14" s="8">
        <v>18</v>
      </c>
      <c r="E14" s="8">
        <v>12</v>
      </c>
      <c r="F14" s="8">
        <v>6</v>
      </c>
      <c r="G14" s="8"/>
      <c r="H14" s="8">
        <v>6</v>
      </c>
      <c r="I14" s="8">
        <v>6</v>
      </c>
      <c r="J14" s="10" t="s">
        <v>20</v>
      </c>
      <c r="K14" s="10">
        <v>46000</v>
      </c>
      <c r="L14" s="10">
        <v>46079</v>
      </c>
      <c r="M14" s="10" t="s">
        <v>24</v>
      </c>
      <c r="N14" s="10" t="s">
        <v>25</v>
      </c>
      <c r="O14" s="26"/>
      <c r="P14" s="21"/>
      <c r="Q14" s="12" t="str">
        <f>HYPERLINK("#'Cost Center Master'!A1","Cost Center Master")</f>
        <v>Cost Center Master</v>
      </c>
      <c r="R14" s="10" t="s">
        <v>23</v>
      </c>
      <c r="S14" s="21"/>
      <c r="T14" s="7" t="s">
        <v>53</v>
      </c>
    </row>
    <row r="15" spans="1:20" ht="31.5">
      <c r="A15" s="20">
        <v>14</v>
      </c>
      <c r="B15" s="8" t="s">
        <v>19</v>
      </c>
      <c r="C15" s="8" t="s">
        <v>74</v>
      </c>
      <c r="D15" s="8">
        <v>18</v>
      </c>
      <c r="E15" s="8">
        <v>12</v>
      </c>
      <c r="F15" s="8">
        <v>6</v>
      </c>
      <c r="G15" s="8"/>
      <c r="H15" s="8">
        <v>6</v>
      </c>
      <c r="I15" s="8">
        <v>6</v>
      </c>
      <c r="J15" s="10" t="s">
        <v>20</v>
      </c>
      <c r="K15" s="10">
        <v>46001</v>
      </c>
      <c r="L15" s="10">
        <v>46079</v>
      </c>
      <c r="M15" s="10" t="s">
        <v>24</v>
      </c>
      <c r="N15" s="10" t="s">
        <v>25</v>
      </c>
      <c r="O15" s="26"/>
      <c r="P15" s="21"/>
      <c r="Q15" s="12" t="str">
        <f>HYPERLINK("#'IMO Master'!A1","IMO Master")</f>
        <v>IMO Master</v>
      </c>
      <c r="R15" s="10" t="s">
        <v>23</v>
      </c>
      <c r="S15" s="21"/>
      <c r="T15" s="7" t="s">
        <v>53</v>
      </c>
    </row>
    <row r="16" spans="1:20" ht="31.5">
      <c r="A16" s="9">
        <v>15</v>
      </c>
      <c r="B16" s="8" t="s">
        <v>19</v>
      </c>
      <c r="C16" s="8" t="s">
        <v>75</v>
      </c>
      <c r="D16" s="8">
        <v>15</v>
      </c>
      <c r="E16" s="8">
        <v>9</v>
      </c>
      <c r="F16" s="8">
        <v>6</v>
      </c>
      <c r="G16" s="8"/>
      <c r="H16" s="8">
        <v>6</v>
      </c>
      <c r="I16" s="8">
        <v>6</v>
      </c>
      <c r="J16" s="10" t="s">
        <v>20</v>
      </c>
      <c r="K16" s="10">
        <v>46001</v>
      </c>
      <c r="L16" s="10">
        <v>46055</v>
      </c>
      <c r="M16" s="10" t="s">
        <v>24</v>
      </c>
      <c r="N16" s="10" t="s">
        <v>25</v>
      </c>
      <c r="O16" s="26"/>
      <c r="P16" s="21"/>
      <c r="Q16" s="12" t="str">
        <f>HYPERLINK("#'Unit Master'!A1","Unit Master")</f>
        <v>Unit Master</v>
      </c>
      <c r="R16" s="10" t="s">
        <v>23</v>
      </c>
      <c r="S16" s="21"/>
      <c r="T16" s="7" t="s">
        <v>54</v>
      </c>
    </row>
    <row r="17" spans="1:20" ht="31.5">
      <c r="A17" s="20">
        <v>16</v>
      </c>
      <c r="B17" s="8" t="s">
        <v>19</v>
      </c>
      <c r="C17" s="8" t="s">
        <v>76</v>
      </c>
      <c r="D17" s="8">
        <v>23</v>
      </c>
      <c r="E17" s="8">
        <v>17</v>
      </c>
      <c r="F17" s="8">
        <v>6</v>
      </c>
      <c r="G17" s="8"/>
      <c r="H17" s="8">
        <v>6</v>
      </c>
      <c r="I17" s="8">
        <v>6</v>
      </c>
      <c r="J17" s="10" t="s">
        <v>20</v>
      </c>
      <c r="K17" s="10">
        <v>46002</v>
      </c>
      <c r="L17" s="10">
        <v>46063</v>
      </c>
      <c r="M17" s="10" t="s">
        <v>24</v>
      </c>
      <c r="N17" s="10" t="s">
        <v>25</v>
      </c>
      <c r="O17" s="26"/>
      <c r="P17" s="21"/>
      <c r="Q17" s="12" t="str">
        <f>HYPERLINK("#'CHA Service'!A1","CHA Service")</f>
        <v>CHA Service</v>
      </c>
      <c r="R17" s="10" t="s">
        <v>23</v>
      </c>
      <c r="S17" s="21"/>
      <c r="T17" s="7" t="s">
        <v>54</v>
      </c>
    </row>
    <row r="18" spans="1:20" ht="31.5">
      <c r="A18" s="22">
        <v>17</v>
      </c>
      <c r="B18" s="2" t="s">
        <v>19</v>
      </c>
      <c r="C18" s="15" t="s">
        <v>38</v>
      </c>
      <c r="D18" s="15">
        <v>60</v>
      </c>
      <c r="E18" s="2">
        <v>42</v>
      </c>
      <c r="F18" s="15">
        <v>13</v>
      </c>
      <c r="G18" s="15">
        <v>5</v>
      </c>
      <c r="H18" s="2">
        <v>13</v>
      </c>
      <c r="I18" s="1"/>
      <c r="J18" s="4" t="s">
        <v>20</v>
      </c>
      <c r="K18" s="4">
        <v>46003</v>
      </c>
      <c r="L18" s="5"/>
      <c r="M18" s="5"/>
      <c r="N18" s="4" t="s">
        <v>22</v>
      </c>
      <c r="O18" s="7"/>
      <c r="P18" s="5"/>
      <c r="Q18" s="6" t="str">
        <f>HYPERLINK("#'Pricing'!A1","Pricing")</f>
        <v>Pricing</v>
      </c>
      <c r="R18" s="4" t="s">
        <v>23</v>
      </c>
      <c r="S18" s="5"/>
      <c r="T18" s="23"/>
    </row>
    <row r="19" spans="1:20" ht="31.5">
      <c r="A19" s="22">
        <v>18</v>
      </c>
      <c r="B19" s="31" t="s">
        <v>19</v>
      </c>
      <c r="C19" s="15" t="s">
        <v>88</v>
      </c>
      <c r="D19" s="32">
        <v>59</v>
      </c>
      <c r="E19" s="31">
        <v>33</v>
      </c>
      <c r="F19" s="32">
        <v>20</v>
      </c>
      <c r="G19" s="32">
        <v>6</v>
      </c>
      <c r="H19" s="31">
        <v>20</v>
      </c>
      <c r="I19" s="22"/>
      <c r="J19" s="33" t="s">
        <v>20</v>
      </c>
      <c r="K19" s="33">
        <v>46007</v>
      </c>
      <c r="L19" s="34"/>
      <c r="M19" s="34"/>
      <c r="N19" s="33" t="s">
        <v>22</v>
      </c>
      <c r="O19" s="25"/>
      <c r="P19" s="34"/>
      <c r="Q19" s="35" t="str">
        <f>HYPERLINK("#'Sea Charge Master'!A1","Sea Charge Master")</f>
        <v>Sea Charge Master</v>
      </c>
      <c r="R19" s="33" t="s">
        <v>23</v>
      </c>
      <c r="S19" s="33"/>
      <c r="T19" s="23"/>
    </row>
    <row r="20" spans="1:20" ht="31.5">
      <c r="A20" s="20">
        <v>19</v>
      </c>
      <c r="B20" s="8" t="s">
        <v>19</v>
      </c>
      <c r="C20" s="8" t="s">
        <v>29</v>
      </c>
      <c r="D20" s="8">
        <v>30</v>
      </c>
      <c r="E20" s="8">
        <v>23</v>
      </c>
      <c r="F20" s="8">
        <v>7</v>
      </c>
      <c r="G20" s="8"/>
      <c r="H20" s="8">
        <v>7</v>
      </c>
      <c r="I20" s="8">
        <v>7</v>
      </c>
      <c r="J20" s="10" t="s">
        <v>20</v>
      </c>
      <c r="K20" s="10">
        <v>46011</v>
      </c>
      <c r="L20" s="10">
        <v>46079</v>
      </c>
      <c r="M20" s="10" t="s">
        <v>24</v>
      </c>
      <c r="N20" s="10" t="s">
        <v>25</v>
      </c>
      <c r="O20" s="38"/>
      <c r="P20" s="21"/>
      <c r="Q20" s="12" t="str">
        <f>HYPERLINK("#'Segment Master'!A1","Segment Master")</f>
        <v>Segment Master</v>
      </c>
      <c r="R20" s="10" t="s">
        <v>23</v>
      </c>
      <c r="S20" s="21"/>
      <c r="T20" s="7" t="s">
        <v>53</v>
      </c>
    </row>
    <row r="21" spans="1:20" ht="31.5">
      <c r="A21" s="20">
        <v>20</v>
      </c>
      <c r="B21" s="8" t="s">
        <v>19</v>
      </c>
      <c r="C21" s="8" t="s">
        <v>77</v>
      </c>
      <c r="D21" s="8">
        <v>25</v>
      </c>
      <c r="E21" s="8">
        <v>17</v>
      </c>
      <c r="F21" s="8">
        <v>8</v>
      </c>
      <c r="G21" s="8"/>
      <c r="H21" s="8">
        <v>8</v>
      </c>
      <c r="I21" s="8">
        <v>8</v>
      </c>
      <c r="J21" s="10" t="s">
        <v>20</v>
      </c>
      <c r="K21" s="10">
        <v>46011</v>
      </c>
      <c r="L21" s="10">
        <v>46079</v>
      </c>
      <c r="M21" s="10" t="s">
        <v>24</v>
      </c>
      <c r="N21" s="10" t="s">
        <v>25</v>
      </c>
      <c r="O21" s="26"/>
      <c r="P21" s="21"/>
      <c r="Q21" s="12" t="str">
        <f>HYPERLINK("#'Trigger Master'!A1","Trigger Master")</f>
        <v>Trigger Master</v>
      </c>
      <c r="R21" s="10" t="s">
        <v>23</v>
      </c>
      <c r="S21" s="21"/>
      <c r="T21" s="7" t="s">
        <v>53</v>
      </c>
    </row>
    <row r="22" spans="1:20" ht="31.5">
      <c r="A22" s="20">
        <v>21</v>
      </c>
      <c r="B22" s="8" t="s">
        <v>19</v>
      </c>
      <c r="C22" s="8" t="s">
        <v>27</v>
      </c>
      <c r="D22" s="8">
        <v>15</v>
      </c>
      <c r="E22" s="8">
        <v>10</v>
      </c>
      <c r="F22" s="8">
        <v>5</v>
      </c>
      <c r="G22" s="8"/>
      <c r="H22" s="8">
        <v>5</v>
      </c>
      <c r="I22" s="8">
        <v>5</v>
      </c>
      <c r="J22" s="10" t="s">
        <v>20</v>
      </c>
      <c r="K22" s="10">
        <v>46013</v>
      </c>
      <c r="L22" s="10">
        <v>46090</v>
      </c>
      <c r="M22" s="10" t="s">
        <v>24</v>
      </c>
      <c r="N22" s="10" t="s">
        <v>25</v>
      </c>
      <c r="O22" s="26"/>
      <c r="P22" s="21"/>
      <c r="Q22" s="12" t="str">
        <f>HYPERLINK("#'Principle Line HBL Master'!A1","Principle Line HBL Master")</f>
        <v>Principle Line HBL Master</v>
      </c>
      <c r="R22" s="10" t="s">
        <v>23</v>
      </c>
      <c r="S22" s="21"/>
      <c r="T22" s="7" t="s">
        <v>53</v>
      </c>
    </row>
    <row r="23" spans="1:20" ht="31.5">
      <c r="A23" s="20">
        <v>22</v>
      </c>
      <c r="B23" s="8" t="s">
        <v>19</v>
      </c>
      <c r="C23" s="8" t="s">
        <v>78</v>
      </c>
      <c r="D23" s="8">
        <v>19</v>
      </c>
      <c r="E23" s="8">
        <v>13</v>
      </c>
      <c r="F23" s="8">
        <v>6</v>
      </c>
      <c r="G23" s="8"/>
      <c r="H23" s="8">
        <v>6</v>
      </c>
      <c r="I23" s="8">
        <v>6</v>
      </c>
      <c r="J23" s="10" t="s">
        <v>20</v>
      </c>
      <c r="K23" s="10">
        <v>46014</v>
      </c>
      <c r="L23" s="10">
        <v>46090</v>
      </c>
      <c r="M23" s="10" t="s">
        <v>24</v>
      </c>
      <c r="N23" s="10" t="s">
        <v>25</v>
      </c>
      <c r="O23" s="26"/>
      <c r="P23" s="21"/>
      <c r="Q23" s="12" t="str">
        <f>HYPERLINK("#'Project Type Master'!A1","Project Type Master")</f>
        <v>Project Type Master</v>
      </c>
      <c r="R23" s="10" t="s">
        <v>23</v>
      </c>
      <c r="S23" s="21"/>
      <c r="T23" s="7" t="s">
        <v>53</v>
      </c>
    </row>
    <row r="24" spans="1:20" ht="31.5">
      <c r="A24" s="20">
        <v>23</v>
      </c>
      <c r="B24" s="8" t="s">
        <v>19</v>
      </c>
      <c r="C24" s="8" t="s">
        <v>28</v>
      </c>
      <c r="D24" s="8">
        <v>23</v>
      </c>
      <c r="E24" s="8">
        <v>17</v>
      </c>
      <c r="F24" s="8">
        <v>6</v>
      </c>
      <c r="G24" s="8"/>
      <c r="H24" s="8">
        <v>6</v>
      </c>
      <c r="I24" s="8">
        <v>6</v>
      </c>
      <c r="J24" s="10" t="s">
        <v>20</v>
      </c>
      <c r="K24" s="10">
        <v>46014</v>
      </c>
      <c r="L24" s="10">
        <v>46090</v>
      </c>
      <c r="M24" s="10" t="s">
        <v>24</v>
      </c>
      <c r="N24" s="10" t="s">
        <v>25</v>
      </c>
      <c r="O24" s="26"/>
      <c r="P24" s="21"/>
      <c r="Q24" s="12" t="str">
        <f>HYPERLINK("#'Notes Master'!A1","Notes Master")</f>
        <v>Notes Master</v>
      </c>
      <c r="R24" s="10" t="s">
        <v>23</v>
      </c>
      <c r="S24" s="21"/>
      <c r="T24" s="7" t="s">
        <v>53</v>
      </c>
    </row>
    <row r="25" spans="1:20" ht="31.5">
      <c r="A25" s="20">
        <v>24</v>
      </c>
      <c r="B25" s="8" t="s">
        <v>19</v>
      </c>
      <c r="C25" s="8" t="s">
        <v>79</v>
      </c>
      <c r="D25" s="8">
        <v>19</v>
      </c>
      <c r="E25" s="8">
        <v>13</v>
      </c>
      <c r="F25" s="8">
        <v>6</v>
      </c>
      <c r="G25" s="8"/>
      <c r="H25" s="8">
        <v>6</v>
      </c>
      <c r="I25" s="8">
        <v>6</v>
      </c>
      <c r="J25" s="10" t="s">
        <v>20</v>
      </c>
      <c r="K25" s="10">
        <v>46015</v>
      </c>
      <c r="L25" s="10">
        <v>46090</v>
      </c>
      <c r="M25" s="10" t="s">
        <v>24</v>
      </c>
      <c r="N25" s="10" t="s">
        <v>25</v>
      </c>
      <c r="O25" s="26"/>
      <c r="P25" s="21"/>
      <c r="Q25" s="12" t="str">
        <f>HYPERLINK("#'Vessel'!A1","Vessel")</f>
        <v>Vessel</v>
      </c>
      <c r="R25" s="10" t="s">
        <v>23</v>
      </c>
      <c r="S25" s="21"/>
      <c r="T25" s="25" t="s">
        <v>60</v>
      </c>
    </row>
    <row r="26" spans="1:20" ht="31.5">
      <c r="A26" s="22">
        <v>25</v>
      </c>
      <c r="B26" s="2" t="s">
        <v>19</v>
      </c>
      <c r="C26" s="15" t="s">
        <v>80</v>
      </c>
      <c r="D26" s="13">
        <v>76</v>
      </c>
      <c r="E26" s="2">
        <v>49</v>
      </c>
      <c r="F26" s="13">
        <v>27</v>
      </c>
      <c r="G26" s="13"/>
      <c r="H26" s="15">
        <v>18</v>
      </c>
      <c r="I26" s="22"/>
      <c r="J26" s="4" t="s">
        <v>20</v>
      </c>
      <c r="K26" s="4">
        <v>46017</v>
      </c>
      <c r="L26" s="23"/>
      <c r="M26" s="23"/>
      <c r="N26" s="4" t="s">
        <v>22</v>
      </c>
      <c r="O26" s="1"/>
      <c r="P26" s="23"/>
      <c r="Q26" s="6" t="str">
        <f>HYPERLINK("#'Schedule'!A1","Schedule")</f>
        <v>Schedule</v>
      </c>
      <c r="R26" s="4" t="s">
        <v>23</v>
      </c>
      <c r="S26" s="23"/>
      <c r="T26" s="23"/>
    </row>
    <row r="27" spans="1:20" ht="31.5">
      <c r="A27" s="22">
        <v>26</v>
      </c>
      <c r="B27" s="2" t="s">
        <v>19</v>
      </c>
      <c r="C27" s="15" t="s">
        <v>30</v>
      </c>
      <c r="D27" s="13">
        <v>20</v>
      </c>
      <c r="E27" s="2">
        <v>12</v>
      </c>
      <c r="F27" s="13">
        <v>8</v>
      </c>
      <c r="G27" s="13"/>
      <c r="H27" s="15">
        <v>8</v>
      </c>
      <c r="I27" s="23"/>
      <c r="J27" s="4" t="s">
        <v>20</v>
      </c>
      <c r="K27" s="4">
        <v>46023</v>
      </c>
      <c r="L27" s="23"/>
      <c r="M27" s="23"/>
      <c r="N27" s="4" t="s">
        <v>22</v>
      </c>
      <c r="O27" s="1"/>
      <c r="P27" s="23"/>
      <c r="Q27" s="6" t="str">
        <f>HYPERLINK("#'Shipment Status'!A1","Shipment Status")</f>
        <v>Shipment Status</v>
      </c>
      <c r="R27" s="4" t="s">
        <v>23</v>
      </c>
      <c r="S27" s="23"/>
      <c r="T27" s="23"/>
    </row>
    <row r="28" spans="1:20" ht="31.5">
      <c r="A28" s="22">
        <v>27</v>
      </c>
      <c r="B28" s="2" t="s">
        <v>19</v>
      </c>
      <c r="C28" s="15" t="s">
        <v>31</v>
      </c>
      <c r="D28" s="13">
        <v>16</v>
      </c>
      <c r="E28" s="2">
        <v>11</v>
      </c>
      <c r="F28" s="13">
        <v>5</v>
      </c>
      <c r="G28" s="13"/>
      <c r="H28" s="15">
        <v>5</v>
      </c>
      <c r="I28" s="23"/>
      <c r="J28" s="4" t="s">
        <v>20</v>
      </c>
      <c r="K28" s="4">
        <v>46027</v>
      </c>
      <c r="L28" s="23"/>
      <c r="M28" s="23"/>
      <c r="N28" s="4" t="s">
        <v>22</v>
      </c>
      <c r="O28" s="25"/>
      <c r="P28" s="23"/>
      <c r="Q28" s="6" t="str">
        <f>HYPERLINK("#'Destuffing'!A1","Destuffing")</f>
        <v>Destuffing</v>
      </c>
      <c r="R28" s="4" t="s">
        <v>23</v>
      </c>
      <c r="S28" s="23"/>
      <c r="T28" s="23"/>
    </row>
    <row r="29" spans="1:20" ht="31.5">
      <c r="A29" s="22">
        <v>28</v>
      </c>
      <c r="B29" s="2" t="s">
        <v>19</v>
      </c>
      <c r="C29" s="15" t="s">
        <v>32</v>
      </c>
      <c r="D29" s="13">
        <v>15</v>
      </c>
      <c r="E29" s="2">
        <v>14</v>
      </c>
      <c r="F29" s="13">
        <v>1</v>
      </c>
      <c r="G29" s="23"/>
      <c r="H29" s="15">
        <v>1</v>
      </c>
      <c r="I29" s="23"/>
      <c r="J29" s="4" t="s">
        <v>20</v>
      </c>
      <c r="K29" s="4">
        <v>46027</v>
      </c>
      <c r="L29" s="23"/>
      <c r="M29" s="23"/>
      <c r="N29" s="4" t="s">
        <v>22</v>
      </c>
      <c r="O29" s="25"/>
      <c r="P29" s="23"/>
      <c r="Q29" s="6" t="str">
        <f>HYPERLINK("#'Document'!A1","Document")</f>
        <v>Document</v>
      </c>
      <c r="R29" s="4" t="s">
        <v>23</v>
      </c>
      <c r="S29" s="23"/>
      <c r="T29" s="23"/>
    </row>
    <row r="30" spans="1:20" ht="31.5">
      <c r="A30" s="22">
        <v>29</v>
      </c>
      <c r="B30" s="2" t="s">
        <v>19</v>
      </c>
      <c r="C30" s="15" t="s">
        <v>33</v>
      </c>
      <c r="D30" s="13">
        <v>21</v>
      </c>
      <c r="E30" s="2">
        <v>10</v>
      </c>
      <c r="F30" s="13">
        <v>11</v>
      </c>
      <c r="G30" s="23"/>
      <c r="H30" s="15">
        <v>11</v>
      </c>
      <c r="I30" s="23"/>
      <c r="J30" s="4" t="s">
        <v>20</v>
      </c>
      <c r="K30" s="4">
        <v>46028</v>
      </c>
      <c r="L30" s="23"/>
      <c r="M30" s="23"/>
      <c r="N30" s="4" t="s">
        <v>22</v>
      </c>
      <c r="O30" s="25"/>
      <c r="P30" s="23"/>
      <c r="Q30" s="6" t="str">
        <f>HYPERLINK("#'Container'!A1","Container")</f>
        <v>Container</v>
      </c>
      <c r="R30" s="4" t="s">
        <v>23</v>
      </c>
      <c r="S30" s="23"/>
      <c r="T30" s="23"/>
    </row>
    <row r="31" spans="1:20" ht="31.5">
      <c r="A31" s="20">
        <v>30</v>
      </c>
      <c r="B31" s="8" t="s">
        <v>19</v>
      </c>
      <c r="C31" s="8" t="s">
        <v>34</v>
      </c>
      <c r="D31" s="8">
        <v>16</v>
      </c>
      <c r="E31" s="8">
        <v>7</v>
      </c>
      <c r="F31" s="8">
        <v>9</v>
      </c>
      <c r="G31" s="21"/>
      <c r="H31" s="8">
        <v>9</v>
      </c>
      <c r="I31" s="8">
        <v>9</v>
      </c>
      <c r="J31" s="10" t="s">
        <v>20</v>
      </c>
      <c r="K31" s="10">
        <v>46030</v>
      </c>
      <c r="L31" s="10">
        <v>46063</v>
      </c>
      <c r="M31" s="21"/>
      <c r="N31" s="10" t="s">
        <v>25</v>
      </c>
      <c r="O31" s="38"/>
      <c r="P31" s="21"/>
      <c r="Q31" s="12" t="str">
        <f>HYPERLINK("#'Stuffing Master'!A1","Stuffing Master")</f>
        <v>Stuffing Master</v>
      </c>
      <c r="R31" s="10" t="s">
        <v>23</v>
      </c>
      <c r="S31" s="21"/>
      <c r="T31" s="25" t="s">
        <v>60</v>
      </c>
    </row>
    <row r="32" spans="1:20" ht="31.5">
      <c r="A32" s="22">
        <v>31</v>
      </c>
      <c r="B32" s="2" t="s">
        <v>19</v>
      </c>
      <c r="C32" s="15" t="s">
        <v>35</v>
      </c>
      <c r="D32" s="13">
        <v>13</v>
      </c>
      <c r="E32" s="2">
        <v>10</v>
      </c>
      <c r="F32" s="13">
        <v>3</v>
      </c>
      <c r="G32" s="23"/>
      <c r="H32" s="15">
        <v>3</v>
      </c>
      <c r="I32" s="23"/>
      <c r="J32" s="4" t="s">
        <v>20</v>
      </c>
      <c r="K32" s="4">
        <v>46029</v>
      </c>
      <c r="L32" s="23"/>
      <c r="M32" s="23"/>
      <c r="N32" s="4" t="s">
        <v>22</v>
      </c>
      <c r="O32" s="25"/>
      <c r="P32" s="23"/>
      <c r="Q32" s="6" t="str">
        <f>HYPERLINK("#'Daily Currency Rate'!A1","Daily Currency Rate")</f>
        <v>Daily Currency Rate</v>
      </c>
      <c r="R32" s="4" t="s">
        <v>23</v>
      </c>
      <c r="S32" s="23"/>
      <c r="T32" s="23"/>
    </row>
    <row r="33" spans="1:20" ht="31.5">
      <c r="A33" s="22">
        <v>32</v>
      </c>
      <c r="B33" s="2" t="s">
        <v>19</v>
      </c>
      <c r="C33" s="15" t="s">
        <v>36</v>
      </c>
      <c r="D33" s="13">
        <v>18</v>
      </c>
      <c r="E33" s="2">
        <v>11</v>
      </c>
      <c r="F33" s="13">
        <v>7</v>
      </c>
      <c r="G33" s="23"/>
      <c r="H33" s="15">
        <v>7</v>
      </c>
      <c r="I33" s="23"/>
      <c r="J33" s="4" t="s">
        <v>20</v>
      </c>
      <c r="K33" s="4">
        <v>46030</v>
      </c>
      <c r="L33" s="23"/>
      <c r="M33" s="23"/>
      <c r="N33" s="4" t="s">
        <v>22</v>
      </c>
      <c r="O33" s="25"/>
      <c r="P33" s="23"/>
      <c r="Q33" s="6" t="str">
        <f>HYPERLINK("#'Container Yard Master'!A1","Container Yard Master")</f>
        <v>Container Yard Master</v>
      </c>
      <c r="R33" s="4" t="s">
        <v>23</v>
      </c>
      <c r="S33" s="23"/>
      <c r="T33" s="23"/>
    </row>
    <row r="34" spans="1:20" ht="31.5">
      <c r="A34" s="22">
        <v>33</v>
      </c>
      <c r="B34" s="2" t="s">
        <v>19</v>
      </c>
      <c r="C34" s="15" t="s">
        <v>37</v>
      </c>
      <c r="D34" s="13">
        <v>38</v>
      </c>
      <c r="E34" s="2">
        <v>15</v>
      </c>
      <c r="F34" s="13">
        <v>20</v>
      </c>
      <c r="G34" s="13">
        <v>3</v>
      </c>
      <c r="H34" s="13">
        <v>7</v>
      </c>
      <c r="I34" s="23"/>
      <c r="J34" s="4" t="s">
        <v>20</v>
      </c>
      <c r="K34" s="4">
        <v>46036</v>
      </c>
      <c r="L34" s="23"/>
      <c r="M34" s="23"/>
      <c r="N34" s="4" t="s">
        <v>22</v>
      </c>
      <c r="O34" s="25"/>
      <c r="P34" s="23"/>
      <c r="Q34" s="6" t="str">
        <f>HYPERLINK("#'Create Branch'!A1","Create Branch")</f>
        <v>Create Branch</v>
      </c>
      <c r="R34" s="4" t="s">
        <v>23</v>
      </c>
      <c r="S34" s="23"/>
      <c r="T34" s="23"/>
    </row>
    <row r="35" spans="1:20" ht="31.5">
      <c r="A35" s="22">
        <v>34</v>
      </c>
      <c r="B35" s="2" t="s">
        <v>19</v>
      </c>
      <c r="C35" s="15" t="s">
        <v>81</v>
      </c>
      <c r="D35" s="13">
        <v>14</v>
      </c>
      <c r="E35" s="2">
        <v>6</v>
      </c>
      <c r="F35" s="13">
        <v>8</v>
      </c>
      <c r="G35" s="23"/>
      <c r="H35" s="15">
        <v>8</v>
      </c>
      <c r="I35" s="23"/>
      <c r="J35" s="4" t="s">
        <v>20</v>
      </c>
      <c r="K35" s="4">
        <v>46080</v>
      </c>
      <c r="L35" s="23"/>
      <c r="M35" s="23"/>
      <c r="N35" s="4" t="s">
        <v>22</v>
      </c>
      <c r="O35" s="25"/>
      <c r="P35" s="23"/>
      <c r="Q35" s="6" t="str">
        <f>HYPERLINK("#'Shipment Plan Master'!A1","Shipment Plan Master")</f>
        <v>Shipment Plan Master</v>
      </c>
      <c r="R35" s="4" t="s">
        <v>23</v>
      </c>
      <c r="S35" s="23"/>
      <c r="T35" s="23"/>
    </row>
    <row r="36" spans="1:20" ht="31.5">
      <c r="A36" s="22">
        <v>35</v>
      </c>
      <c r="B36" s="13" t="s">
        <v>19</v>
      </c>
      <c r="C36" s="13" t="s">
        <v>41</v>
      </c>
      <c r="D36" s="13">
        <v>15</v>
      </c>
      <c r="E36" s="13"/>
      <c r="F36" s="13"/>
      <c r="G36" s="13"/>
      <c r="H36" s="13"/>
      <c r="I36" s="13"/>
      <c r="J36" s="14" t="s">
        <v>20</v>
      </c>
      <c r="K36" s="14">
        <v>46052</v>
      </c>
      <c r="L36" s="27"/>
      <c r="M36" s="27"/>
      <c r="N36" s="14" t="s">
        <v>22</v>
      </c>
      <c r="O36" s="28"/>
      <c r="P36" s="36"/>
      <c r="Q36" s="29" t="str">
        <f>HYPERLINK("#'CHA Port Master'!A1","CHA Port Master")</f>
        <v>CHA Port Master</v>
      </c>
      <c r="R36" s="14" t="s">
        <v>23</v>
      </c>
      <c r="S36" s="23"/>
      <c r="T36" s="23"/>
    </row>
    <row r="37" spans="1:20" ht="31.5">
      <c r="A37" s="22">
        <v>36</v>
      </c>
      <c r="B37" s="13" t="s">
        <v>19</v>
      </c>
      <c r="C37" s="13" t="s">
        <v>45</v>
      </c>
      <c r="D37" s="13">
        <v>15</v>
      </c>
      <c r="E37" s="13"/>
      <c r="F37" s="13"/>
      <c r="G37" s="13"/>
      <c r="H37" s="13"/>
      <c r="I37" s="13"/>
      <c r="J37" s="14" t="s">
        <v>20</v>
      </c>
      <c r="K37" s="14">
        <v>46053</v>
      </c>
      <c r="L37" s="27"/>
      <c r="M37" s="27"/>
      <c r="N37" s="14" t="s">
        <v>22</v>
      </c>
      <c r="O37" s="28"/>
      <c r="P37" s="36"/>
      <c r="Q37" s="29" t="str">
        <f>HYPERLINK("#'Transporter Master'!A1","Transporter Master")</f>
        <v>Transporter Master</v>
      </c>
      <c r="R37" s="14" t="s">
        <v>23</v>
      </c>
      <c r="S37" s="27"/>
      <c r="T37" s="23"/>
    </row>
    <row r="38" spans="1:20" ht="31.5">
      <c r="A38" s="22">
        <v>37</v>
      </c>
      <c r="B38" s="13" t="s">
        <v>19</v>
      </c>
      <c r="C38" s="13" t="s">
        <v>47</v>
      </c>
      <c r="D38" s="13">
        <v>25</v>
      </c>
      <c r="E38" s="13"/>
      <c r="F38" s="13"/>
      <c r="G38" s="13"/>
      <c r="H38" s="13"/>
      <c r="I38" s="13"/>
      <c r="J38" s="14" t="s">
        <v>20</v>
      </c>
      <c r="K38" s="14">
        <v>46055</v>
      </c>
      <c r="L38" s="27"/>
      <c r="M38" s="27"/>
      <c r="N38" s="14" t="s">
        <v>22</v>
      </c>
      <c r="O38" s="28"/>
      <c r="P38" s="36"/>
      <c r="Q38" s="29" t="str">
        <f>HYPERLINK("#'Drawback Schedule'!A1","Drawback Schedule")</f>
        <v>Drawback Schedule</v>
      </c>
      <c r="R38" s="14" t="s">
        <v>23</v>
      </c>
      <c r="S38" s="27"/>
      <c r="T38" s="23"/>
    </row>
    <row r="39" spans="1:20" ht="31.5">
      <c r="A39" s="22">
        <v>38</v>
      </c>
      <c r="B39" s="13" t="s">
        <v>19</v>
      </c>
      <c r="C39" s="13" t="s">
        <v>48</v>
      </c>
      <c r="D39" s="13">
        <v>14</v>
      </c>
      <c r="E39" s="13"/>
      <c r="F39" s="13"/>
      <c r="G39" s="13"/>
      <c r="H39" s="13"/>
      <c r="I39" s="13"/>
      <c r="J39" s="14" t="s">
        <v>20</v>
      </c>
      <c r="K39" s="14">
        <v>46057</v>
      </c>
      <c r="L39" s="27"/>
      <c r="M39" s="27"/>
      <c r="N39" s="14" t="s">
        <v>22</v>
      </c>
      <c r="O39" s="28"/>
      <c r="P39" s="36"/>
      <c r="Q39" s="29" t="str">
        <f>HYPERLINK("#'EDI-Country'!A1","EDI-Country")</f>
        <v>EDI-Country</v>
      </c>
      <c r="R39" s="14" t="s">
        <v>23</v>
      </c>
      <c r="S39" s="27"/>
      <c r="T39" s="23"/>
    </row>
    <row r="40" spans="1:20" ht="31.5">
      <c r="A40" s="22">
        <v>39</v>
      </c>
      <c r="B40" s="13" t="s">
        <v>19</v>
      </c>
      <c r="C40" s="13" t="s">
        <v>49</v>
      </c>
      <c r="D40" s="13">
        <v>5</v>
      </c>
      <c r="E40" s="13"/>
      <c r="F40" s="13"/>
      <c r="G40" s="13"/>
      <c r="H40" s="13"/>
      <c r="I40" s="13"/>
      <c r="J40" s="14" t="s">
        <v>20</v>
      </c>
      <c r="K40" s="14">
        <v>46057</v>
      </c>
      <c r="L40" s="27"/>
      <c r="M40" s="27"/>
      <c r="N40" s="14" t="s">
        <v>22</v>
      </c>
      <c r="O40" s="28"/>
      <c r="P40" s="36"/>
      <c r="Q40" s="29" t="str">
        <f>HYPERLINK("#'Licence Master New'!A1","Licence Master New")</f>
        <v>Licence Master New</v>
      </c>
      <c r="R40" s="14" t="s">
        <v>23</v>
      </c>
      <c r="S40" s="27"/>
      <c r="T40" s="23"/>
    </row>
    <row r="41" spans="1:20" ht="31.5">
      <c r="A41" s="22">
        <v>40</v>
      </c>
      <c r="B41" s="13" t="s">
        <v>19</v>
      </c>
      <c r="C41" s="13" t="s">
        <v>50</v>
      </c>
      <c r="D41" s="13">
        <v>17</v>
      </c>
      <c r="E41" s="13"/>
      <c r="F41" s="13"/>
      <c r="G41" s="13"/>
      <c r="H41" s="13"/>
      <c r="I41" s="13"/>
      <c r="J41" s="14" t="s">
        <v>20</v>
      </c>
      <c r="K41" s="14">
        <v>46058</v>
      </c>
      <c r="L41" s="27"/>
      <c r="M41" s="27"/>
      <c r="N41" s="14" t="s">
        <v>22</v>
      </c>
      <c r="O41" s="28"/>
      <c r="P41" s="36"/>
      <c r="Q41" s="29" t="str">
        <f>HYPERLINK("#'eSanchit Code'!A1","eSanchit Code")</f>
        <v>eSanchit Code</v>
      </c>
      <c r="R41" s="14" t="s">
        <v>23</v>
      </c>
      <c r="S41" s="27"/>
      <c r="T41" s="23"/>
    </row>
    <row r="42" spans="1:20" ht="31.5">
      <c r="A42" s="22">
        <v>41</v>
      </c>
      <c r="B42" s="13" t="s">
        <v>19</v>
      </c>
      <c r="C42" s="13" t="s">
        <v>51</v>
      </c>
      <c r="D42" s="13">
        <v>25</v>
      </c>
      <c r="E42" s="13"/>
      <c r="F42" s="13"/>
      <c r="G42" s="13"/>
      <c r="H42" s="13"/>
      <c r="I42" s="13"/>
      <c r="J42" s="14" t="s">
        <v>20</v>
      </c>
      <c r="K42" s="14">
        <v>46059</v>
      </c>
      <c r="L42" s="27"/>
      <c r="M42" s="27"/>
      <c r="N42" s="14" t="s">
        <v>22</v>
      </c>
      <c r="O42" s="28"/>
      <c r="P42" s="36"/>
      <c r="Q42" s="29" t="str">
        <f>HYPERLINK("#'CESS Schedule Master'!A1","CESS Schedule Master")</f>
        <v>CESS Schedule Master</v>
      </c>
      <c r="R42" s="14" t="s">
        <v>23</v>
      </c>
      <c r="S42" s="27"/>
      <c r="T42" s="23"/>
    </row>
    <row r="43" spans="1:20" ht="31.5">
      <c r="A43" s="22">
        <v>42</v>
      </c>
      <c r="B43" s="13" t="s">
        <v>19</v>
      </c>
      <c r="C43" s="13" t="s">
        <v>52</v>
      </c>
      <c r="D43" s="13">
        <v>19</v>
      </c>
      <c r="E43" s="13"/>
      <c r="F43" s="13"/>
      <c r="G43" s="13"/>
      <c r="H43" s="13"/>
      <c r="I43" s="13"/>
      <c r="J43" s="14" t="s">
        <v>20</v>
      </c>
      <c r="K43" s="14">
        <v>46060</v>
      </c>
      <c r="L43" s="27"/>
      <c r="M43" s="27"/>
      <c r="N43" s="14" t="s">
        <v>22</v>
      </c>
      <c r="O43" s="28"/>
      <c r="P43" s="36"/>
      <c r="Q43" s="29" t="str">
        <f>HYPERLINK("#'Rodtep Master'!A1","Rodtep Master")</f>
        <v>Rodtep Master</v>
      </c>
      <c r="R43" s="14" t="s">
        <v>23</v>
      </c>
      <c r="S43" s="27"/>
      <c r="T43" s="23"/>
    </row>
    <row r="44" spans="1:20" ht="31.5">
      <c r="A44" s="22">
        <v>43</v>
      </c>
      <c r="B44" s="13" t="s">
        <v>19</v>
      </c>
      <c r="C44" s="13" t="s">
        <v>55</v>
      </c>
      <c r="D44" s="13">
        <v>20</v>
      </c>
      <c r="E44" s="13"/>
      <c r="F44" s="13"/>
      <c r="G44" s="13"/>
      <c r="H44" s="13"/>
      <c r="I44" s="13"/>
      <c r="J44" s="14" t="s">
        <v>20</v>
      </c>
      <c r="K44" s="14">
        <v>46062</v>
      </c>
      <c r="L44" s="27"/>
      <c r="M44" s="27"/>
      <c r="N44" s="14" t="s">
        <v>22</v>
      </c>
      <c r="O44" s="28"/>
      <c r="P44" s="36"/>
      <c r="Q44" s="29" t="str">
        <f>HYPERLINK("#'Vehicle Owner Master'!A1","Vehicle Owner Master")</f>
        <v>Vehicle Owner Master</v>
      </c>
      <c r="R44" s="14" t="s">
        <v>23</v>
      </c>
      <c r="S44" s="27"/>
      <c r="T44" s="23"/>
    </row>
    <row r="45" spans="1:20" ht="31.5">
      <c r="A45" s="22">
        <v>44</v>
      </c>
      <c r="B45" s="13" t="s">
        <v>19</v>
      </c>
      <c r="C45" s="13" t="s">
        <v>58</v>
      </c>
      <c r="D45" s="13">
        <v>26</v>
      </c>
      <c r="E45" s="23"/>
      <c r="F45" s="23"/>
      <c r="G45" s="23"/>
      <c r="H45" s="23"/>
      <c r="I45" s="23"/>
      <c r="J45" s="14" t="s">
        <v>20</v>
      </c>
      <c r="K45" s="14">
        <v>46063</v>
      </c>
      <c r="L45" s="23"/>
      <c r="M45" s="23"/>
      <c r="N45" s="14" t="s">
        <v>22</v>
      </c>
      <c r="O45" s="25"/>
      <c r="P45" s="23"/>
      <c r="Q45" s="29" t="str">
        <f>HYPERLINK("#'Item Template Master'!A1","Item Template Master")</f>
        <v>Item Template Master</v>
      </c>
      <c r="R45" s="14" t="s">
        <v>23</v>
      </c>
      <c r="S45" s="27"/>
      <c r="T45" s="23"/>
    </row>
    <row r="46" spans="1:20" ht="31.5">
      <c r="A46" s="22">
        <v>45</v>
      </c>
      <c r="B46" s="13" t="s">
        <v>19</v>
      </c>
      <c r="C46" s="13" t="s">
        <v>59</v>
      </c>
      <c r="D46" s="13">
        <v>26</v>
      </c>
      <c r="E46" s="23"/>
      <c r="F46" s="23"/>
      <c r="G46" s="23"/>
      <c r="H46" s="23"/>
      <c r="I46" s="23"/>
      <c r="J46" s="14" t="s">
        <v>20</v>
      </c>
      <c r="K46" s="14">
        <v>46064</v>
      </c>
      <c r="L46" s="23"/>
      <c r="M46" s="23"/>
      <c r="N46" s="14" t="s">
        <v>22</v>
      </c>
      <c r="O46" s="25"/>
      <c r="P46" s="23"/>
      <c r="Q46" s="29" t="str">
        <f>HYPERLINK("#'ROSL DBK'!A1","ROSL DBK")</f>
        <v>ROSL DBK</v>
      </c>
      <c r="R46" s="14" t="s">
        <v>23</v>
      </c>
      <c r="S46" s="23"/>
    </row>
    <row r="47" spans="1:20" ht="31.5">
      <c r="A47" s="22">
        <v>46</v>
      </c>
      <c r="B47" s="13" t="s">
        <v>19</v>
      </c>
      <c r="C47" s="13" t="s">
        <v>61</v>
      </c>
      <c r="D47" s="13">
        <v>29</v>
      </c>
      <c r="E47" s="23"/>
      <c r="F47" s="23"/>
      <c r="G47" s="23"/>
      <c r="H47" s="23"/>
      <c r="I47" s="23"/>
      <c r="J47" s="14" t="s">
        <v>20</v>
      </c>
      <c r="K47" s="14">
        <v>46066</v>
      </c>
      <c r="L47" s="23"/>
      <c r="M47" s="23"/>
      <c r="N47" s="14" t="s">
        <v>22</v>
      </c>
      <c r="O47" s="25"/>
      <c r="P47" s="23"/>
      <c r="Q47" s="29" t="str">
        <f>HYPERLINK("#'Licence Master'!A1","Licence Master")</f>
        <v>Licence Master</v>
      </c>
      <c r="R47" s="14" t="s">
        <v>23</v>
      </c>
    </row>
    <row r="48" spans="1:20" ht="31.5">
      <c r="A48" s="40">
        <v>47</v>
      </c>
      <c r="B48" s="41" t="s">
        <v>39</v>
      </c>
      <c r="C48" s="41" t="s">
        <v>40</v>
      </c>
      <c r="D48" s="41">
        <v>115</v>
      </c>
      <c r="E48" s="42"/>
      <c r="F48" s="42"/>
      <c r="G48" s="42"/>
      <c r="H48" s="42"/>
      <c r="I48" s="42"/>
      <c r="J48" s="43" t="s">
        <v>20</v>
      </c>
      <c r="K48" s="43">
        <v>46041</v>
      </c>
      <c r="L48" s="42"/>
      <c r="M48" s="42"/>
      <c r="N48" s="43" t="s">
        <v>22</v>
      </c>
      <c r="O48" s="44"/>
      <c r="P48" s="42"/>
      <c r="Q48" s="45" t="str">
        <f>HYPERLINK("#'Shipment Reg-Shipment'!A1","Shipment Reg-Shipment")</f>
        <v>Shipment Reg-Shipment</v>
      </c>
      <c r="R48" s="43" t="s">
        <v>23</v>
      </c>
      <c r="S48" s="46"/>
    </row>
    <row r="49" spans="1:18" ht="31.5">
      <c r="A49" s="24">
        <v>48</v>
      </c>
      <c r="B49" s="13" t="s">
        <v>82</v>
      </c>
      <c r="C49" s="13" t="s">
        <v>83</v>
      </c>
      <c r="D49" s="13">
        <v>94</v>
      </c>
      <c r="E49" s="27"/>
      <c r="F49" s="27"/>
      <c r="G49" s="27"/>
      <c r="H49" s="27"/>
      <c r="I49" s="27"/>
      <c r="J49" s="14" t="s">
        <v>20</v>
      </c>
      <c r="K49" s="14">
        <v>46069</v>
      </c>
      <c r="L49" s="27"/>
      <c r="M49" s="27"/>
      <c r="N49" s="14" t="s">
        <v>22</v>
      </c>
      <c r="O49" s="39"/>
      <c r="P49" s="27"/>
      <c r="Q49" s="6" t="str">
        <f>HYPERLINK("#'Ledger Account'!A1","Ledger Account")</f>
        <v>Ledger Account</v>
      </c>
      <c r="R49" s="14" t="s">
        <v>23</v>
      </c>
    </row>
    <row r="50" spans="1:18" ht="31.5">
      <c r="A50" s="24">
        <v>49</v>
      </c>
      <c r="B50" s="13" t="s">
        <v>82</v>
      </c>
      <c r="C50" s="13" t="s">
        <v>84</v>
      </c>
      <c r="D50" s="13">
        <v>45</v>
      </c>
      <c r="E50" s="27"/>
      <c r="F50" s="27"/>
      <c r="G50" s="27"/>
      <c r="H50" s="27"/>
      <c r="I50" s="27"/>
      <c r="J50" s="14" t="s">
        <v>20</v>
      </c>
      <c r="K50" s="14">
        <v>46078</v>
      </c>
      <c r="L50" s="27"/>
      <c r="M50" s="27"/>
      <c r="N50" s="14" t="s">
        <v>22</v>
      </c>
      <c r="O50" s="39"/>
      <c r="P50" s="27"/>
      <c r="Q50" s="6" t="str">
        <f>HYPERLINK("#'GST Charges'!A1","GST Charges")</f>
        <v>GST Charges</v>
      </c>
      <c r="R50" s="14" t="s">
        <v>23</v>
      </c>
    </row>
    <row r="51" spans="1:18" ht="31.5">
      <c r="A51" s="24">
        <v>50</v>
      </c>
      <c r="B51" s="13" t="s">
        <v>39</v>
      </c>
      <c r="C51" s="2" t="s">
        <v>85</v>
      </c>
      <c r="D51" s="2">
        <v>11</v>
      </c>
      <c r="E51" s="2">
        <v>7</v>
      </c>
      <c r="F51" s="2">
        <v>4</v>
      </c>
      <c r="G51" s="2"/>
      <c r="H51" s="2">
        <v>4</v>
      </c>
      <c r="I51" s="2"/>
      <c r="J51" s="14" t="s">
        <v>20</v>
      </c>
      <c r="K51" s="14">
        <v>46080</v>
      </c>
      <c r="L51" s="23"/>
      <c r="M51" s="23"/>
      <c r="N51" s="14" t="s">
        <v>22</v>
      </c>
      <c r="O51" s="7"/>
      <c r="P51" s="3"/>
      <c r="Q51" s="6" t="str">
        <f>HYPERLINK("#'Shipment Plan'!A1","Shipment Plan")</f>
        <v>Shipment Plan</v>
      </c>
      <c r="R51" s="14" t="s">
        <v>23</v>
      </c>
    </row>
    <row r="52" spans="1:18" ht="31.5">
      <c r="A52" s="24">
        <v>51</v>
      </c>
      <c r="B52" s="13" t="s">
        <v>82</v>
      </c>
      <c r="C52" s="13" t="s">
        <v>86</v>
      </c>
      <c r="D52" s="2">
        <v>12</v>
      </c>
      <c r="E52" s="2"/>
      <c r="F52" s="2"/>
      <c r="G52" s="2"/>
      <c r="H52" s="2"/>
      <c r="I52" s="2"/>
      <c r="J52" s="14" t="s">
        <v>20</v>
      </c>
      <c r="K52" s="14">
        <v>46084</v>
      </c>
      <c r="L52" s="23"/>
      <c r="M52" s="23"/>
      <c r="N52" s="14" t="s">
        <v>22</v>
      </c>
      <c r="O52" s="7"/>
      <c r="P52" s="3"/>
      <c r="Q52" s="6" t="str">
        <f>HYPERLINK("#'TDS Schedule'!A1","TDS Schedule")</f>
        <v>TDS Schedule</v>
      </c>
      <c r="R52" s="14" t="s">
        <v>23</v>
      </c>
    </row>
    <row r="53" spans="1:18" ht="31.5">
      <c r="A53" s="24">
        <v>52</v>
      </c>
      <c r="B53" s="13" t="s">
        <v>82</v>
      </c>
      <c r="C53" s="13" t="s">
        <v>87</v>
      </c>
      <c r="D53" s="2">
        <v>12</v>
      </c>
      <c r="E53" s="2"/>
      <c r="F53" s="2"/>
      <c r="G53" s="2"/>
      <c r="H53" s="2"/>
      <c r="I53" s="2"/>
      <c r="J53" s="14" t="s">
        <v>20</v>
      </c>
      <c r="K53" s="14">
        <v>46084</v>
      </c>
      <c r="L53" s="23"/>
      <c r="M53" s="23"/>
      <c r="N53" s="14" t="s">
        <v>22</v>
      </c>
      <c r="O53" s="7"/>
      <c r="P53" s="3"/>
      <c r="Q53" s="6" t="str">
        <f>HYPERLINK("#'Charge Rules'!A1","Charge Rules")</f>
        <v>Charge Rules</v>
      </c>
      <c r="R53" s="14" t="s">
        <v>23</v>
      </c>
    </row>
    <row r="54" spans="1:18" ht="31.5">
      <c r="A54" s="24">
        <v>53</v>
      </c>
      <c r="B54" s="13" t="s">
        <v>82</v>
      </c>
      <c r="C54" s="13" t="s">
        <v>89</v>
      </c>
      <c r="D54" s="13">
        <v>21</v>
      </c>
      <c r="E54" s="13"/>
      <c r="F54" s="13"/>
      <c r="G54" s="13"/>
      <c r="H54" s="13"/>
      <c r="I54" s="13"/>
      <c r="J54" s="14" t="s">
        <v>20</v>
      </c>
      <c r="K54" s="14">
        <v>46087</v>
      </c>
      <c r="L54" s="23"/>
      <c r="M54" s="23"/>
      <c r="N54" s="14" t="s">
        <v>22</v>
      </c>
      <c r="O54" s="7"/>
      <c r="P54" s="2"/>
      <c r="Q54" s="6" t="str">
        <f>HYPERLINK("#'Item Master'!A1","Item Master")</f>
        <v>Item Master</v>
      </c>
      <c r="R54" s="14" t="s">
        <v>23</v>
      </c>
    </row>
    <row r="55" spans="1:18" ht="31.5">
      <c r="A55" s="24">
        <v>54</v>
      </c>
      <c r="B55" s="13" t="s">
        <v>82</v>
      </c>
      <c r="C55" s="13" t="s">
        <v>90</v>
      </c>
      <c r="D55" s="15">
        <v>4</v>
      </c>
      <c r="E55" s="2"/>
      <c r="F55" s="15"/>
      <c r="G55" s="15"/>
      <c r="H55" s="2"/>
      <c r="I55" s="47"/>
      <c r="J55" s="14" t="s">
        <v>20</v>
      </c>
      <c r="K55" s="14">
        <v>46088</v>
      </c>
      <c r="L55" s="23"/>
      <c r="M55" s="23"/>
      <c r="N55" s="14" t="s">
        <v>22</v>
      </c>
      <c r="O55" s="7"/>
      <c r="P55" s="48"/>
      <c r="Q55" s="6" t="str">
        <f>HYPERLINK("#'Division Mapping'!A1","Division Mapping")</f>
        <v>Division Mapping</v>
      </c>
      <c r="R55" s="14" t="s">
        <v>23</v>
      </c>
    </row>
    <row r="56" spans="1:18" ht="31.5">
      <c r="A56" s="22">
        <v>55</v>
      </c>
      <c r="B56" s="13" t="s">
        <v>82</v>
      </c>
      <c r="C56" s="13" t="s">
        <v>91</v>
      </c>
      <c r="D56" s="15">
        <v>29</v>
      </c>
      <c r="E56" s="2"/>
      <c r="F56" s="15"/>
      <c r="G56" s="15"/>
      <c r="H56" s="15"/>
      <c r="I56" s="22"/>
      <c r="J56" s="14" t="s">
        <v>20</v>
      </c>
      <c r="K56" s="14">
        <v>46088</v>
      </c>
      <c r="L56" s="23"/>
      <c r="M56" s="23"/>
      <c r="N56" s="14" t="s">
        <v>22</v>
      </c>
      <c r="O56" s="7"/>
      <c r="P56" s="23"/>
      <c r="Q56" s="6" t="str">
        <f>HYPERLINK("#'TDS Party'!A1","TDS Party")</f>
        <v>TDS Party</v>
      </c>
      <c r="R56" s="14" t="s">
        <v>23</v>
      </c>
    </row>
    <row r="57" spans="1:18" ht="31.5">
      <c r="A57" s="22">
        <v>56</v>
      </c>
      <c r="B57" s="13" t="s">
        <v>82</v>
      </c>
      <c r="C57" s="13" t="s">
        <v>92</v>
      </c>
      <c r="D57" s="13">
        <v>18</v>
      </c>
      <c r="E57" s="13"/>
      <c r="F57" s="13"/>
      <c r="G57" s="13"/>
      <c r="H57" s="13"/>
      <c r="I57" s="24"/>
      <c r="J57" s="14" t="s">
        <v>20</v>
      </c>
      <c r="K57" s="14">
        <v>46091</v>
      </c>
      <c r="L57" s="23"/>
      <c r="M57" s="23"/>
      <c r="N57" s="14" t="s">
        <v>22</v>
      </c>
      <c r="O57" s="7"/>
      <c r="P57" s="23"/>
      <c r="Q57" s="6" t="str">
        <f>HYPERLINK("#'SAC Master'!A1","SAC Master")</f>
        <v>SAC Master</v>
      </c>
      <c r="R57" s="14" t="s">
        <v>23</v>
      </c>
    </row>
    <row r="58" spans="1:18" ht="31.5">
      <c r="A58" s="22">
        <v>57</v>
      </c>
      <c r="B58" s="13" t="s">
        <v>82</v>
      </c>
      <c r="C58" s="13" t="s">
        <v>93</v>
      </c>
      <c r="D58" s="13">
        <v>13</v>
      </c>
      <c r="E58" s="13"/>
      <c r="F58" s="13"/>
      <c r="G58" s="13"/>
      <c r="H58" s="13"/>
      <c r="I58" s="24"/>
      <c r="J58" s="14" t="s">
        <v>20</v>
      </c>
      <c r="K58" s="14">
        <v>46092</v>
      </c>
      <c r="L58" s="23"/>
      <c r="M58" s="23"/>
      <c r="N58" s="14" t="s">
        <v>22</v>
      </c>
      <c r="O58" s="7"/>
      <c r="P58" s="23"/>
      <c r="Q58" s="6" t="str">
        <f>HYPERLINK("#'Depreciation Rates Master'!A1","Depreciation Rates Master")</f>
        <v>Depreciation Rates Master</v>
      </c>
      <c r="R58" s="14" t="s">
        <v>23</v>
      </c>
    </row>
    <row r="59" spans="1:18" ht="31.5">
      <c r="A59" s="22">
        <v>58</v>
      </c>
      <c r="B59" s="13" t="s">
        <v>82</v>
      </c>
      <c r="C59" s="13" t="s">
        <v>94</v>
      </c>
      <c r="D59" s="13">
        <v>9</v>
      </c>
      <c r="E59" s="13"/>
      <c r="F59" s="13"/>
      <c r="G59" s="13"/>
      <c r="H59" s="13"/>
      <c r="I59" s="24"/>
      <c r="J59" s="14" t="s">
        <v>20</v>
      </c>
      <c r="K59" s="14">
        <v>46093</v>
      </c>
      <c r="L59" s="23"/>
      <c r="M59" s="23"/>
      <c r="N59" s="14" t="s">
        <v>22</v>
      </c>
      <c r="O59" s="7"/>
      <c r="P59" s="23"/>
      <c r="Q59" s="6" t="str">
        <f>HYPERLINK("#'Merge Accounts'!A1","Merge Accounts")</f>
        <v>Merge Accounts</v>
      </c>
      <c r="R59" s="14" t="s">
        <v>23</v>
      </c>
    </row>
    <row r="60" spans="1:18" ht="31.5">
      <c r="A60" s="22">
        <v>59</v>
      </c>
      <c r="B60" s="13" t="s">
        <v>82</v>
      </c>
      <c r="C60" s="13" t="s">
        <v>95</v>
      </c>
      <c r="D60" s="13">
        <v>18</v>
      </c>
      <c r="E60" s="13"/>
      <c r="F60" s="13"/>
      <c r="G60" s="13"/>
      <c r="H60" s="13"/>
      <c r="I60" s="24"/>
      <c r="J60" s="14" t="s">
        <v>20</v>
      </c>
      <c r="K60" s="14">
        <v>46093</v>
      </c>
      <c r="L60" s="23"/>
      <c r="M60" s="23"/>
      <c r="N60" s="14" t="s">
        <v>22</v>
      </c>
      <c r="O60" s="7"/>
      <c r="P60" s="23"/>
      <c r="Q60" s="6" t="str">
        <f>HYPERLINK("#'Receipt Voucher'!A1","Receipt Voucher")</f>
        <v>Receipt Voucher</v>
      </c>
      <c r="R60" s="14" t="s">
        <v>23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A4" sqref="A4"/>
    </sheetView>
  </sheetViews>
  <sheetFormatPr defaultRowHeight="15"/>
  <cols>
    <col min="1" max="1" width="50.28515625" customWidth="1"/>
    <col min="2" max="2" width="27.7109375" customWidth="1"/>
  </cols>
  <sheetData>
    <row r="1" spans="1:1">
      <c r="A1" t="s">
        <v>46</v>
      </c>
    </row>
    <row r="2" spans="1:1">
      <c r="A2" t="s">
        <v>42</v>
      </c>
    </row>
    <row r="3" spans="1:1">
      <c r="A3" t="s">
        <v>43</v>
      </c>
    </row>
    <row r="4" spans="1:1">
      <c r="A4" t="s">
        <v>44</v>
      </c>
    </row>
    <row r="5" spans="1:1">
      <c r="A5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Tracker Log</vt:lpstr>
      <vt:lpstr>Extra Id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noida</dc:creator>
  <cp:lastModifiedBy>Hans noida</cp:lastModifiedBy>
  <dcterms:created xsi:type="dcterms:W3CDTF">2026-01-12T05:26:46Z</dcterms:created>
  <dcterms:modified xsi:type="dcterms:W3CDTF">2026-03-13T09:10:31Z</dcterms:modified>
</cp:coreProperties>
</file>
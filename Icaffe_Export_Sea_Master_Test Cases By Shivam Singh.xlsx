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28695" windowHeight="12540" tabRatio="910"/>
  </bookViews>
  <sheets>
    <sheet name="Tracker Log" sheetId="2" r:id="rId1"/>
    <sheet name="Bank_BRO" sheetId="1" r:id="rId2"/>
    <sheet name="CFS Master" sheetId="4" r:id="rId3"/>
    <sheet name="Currency" sheetId="5" r:id="rId4"/>
    <sheet name="RITC" sheetId="6" r:id="rId5"/>
    <sheet name="Port" sheetId="7" r:id="rId6"/>
    <sheet name="Loading &amp; CHA Port" sheetId="8" r:id="rId7"/>
    <sheet name="CHA Port Master" sheetId="37" r:id="rId8"/>
    <sheet name="Transporter Master" sheetId="38" r:id="rId9"/>
    <sheet name="Drawback Schedule" sheetId="39" r:id="rId10"/>
    <sheet name="EDI-Country" sheetId="40" r:id="rId11"/>
    <sheet name="Licence Master New" sheetId="41" r:id="rId12"/>
    <sheet name="eSanchit Code" sheetId="42" r:id="rId13"/>
    <sheet name="CESS Schedule Master" sheetId="43" r:id="rId14"/>
    <sheet name="Rodtep Master" sheetId="44" r:id="rId15"/>
    <sheet name="Vehicle Owner Master" sheetId="45" r:id="rId16"/>
    <sheet name="Item Template Master" sheetId="46" r:id="rId17"/>
    <sheet name="ROSL DBK" sheetId="47" r:id="rId18"/>
    <sheet name="Licence Master" sheetId="48" r:id="rId19"/>
    <sheet name="Zone Master" sheetId="9" r:id="rId20"/>
    <sheet name="Country Master" sheetId="10" r:id="rId21"/>
    <sheet name="Region Master" sheetId="11" r:id="rId22"/>
    <sheet name="FF Port Master" sheetId="12" r:id="rId23"/>
    <sheet name="Action Master" sheetId="13" r:id="rId24"/>
    <sheet name="Period Master" sheetId="14" r:id="rId25"/>
    <sheet name="Cost Center Master" sheetId="15" r:id="rId26"/>
    <sheet name="IMO Master" sheetId="16" r:id="rId27"/>
    <sheet name="Unit Master" sheetId="17" r:id="rId28"/>
    <sheet name="CHA Service" sheetId="18" r:id="rId29"/>
    <sheet name="Pricing" sheetId="19" r:id="rId30"/>
    <sheet name="Sea Charge Master" sheetId="20" r:id="rId31"/>
    <sheet name="Segment Master" sheetId="21" r:id="rId32"/>
    <sheet name="Trigger Master" sheetId="22" r:id="rId33"/>
    <sheet name="Principle Line HBL Master" sheetId="23" r:id="rId34"/>
    <sheet name="Project Type Master" sheetId="24" r:id="rId35"/>
    <sheet name="Notes Master" sheetId="25" r:id="rId36"/>
    <sheet name="Vessel" sheetId="26" r:id="rId37"/>
    <sheet name="Schedule" sheetId="27" r:id="rId38"/>
    <sheet name="Shipment Status" sheetId="28" r:id="rId39"/>
    <sheet name="Destuffing" sheetId="29" r:id="rId40"/>
    <sheet name="Document" sheetId="30" r:id="rId41"/>
    <sheet name="Container" sheetId="31" r:id="rId42"/>
    <sheet name="Stuffing Master" sheetId="32" r:id="rId43"/>
    <sheet name="Daily Currency Rate" sheetId="33" r:id="rId44"/>
    <sheet name="Container Yard Master" sheetId="34" r:id="rId45"/>
    <sheet name="Create Branch" sheetId="35" r:id="rId46"/>
    <sheet name="Shipment Plan Master" sheetId="36" r:id="rId47"/>
  </sheets>
  <definedNames>
    <definedName name="_xlnm._FilterDatabase" localSheetId="23" hidden="1">'Action Master'!$A$1:$V$20</definedName>
    <definedName name="_xlnm._FilterDatabase" localSheetId="1" hidden="1">Bank_BRO!$A$1:$V$56</definedName>
    <definedName name="_xlnm._FilterDatabase" localSheetId="2" hidden="1">'CFS Master'!$A$1:$V$76</definedName>
    <definedName name="_xlnm._FilterDatabase" localSheetId="28" hidden="1">'CHA Service'!$A$1:$V$24</definedName>
    <definedName name="_xlnm._FilterDatabase" localSheetId="41" hidden="1">Container!$A$1:$V$22</definedName>
    <definedName name="_xlnm._FilterDatabase" localSheetId="44" hidden="1">'Container Yard Master'!$A$1:$V$21</definedName>
    <definedName name="_xlnm._FilterDatabase" localSheetId="25" hidden="1">'Cost Center Master'!$A$1:$V$19</definedName>
    <definedName name="_xlnm._FilterDatabase" localSheetId="20" hidden="1">'Country Master'!$A$1:$V$26</definedName>
    <definedName name="_xlnm._FilterDatabase" localSheetId="45" hidden="1">'Create Branch'!$A$1:$V$39</definedName>
    <definedName name="_xlnm._FilterDatabase" localSheetId="3" hidden="1">Currency!$A$1:$V$30</definedName>
    <definedName name="_xlnm._FilterDatabase" localSheetId="43" hidden="1">'Daily Currency Rate'!$A$1:$V$16</definedName>
    <definedName name="_xlnm._FilterDatabase" localSheetId="39" hidden="1">Destuffing!$A$1:$V$19</definedName>
    <definedName name="_xlnm._FilterDatabase" localSheetId="40" hidden="1">Document!$A$1:$V$18</definedName>
    <definedName name="_xlnm._FilterDatabase" localSheetId="22" hidden="1">'FF Port Master'!$A$1:$V$27</definedName>
    <definedName name="_xlnm._FilterDatabase" localSheetId="26" hidden="1">'IMO Master'!$A$1:$V$19</definedName>
    <definedName name="_xlnm._FilterDatabase" localSheetId="6" hidden="1">'Loading &amp; CHA Port'!$A$1:$U$1</definedName>
    <definedName name="_xlnm._FilterDatabase" localSheetId="35" hidden="1">'Notes Master'!$A$1:$V$24</definedName>
    <definedName name="_xlnm._FilterDatabase" localSheetId="24" hidden="1">'Period Master'!$A$1:$V$17</definedName>
    <definedName name="_xlnm._FilterDatabase" localSheetId="5" hidden="1">Port!$A$1:$V$22</definedName>
    <definedName name="_xlnm._FilterDatabase" localSheetId="29" hidden="1">Pricing!$A$1:$V$61</definedName>
    <definedName name="_xlnm._FilterDatabase" localSheetId="33" hidden="1">'Principle Line HBL Master'!$A$1:$V$16</definedName>
    <definedName name="_xlnm._FilterDatabase" localSheetId="34" hidden="1">'Project Type Master'!$A$1:$V$20</definedName>
    <definedName name="_xlnm._FilterDatabase" localSheetId="21" hidden="1">'Region Master'!$A$1:$V$24</definedName>
    <definedName name="_xlnm._FilterDatabase" localSheetId="4" hidden="1">RITC!$A$1:$V$30</definedName>
    <definedName name="_xlnm._FilterDatabase" localSheetId="37" hidden="1">Schedule!$A$1:$V$77</definedName>
    <definedName name="_xlnm._FilterDatabase" localSheetId="30" hidden="1">'Sea Charge Master'!$A$1:$V$60</definedName>
    <definedName name="_xlnm._FilterDatabase" localSheetId="31" hidden="1">'Segment Master'!$A$1:$V$31</definedName>
    <definedName name="_xlnm._FilterDatabase" localSheetId="46" hidden="1">'Shipment Plan Master'!$A$1:$V$15</definedName>
    <definedName name="_xlnm._FilterDatabase" localSheetId="38" hidden="1">'Shipment Status'!$A$1:$V$23</definedName>
    <definedName name="_xlnm._FilterDatabase" localSheetId="42" hidden="1">'Stuffing Master'!$A$1:$V$17</definedName>
    <definedName name="_xlnm._FilterDatabase" localSheetId="32" hidden="1">'Trigger Master'!$A$1:$V$26</definedName>
    <definedName name="_xlnm._FilterDatabase" localSheetId="27" hidden="1">'Unit Master'!$A$1:$V$16</definedName>
    <definedName name="_xlnm._FilterDatabase" localSheetId="36" hidden="1">Vessel!$A$1:$V$20</definedName>
    <definedName name="_xlnm._FilterDatabase" localSheetId="19" hidden="1">'Zone Master'!$A$1:$V$21</definedName>
  </definedNames>
  <calcPr calcId="124519"/>
</workbook>
</file>

<file path=xl/calcChain.xml><?xml version="1.0" encoding="utf-8"?>
<calcChain xmlns="http://schemas.openxmlformats.org/spreadsheetml/2006/main">
  <c r="Q35" i="2"/>
  <c r="Q47"/>
  <c r="Q46"/>
  <c r="Q45"/>
  <c r="Q44"/>
  <c r="Q43"/>
  <c r="Q42"/>
  <c r="Q41"/>
  <c r="Q40"/>
  <c r="Q39"/>
  <c r="Q38"/>
  <c r="Q34"/>
  <c r="Q33"/>
  <c r="Q32"/>
  <c r="Q31"/>
  <c r="Q30"/>
  <c r="Q29"/>
  <c r="Q28"/>
  <c r="Q27"/>
  <c r="Q26"/>
  <c r="Q25"/>
  <c r="Q24"/>
  <c r="Q23"/>
  <c r="Q22"/>
  <c r="Q21"/>
  <c r="Q20"/>
  <c r="Q19"/>
  <c r="Q18"/>
  <c r="Q17"/>
  <c r="Q16"/>
  <c r="Q15"/>
  <c r="Q14"/>
  <c r="Q13"/>
  <c r="Q12"/>
  <c r="Q11"/>
  <c r="Q10"/>
  <c r="Q9"/>
  <c r="Q8"/>
  <c r="Q37"/>
  <c r="Q36"/>
  <c r="Q7"/>
  <c r="Q6"/>
  <c r="Q5"/>
  <c r="Q4"/>
  <c r="Q3"/>
  <c r="Q2"/>
</calcChain>
</file>

<file path=xl/sharedStrings.xml><?xml version="1.0" encoding="utf-8"?>
<sst xmlns="http://schemas.openxmlformats.org/spreadsheetml/2006/main" count="16013" uniqueCount="6164">
  <si>
    <t>S.No</t>
  </si>
  <si>
    <t>Test Case ID</t>
  </si>
  <si>
    <t>Bug ID</t>
  </si>
  <si>
    <t>User Type</t>
  </si>
  <si>
    <t>Module</t>
  </si>
  <si>
    <t>Sub-Module</t>
  </si>
  <si>
    <t>Test Case Title</t>
  </si>
  <si>
    <t>Pre-Condition</t>
  </si>
  <si>
    <t>Test Steps</t>
  </si>
  <si>
    <t>Test Data</t>
  </si>
  <si>
    <t>Expected Result</t>
  </si>
  <si>
    <t>Actual Result</t>
  </si>
  <si>
    <t>Status</t>
  </si>
  <si>
    <t>Browser &amp; OS Version</t>
  </si>
  <si>
    <t>Execution Date</t>
  </si>
  <si>
    <t>Assignee</t>
  </si>
  <si>
    <t>Bug Status</t>
  </si>
  <si>
    <t>Environment</t>
  </si>
  <si>
    <t>Test Revisit Date</t>
  </si>
  <si>
    <t>Introduced After Fix</t>
  </si>
  <si>
    <t>Attempt</t>
  </si>
  <si>
    <t>Bank_BRO_01</t>
  </si>
  <si>
    <t>Masters</t>
  </si>
  <si>
    <t>Party --&gt; Bank BRO</t>
  </si>
  <si>
    <t>Pass</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</si>
  <si>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t>
    </r>
  </si>
  <si>
    <t xml:space="preserve">On hovering over the Masters module, all related sub-modules should be displayed properly. The user should be able to view and select any sub-module as required. </t>
  </si>
  <si>
    <t>The mouse-over functionality works correctly. All sub-modules are displayed properly and are accessible to the user.</t>
  </si>
  <si>
    <r>
      <t xml:space="preserve">Validate the functionality of the mouse-over action on the </t>
    </r>
    <r>
      <rPr>
        <b/>
        <i/>
        <sz val="11"/>
        <color theme="1"/>
        <rFont val="Calibri"/>
        <family val="2"/>
        <scheme val="minor"/>
      </rPr>
      <t>Masters</t>
    </r>
    <r>
      <rPr>
        <sz val="11"/>
        <color theme="1"/>
        <rFont val="Calibri"/>
        <family val="2"/>
        <scheme val="minor"/>
      </rPr>
      <t xml:space="preserve"> module</t>
    </r>
  </si>
  <si>
    <t>Bank_BRO_02</t>
  </si>
  <si>
    <t>Admin</t>
  </si>
  <si>
    <r>
      <t xml:space="preserve">Validate the functionality of the mouse-over action on </t>
    </r>
    <r>
      <rPr>
        <b/>
        <sz val="11"/>
        <color theme="1"/>
        <rFont val="Calibri"/>
        <family val="2"/>
        <scheme val="minor"/>
      </rPr>
      <t>Party</t>
    </r>
    <r>
      <rPr>
        <sz val="11"/>
        <color theme="1"/>
        <rFont val="Calibri"/>
        <family val="2"/>
        <scheme val="minor"/>
      </rPr>
      <t xml:space="preserve">, which is the sub-module of the </t>
    </r>
    <r>
      <rPr>
        <b/>
        <sz val="11"/>
        <color theme="1"/>
        <rFont val="Calibri"/>
        <family val="2"/>
        <scheme val="minor"/>
      </rPr>
      <t>Masters</t>
    </r>
    <r>
      <rPr>
        <sz val="11"/>
        <color theme="1"/>
        <rFont val="Calibri"/>
        <family val="2"/>
        <scheme val="minor"/>
      </rPr>
      <t xml:space="preserve"> module</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</si>
  <si>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t>
    </r>
  </si>
  <si>
    <t>1. When hovering over the Masters module, all related sub-modules should be displayed properly.
2. When hovering over the Party sub-module, all its related sub-modules should be visible properly, and the user should be able to select any sub-module as required.</t>
  </si>
  <si>
    <t>The mouse-over functionality works correctly. All sub-modules under Party are displayed properly and accessible to the user.</t>
  </si>
  <si>
    <t>Bank_BRO_03</t>
  </si>
  <si>
    <r>
      <t>Validate the functionality of '</t>
    </r>
    <r>
      <rPr>
        <b/>
        <sz val="11"/>
        <color theme="1"/>
        <rFont val="Calibri"/>
        <family val="2"/>
        <scheme val="minor"/>
      </rPr>
      <t xml:space="preserve">Bank BRO', </t>
    </r>
    <r>
      <rPr>
        <sz val="11"/>
        <color theme="1"/>
        <rFont val="Calibri"/>
        <family val="2"/>
        <scheme val="minor"/>
      </rPr>
      <t>Under '</t>
    </r>
    <r>
      <rPr>
        <b/>
        <sz val="11"/>
        <color theme="1"/>
        <rFont val="Calibri"/>
        <family val="2"/>
        <scheme val="minor"/>
      </rPr>
      <t>Party</t>
    </r>
    <r>
      <rPr>
        <sz val="11"/>
        <color theme="1"/>
        <rFont val="Calibri"/>
        <family val="2"/>
        <scheme val="minor"/>
      </rPr>
      <t xml:space="preserve">' Sub module and Masters Module.  </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</si>
  <si>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Module</t>
    </r>
  </si>
  <si>
    <t>BRO BRO Module should be visible properly and While opening the page, it should be open proerply without any debiation and delay</t>
  </si>
  <si>
    <t>It is working properly and Page is opening properly.</t>
  </si>
  <si>
    <t>Bank_BRO_04</t>
  </si>
  <si>
    <r>
      <t xml:space="preserve">Validate the functionality of the </t>
    </r>
    <r>
      <rPr>
        <b/>
        <sz val="11"/>
        <color theme="1"/>
        <rFont val="Calibri"/>
        <family val="2"/>
        <scheme val="minor"/>
      </rPr>
      <t>Left Side Search Field</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t>
    </r>
  </si>
  <si>
    <t>1. The user must be logged into the application with valid credentials.
2. After successful login, the user should select “AHMEDABAD” as the branch, “Export Sea” as the radio button option, and Financial Year: 2025–2026.</t>
  </si>
  <si>
    <r>
      <t>1. The user must be logged into the application with valid credentials.
2. After successful login, the user should select “</t>
    </r>
    <r>
      <rPr>
        <b/>
        <sz val="11"/>
        <color theme="1"/>
        <rFont val="Calibri"/>
        <family val="2"/>
        <scheme val="minor"/>
      </rPr>
      <t>AHMEDABAD</t>
    </r>
    <r>
      <rPr>
        <sz val="11"/>
        <color theme="1"/>
        <rFont val="Calibri"/>
        <family val="2"/>
        <scheme val="minor"/>
      </rPr>
      <t>” as the branch, “</t>
    </r>
    <r>
      <rPr>
        <b/>
        <sz val="11"/>
        <color theme="1"/>
        <rFont val="Calibri"/>
        <family val="2"/>
        <scheme val="minor"/>
      </rPr>
      <t>Export Sea</t>
    </r>
    <r>
      <rPr>
        <sz val="11"/>
        <color theme="1"/>
        <rFont val="Calibri"/>
        <family val="2"/>
        <scheme val="minor"/>
      </rPr>
      <t xml:space="preserve">” as the radio button option, and Financial Year: </t>
    </r>
    <r>
      <rPr>
        <b/>
        <sz val="11"/>
        <color theme="1"/>
        <rFont val="Calibri"/>
        <family val="2"/>
        <scheme val="minor"/>
      </rPr>
      <t>2025–2026</t>
    </r>
    <r>
      <rPr>
        <sz val="11"/>
        <color theme="1"/>
        <rFont val="Calibri"/>
        <family val="2"/>
        <scheme val="minor"/>
      </rPr>
      <t>.</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</si>
  <si>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Enter a value in the Search field on the left side of the page.</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</si>
  <si>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t>
    </r>
  </si>
  <si>
    <r>
      <t xml:space="preserve">The search field should return results for any word or partial match in the value.
Searching for </t>
    </r>
    <r>
      <rPr>
        <b/>
        <sz val="11"/>
        <color theme="1"/>
        <rFont val="Calibri"/>
        <family val="2"/>
        <scheme val="minor"/>
      </rPr>
      <t>'India'</t>
    </r>
    <r>
      <rPr>
        <sz val="11"/>
        <color theme="1"/>
        <rFont val="Calibri"/>
        <family val="2"/>
        <scheme val="minor"/>
      </rPr>
      <t xml:space="preserve"> should return </t>
    </r>
    <r>
      <rPr>
        <b/>
        <sz val="11"/>
        <color theme="1"/>
        <rFont val="Calibri"/>
        <family val="2"/>
        <scheme val="minor"/>
      </rPr>
      <t>State Bank Of India</t>
    </r>
    <r>
      <rPr>
        <sz val="11"/>
        <color theme="1"/>
        <rFont val="Calibri"/>
        <family val="2"/>
        <scheme val="minor"/>
      </rPr>
      <t>.</t>
    </r>
  </si>
  <si>
    <t>Fail</t>
  </si>
  <si>
    <r>
      <rPr>
        <b/>
        <sz val="10"/>
        <color rgb="FF444746"/>
        <rFont val="Segoe UI"/>
        <family val="2"/>
      </rPr>
      <t>Google Chrome</t>
    </r>
    <r>
      <rPr>
        <sz val="10"/>
        <color rgb="FF444746"/>
        <rFont val="Segoe UI"/>
        <family val="2"/>
      </rPr>
      <t xml:space="preserve"> - Version 141.0.7390.125 (Official Build) (64-bit)
</t>
    </r>
    <r>
      <rPr>
        <b/>
        <sz val="10"/>
        <color rgb="FF444746"/>
        <rFont val="Segoe UI"/>
        <family val="2"/>
      </rPr>
      <t>Microsoft Edge -</t>
    </r>
    <r>
      <rPr>
        <sz val="10"/>
        <color rgb="FF444746"/>
        <rFont val="Segoe UI"/>
        <family val="2"/>
      </rPr>
      <t xml:space="preserve"> Version 142.0.3595.53 (Official build) (64-bit)
</t>
    </r>
  </si>
  <si>
    <t>Bank_BRO_05</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</si>
  <si>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Click on the Sort Ascending and Sort Descending icons to verify sorting of the Bank Name column.
10. Select and deselect the Column Checkbox to verify its behavior.</t>
    </r>
  </si>
  <si>
    <t>1. The Bank Name column should be sorted correctly in ascending and descending order when the respective options are selected.
2. When all Column Checkboxes are deselected, the Bank Name column should not be displayed.</t>
  </si>
  <si>
    <t>Bank_BRO_06</t>
  </si>
  <si>
    <t>Bank_BRO_07</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</si>
  <si>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Click on the Save button without entering any details in the Bank Name field.</t>
    </r>
  </si>
  <si>
    <r>
      <t xml:space="preserve">The system displayed an error pop-up message correctly indicating that </t>
    </r>
    <r>
      <rPr>
        <b/>
        <sz val="11"/>
        <color theme="1"/>
        <rFont val="Calibri"/>
        <family val="2"/>
        <scheme val="minor"/>
      </rPr>
      <t xml:space="preserve">Bank Name is mandatory. </t>
    </r>
    <r>
      <rPr>
        <sz val="11"/>
        <color theme="1"/>
        <rFont val="Calibri"/>
        <family val="2"/>
        <scheme val="minor"/>
      </rPr>
      <t>Record was not saved without entering the required field.</t>
    </r>
  </si>
  <si>
    <t>Bank_BRO_08</t>
  </si>
  <si>
    <t>Validate the functionality of the ‘Add’ button in the Address Section when no fields are filled.</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</si>
  <si>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on the Add button without entering any data in the address-related fields.</t>
    </r>
  </si>
  <si>
    <t>Bank_BRO_09</t>
  </si>
  <si>
    <t>Bank_BRO_10</t>
  </si>
  <si>
    <t>1. The user must be logged into the application with valid credentials.
2. After successful login, the user should select “AHMEDABAD” as the branch, “Export Sea” as the radio button option, and Financial Year: 2025–2026.
URL: https://idp.icaffe.co.in/demoltd/
Login Credentials:
Username – Admin
Password – admin@123
Branch Selection:
Branch – AHMEDABAD
Export Type – Export Sea
Financial Year – 2025–2026</t>
  </si>
  <si>
    <r>
      <rPr>
        <b/>
        <sz val="11"/>
        <color theme="1"/>
        <rFont val="Calibri"/>
        <family val="2"/>
        <scheme val="minor"/>
      </rPr>
      <t>Address1</t>
    </r>
    <r>
      <rPr>
        <sz val="11"/>
        <color theme="1"/>
        <rFont val="Calibri"/>
        <family val="2"/>
        <scheme val="minor"/>
      </rPr>
      <t xml:space="preserve"> - Testing Address1
</t>
    </r>
    <r>
      <rPr>
        <b/>
        <sz val="11"/>
        <color theme="1"/>
        <rFont val="Calibri"/>
        <family val="2"/>
        <scheme val="minor"/>
      </rPr>
      <t>State</t>
    </r>
    <r>
      <rPr>
        <sz val="11"/>
        <color theme="1"/>
        <rFont val="Calibri"/>
        <family val="2"/>
        <scheme val="minor"/>
      </rPr>
      <t xml:space="preserve"> - Uttar Pradesh
</t>
    </r>
    <r>
      <rPr>
        <b/>
        <sz val="11"/>
        <color theme="1"/>
        <rFont val="Calibri"/>
        <family val="2"/>
        <scheme val="minor"/>
      </rPr>
      <t>Phone</t>
    </r>
    <r>
      <rPr>
        <sz val="11"/>
        <color theme="1"/>
        <rFont val="Calibri"/>
        <family val="2"/>
        <scheme val="minor"/>
      </rPr>
      <t xml:space="preserve"> - 12345678
</t>
    </r>
    <r>
      <rPr>
        <b/>
        <sz val="11"/>
        <color theme="1"/>
        <rFont val="Calibri"/>
        <family val="2"/>
        <scheme val="minor"/>
      </rPr>
      <t>Email1</t>
    </r>
    <r>
      <rPr>
        <sz val="11"/>
        <color theme="1"/>
        <rFont val="Calibri"/>
        <family val="2"/>
        <scheme val="minor"/>
      </rPr>
      <t xml:space="preserve"> - Test1@gmail.com
</t>
    </r>
    <r>
      <rPr>
        <b/>
        <sz val="11"/>
        <color theme="1"/>
        <rFont val="Calibri"/>
        <family val="2"/>
        <scheme val="minor"/>
      </rPr>
      <t>Contact Person</t>
    </r>
    <r>
      <rPr>
        <sz val="11"/>
        <color theme="1"/>
        <rFont val="Calibri"/>
        <family val="2"/>
        <scheme val="minor"/>
      </rPr>
      <t xml:space="preserve"> - Test Data
</t>
    </r>
    <r>
      <rPr>
        <b/>
        <sz val="11"/>
        <color theme="1"/>
        <rFont val="Calibri"/>
        <family val="2"/>
        <scheme val="minor"/>
      </rPr>
      <t>Address2</t>
    </r>
    <r>
      <rPr>
        <sz val="11"/>
        <color theme="1"/>
        <rFont val="Calibri"/>
        <family val="2"/>
        <scheme val="minor"/>
      </rPr>
      <t xml:space="preserve"> - Testing Address2
</t>
    </r>
    <r>
      <rPr>
        <b/>
        <sz val="11"/>
        <color theme="1"/>
        <rFont val="Calibri"/>
        <family val="2"/>
        <scheme val="minor"/>
      </rPr>
      <t>Country</t>
    </r>
    <r>
      <rPr>
        <sz val="11"/>
        <color theme="1"/>
        <rFont val="Calibri"/>
        <family val="2"/>
        <scheme val="minor"/>
      </rPr>
      <t xml:space="preserve"> - India
</t>
    </r>
    <r>
      <rPr>
        <b/>
        <sz val="11"/>
        <color theme="1"/>
        <rFont val="Calibri"/>
        <family val="2"/>
        <scheme val="minor"/>
      </rPr>
      <t>Mobile</t>
    </r>
    <r>
      <rPr>
        <sz val="11"/>
        <color theme="1"/>
        <rFont val="Calibri"/>
        <family val="2"/>
        <scheme val="minor"/>
      </rPr>
      <t xml:space="preserve"> - 9999999999
</t>
    </r>
    <r>
      <rPr>
        <b/>
        <sz val="11"/>
        <color theme="1"/>
        <rFont val="Calibri"/>
        <family val="2"/>
        <scheme val="minor"/>
      </rPr>
      <t>Email2</t>
    </r>
    <r>
      <rPr>
        <sz val="11"/>
        <color theme="1"/>
        <rFont val="Calibri"/>
        <family val="2"/>
        <scheme val="minor"/>
      </rPr>
      <t xml:space="preserve"> - Test2@gmail.com
</t>
    </r>
    <r>
      <rPr>
        <b/>
        <sz val="11"/>
        <color theme="1"/>
        <rFont val="Calibri"/>
        <family val="2"/>
        <scheme val="minor"/>
      </rPr>
      <t>Branch Name</t>
    </r>
    <r>
      <rPr>
        <sz val="11"/>
        <color theme="1"/>
        <rFont val="Calibri"/>
        <family val="2"/>
        <scheme val="minor"/>
      </rPr>
      <t xml:space="preserve"> - Test Branch
</t>
    </r>
    <r>
      <rPr>
        <b/>
        <sz val="11"/>
        <color theme="1"/>
        <rFont val="Calibri"/>
        <family val="2"/>
        <scheme val="minor"/>
      </rPr>
      <t>City</t>
    </r>
    <r>
      <rPr>
        <sz val="11"/>
        <color theme="1"/>
        <rFont val="Calibri"/>
        <family val="2"/>
        <scheme val="minor"/>
      </rPr>
      <t xml:space="preserve"> - Noida
</t>
    </r>
    <r>
      <rPr>
        <b/>
        <sz val="11"/>
        <color theme="1"/>
        <rFont val="Calibri"/>
        <family val="2"/>
        <scheme val="minor"/>
      </rPr>
      <t>Pin Code</t>
    </r>
    <r>
      <rPr>
        <sz val="11"/>
        <color theme="1"/>
        <rFont val="Calibri"/>
        <family val="2"/>
        <scheme val="minor"/>
      </rPr>
      <t xml:space="preserve"> - 201301
</t>
    </r>
    <r>
      <rPr>
        <b/>
        <sz val="11"/>
        <color theme="1"/>
        <rFont val="Calibri"/>
        <family val="2"/>
        <scheme val="minor"/>
      </rPr>
      <t>Fax</t>
    </r>
    <r>
      <rPr>
        <sz val="11"/>
        <color theme="1"/>
        <rFont val="Calibri"/>
        <family val="2"/>
        <scheme val="minor"/>
      </rPr>
      <t xml:space="preserve"> - 1234
</t>
    </r>
    <r>
      <rPr>
        <b/>
        <sz val="11"/>
        <color theme="1"/>
        <rFont val="Calibri"/>
        <family val="2"/>
        <scheme val="minor"/>
      </rPr>
      <t>Website</t>
    </r>
    <r>
      <rPr>
        <sz val="11"/>
        <color theme="1"/>
        <rFont val="Calibri"/>
        <family val="2"/>
        <scheme val="minor"/>
      </rPr>
      <t xml:space="preserve"> - Test.com
</t>
    </r>
  </si>
  <si>
    <r>
      <t xml:space="preserve">Validate the functionality of the </t>
    </r>
    <r>
      <rPr>
        <b/>
        <sz val="11"/>
        <color theme="1"/>
        <rFont val="Calibri"/>
        <family val="2"/>
        <scheme val="minor"/>
      </rPr>
      <t>‘Add’</t>
    </r>
    <r>
      <rPr>
        <sz val="11"/>
        <color theme="1"/>
        <rFont val="Calibri"/>
        <family val="2"/>
        <scheme val="minor"/>
      </rPr>
      <t xml:space="preserve"> button in the </t>
    </r>
    <r>
      <rPr>
        <i/>
        <sz val="11"/>
        <color theme="1"/>
        <rFont val="Calibri"/>
        <family val="2"/>
        <scheme val="minor"/>
      </rPr>
      <t>Address Section</t>
    </r>
    <r>
      <rPr>
        <sz val="11"/>
        <color theme="1"/>
        <rFont val="Calibri"/>
        <family val="2"/>
        <scheme val="minor"/>
      </rPr>
      <t xml:space="preserve"> when all fields are filled correctly.</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</si>
  <si>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fill in all fields as per the above test data and click on Add button to save the address details.</t>
    </r>
  </si>
  <si>
    <t>1. The address details are successfully saved when the Add button is clicked.
2. The data is visible in the Address grid as expected.</t>
  </si>
  <si>
    <t>Bank_BRO_11</t>
  </si>
  <si>
    <t>1. The Bank Name is saving successfully as expected.
2. However, the field is accepting only uppercase letters — lowercase input is not being accepted.</t>
  </si>
  <si>
    <t>Bank_BRO_12</t>
  </si>
  <si>
    <r>
      <t xml:space="preserve">The system should not allow saving the record. A validation pop-up message should appear stating that </t>
    </r>
    <r>
      <rPr>
        <b/>
        <sz val="11"/>
        <color theme="1"/>
        <rFont val="Calibri"/>
        <family val="2"/>
        <scheme val="minor"/>
      </rPr>
      <t>Bank Name is mandatory</t>
    </r>
    <r>
      <rPr>
        <sz val="11"/>
        <color theme="1"/>
        <rFont val="Calibri"/>
        <family val="2"/>
        <scheme val="minor"/>
      </rPr>
      <t xml:space="preserve">.
</t>
    </r>
  </si>
  <si>
    <r>
      <t xml:space="preserve">Validate the functionality of the </t>
    </r>
    <r>
      <rPr>
        <b/>
        <sz val="11"/>
        <color theme="1"/>
        <rFont val="Calibri"/>
        <family val="2"/>
        <scheme val="minor"/>
      </rPr>
      <t>Save</t>
    </r>
    <r>
      <rPr>
        <sz val="11"/>
        <color theme="1"/>
        <rFont val="Calibri"/>
        <family val="2"/>
        <scheme val="minor"/>
      </rPr>
      <t xml:space="preserve"> button without filling the mandatory field (Bank Name)</t>
    </r>
  </si>
  <si>
    <r>
      <t xml:space="preserve">Validate the functionality of the </t>
    </r>
    <r>
      <rPr>
        <b/>
        <sz val="11"/>
        <color theme="1"/>
        <rFont val="Calibri"/>
        <family val="2"/>
        <scheme val="minor"/>
      </rPr>
      <t>Bank Name Save</t>
    </r>
    <r>
      <rPr>
        <sz val="11"/>
        <color theme="1"/>
        <rFont val="Calibri"/>
        <family val="2"/>
        <scheme val="minor"/>
      </rPr>
      <t xml:space="preserve"> operation when </t>
    </r>
    <r>
      <rPr>
        <b/>
        <sz val="11"/>
        <color theme="1"/>
        <rFont val="Calibri"/>
        <family val="2"/>
        <scheme val="minor"/>
      </rPr>
      <t>only spaces</t>
    </r>
    <r>
      <rPr>
        <sz val="11"/>
        <color theme="1"/>
        <rFont val="Calibri"/>
        <family val="2"/>
        <scheme val="minor"/>
      </rPr>
      <t xml:space="preserve"> are entered in the </t>
    </r>
    <r>
      <rPr>
        <i/>
        <sz val="11"/>
        <color theme="1"/>
        <rFont val="Calibri"/>
        <family val="2"/>
        <scheme val="minor"/>
      </rPr>
      <t>Bank Name</t>
    </r>
    <r>
      <rPr>
        <sz val="11"/>
        <color theme="1"/>
        <rFont val="Calibri"/>
        <family val="2"/>
        <scheme val="minor"/>
      </rPr>
      <t xml:space="preserve"> field.</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</si>
  <si>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spaces and click on the Save button.</t>
    </r>
  </si>
  <si>
    <r>
      <t>1. The system should not accept only spaces in the Bank Name field.
2. A validation pop-up or inline error message should appear stating:
“</t>
    </r>
    <r>
      <rPr>
        <b/>
        <sz val="11"/>
        <color theme="1"/>
        <rFont val="Calibri"/>
        <family val="2"/>
        <scheme val="minor"/>
      </rPr>
      <t>Please enter a valid Bank Name</t>
    </r>
    <r>
      <rPr>
        <sz val="11"/>
        <color theme="1"/>
        <rFont val="Calibri"/>
        <family val="2"/>
        <scheme val="minor"/>
      </rPr>
      <t>.”
3. The system should allow spaces only between alphabetic words, e.g., “State Bank of India”.</t>
    </r>
  </si>
  <si>
    <t>1. The system is accepting only spaces in the Bank Name field.
2. No error pop-up or validation message is displayed.
3. The record appears to be saved with invalid data (only spaces).</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</si>
  <si>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numeric value and click on the Save button.</t>
    </r>
  </si>
  <si>
    <r>
      <t xml:space="preserve">Validate the functionality of the </t>
    </r>
    <r>
      <rPr>
        <b/>
        <sz val="11"/>
        <color theme="1"/>
        <rFont val="Calibri"/>
        <family val="2"/>
        <scheme val="minor"/>
      </rPr>
      <t>Bank Name Save</t>
    </r>
    <r>
      <rPr>
        <sz val="11"/>
        <color theme="1"/>
        <rFont val="Calibri"/>
        <family val="2"/>
        <scheme val="minor"/>
      </rPr>
      <t xml:space="preserve"> operation when </t>
    </r>
    <r>
      <rPr>
        <b/>
        <sz val="11"/>
        <color theme="1"/>
        <rFont val="Calibri"/>
        <family val="2"/>
        <scheme val="minor"/>
      </rPr>
      <t>only numeric values</t>
    </r>
    <r>
      <rPr>
        <sz val="11"/>
        <color theme="1"/>
        <rFont val="Calibri"/>
        <family val="2"/>
        <scheme val="minor"/>
      </rPr>
      <t xml:space="preserve"> are entered in the Bank Name field.</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</si>
  <si>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Only Space
</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</si>
  <si>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- 1234</t>
    </r>
  </si>
  <si>
    <t xml:space="preserve">1. The system should not accept numeric-only values in the Bank Name field.
2. A validation pop-up or inline error message should be displayed:
“Please enter a valid Bank Name.”
3. Bank Name should only accept alphabetic values or alphabetic values with spaces.
</t>
  </si>
  <si>
    <t xml:space="preserve">The system accepts numeric-only values in the Bank Name field.
No error pop-up or validation message is displayed.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</si>
  <si>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special character and click on the Save button.</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</si>
  <si>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!@#$%^&amp;*()_+=[]{};':"./,&lt;&gt;?</t>
    </r>
  </si>
  <si>
    <r>
      <t xml:space="preserve">1. The system accepts all special-character-only input in the Bank Name field.
</t>
    </r>
    <r>
      <rPr>
        <b/>
        <sz val="11"/>
        <color theme="1"/>
        <rFont val="Calibri"/>
        <family val="2"/>
        <scheme val="minor"/>
      </rPr>
      <t>No error pop-up or validation message is displayed.</t>
    </r>
    <r>
      <rPr>
        <sz val="11"/>
        <color theme="1"/>
        <rFont val="Calibri"/>
        <family val="2"/>
        <scheme val="minor"/>
      </rPr>
      <t xml:space="preserve">
2. Invalid Bank Name is saved in the system, violating data integrity rules.</t>
    </r>
  </si>
  <si>
    <r>
      <t xml:space="preserve">Validate the functionality of </t>
    </r>
    <r>
      <rPr>
        <b/>
        <sz val="11"/>
        <color theme="1"/>
        <rFont val="Calibri"/>
        <family val="2"/>
        <scheme val="minor"/>
      </rPr>
      <t>Sort Ascending, Sort Descending</t>
    </r>
    <r>
      <rPr>
        <sz val="11"/>
        <color theme="1"/>
        <rFont val="Calibri"/>
        <family val="2"/>
        <scheme val="minor"/>
      </rPr>
      <t>, and</t>
    </r>
    <r>
      <rPr>
        <b/>
        <sz val="11"/>
        <color theme="1"/>
        <rFont val="Calibri"/>
        <family val="2"/>
        <scheme val="minor"/>
      </rPr>
      <t xml:space="preserve"> Column Checkbox</t>
    </r>
    <r>
      <rPr>
        <sz val="11"/>
        <color theme="1"/>
        <rFont val="Calibri"/>
        <family val="2"/>
        <scheme val="minor"/>
      </rPr>
      <t xml:space="preserve"> of Bank Name displayed on the left side of the Bank BRO page</t>
    </r>
  </si>
  <si>
    <r>
      <t xml:space="preserve">Validate the functionality of the </t>
    </r>
    <r>
      <rPr>
        <b/>
        <sz val="11"/>
        <color theme="1"/>
        <rFont val="Calibri"/>
        <family val="2"/>
        <scheme val="minor"/>
      </rPr>
      <t xml:space="preserve">Bank Name Save operation when special characters </t>
    </r>
    <r>
      <rPr>
        <sz val="11"/>
        <color theme="1"/>
        <rFont val="Calibri"/>
        <family val="2"/>
        <scheme val="minor"/>
      </rPr>
      <t>are entered in the Bank Name field.</t>
    </r>
  </si>
  <si>
    <t>Bank_BRO_13</t>
  </si>
  <si>
    <t>Bank_BRO_14</t>
  </si>
  <si>
    <t>Bank_BRO_15</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</si>
  <si>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State Bank Of India</t>
    </r>
  </si>
  <si>
    <r>
      <t xml:space="preserve">Validate the functionality of the </t>
    </r>
    <r>
      <rPr>
        <b/>
        <sz val="11"/>
        <color theme="1"/>
        <rFont val="Calibri"/>
        <family val="2"/>
        <scheme val="minor"/>
      </rPr>
      <t>Duplicate</t>
    </r>
    <r>
      <rPr>
        <sz val="11"/>
        <color theme="1"/>
        <rFont val="Calibri"/>
        <family val="2"/>
        <scheme val="minor"/>
      </rPr>
      <t xml:space="preserve"> </t>
    </r>
    <r>
      <rPr>
        <b/>
        <sz val="11"/>
        <color theme="1"/>
        <rFont val="Calibri"/>
        <family val="2"/>
        <scheme val="minor"/>
      </rPr>
      <t xml:space="preserve">Bank Name Save operation </t>
    </r>
    <r>
      <rPr>
        <sz val="11"/>
        <color theme="1"/>
        <rFont val="Calibri"/>
        <family val="2"/>
        <scheme val="minor"/>
      </rPr>
      <t xml:space="preserve"> in the Bank Name field.</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</si>
  <si>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a Bank Name that is already registered and click on Save button.</t>
    </r>
  </si>
  <si>
    <r>
      <t xml:space="preserve">1. The system should not allow saving a duplicate Bank Name.
2. A validation pop-up or inline error message should appear:
</t>
    </r>
    <r>
      <rPr>
        <b/>
        <sz val="11"/>
        <color theme="1"/>
        <rFont val="Calibri"/>
        <family val="2"/>
        <scheme val="minor"/>
      </rPr>
      <t>Bank Name already exists.</t>
    </r>
    <r>
      <rPr>
        <sz val="11"/>
        <color theme="1"/>
        <rFont val="Calibri"/>
        <family val="2"/>
        <scheme val="minor"/>
      </rPr>
      <t xml:space="preserve">
3. Duplicate entry should not be saved in the system.</t>
    </r>
  </si>
  <si>
    <t>Duplicate Bank is not saving , Validation Pop-up message is coming.</t>
  </si>
  <si>
    <r>
      <t xml:space="preserve">The </t>
    </r>
    <r>
      <rPr>
        <b/>
        <sz val="11"/>
        <color theme="1"/>
        <rFont val="Calibri"/>
        <family val="2"/>
        <scheme val="minor"/>
      </rPr>
      <t>Search</t>
    </r>
    <r>
      <rPr>
        <sz val="11"/>
        <color theme="1"/>
        <rFont val="Calibri"/>
        <family val="2"/>
        <scheme val="minor"/>
      </rPr>
      <t xml:space="preserve"> field is not working properly, As Only values where the search term matches the first word are displayed. Partial or subsequent word matches are ignored.
Example:</t>
    </r>
    <r>
      <rPr>
        <b/>
        <sz val="11"/>
        <color theme="1"/>
        <rFont val="Calibri"/>
        <family val="2"/>
        <scheme val="minor"/>
      </rPr>
      <t xml:space="preserve"> 'State Bank Of India'</t>
    </r>
    <r>
      <rPr>
        <sz val="11"/>
        <color theme="1"/>
        <rFont val="Calibri"/>
        <family val="2"/>
        <scheme val="minor"/>
      </rPr>
      <t xml:space="preserve"> is listed. Searching for </t>
    </r>
    <r>
      <rPr>
        <b/>
        <sz val="11"/>
        <color theme="1"/>
        <rFont val="Calibri"/>
        <family val="2"/>
        <scheme val="minor"/>
      </rPr>
      <t xml:space="preserve">'India' </t>
    </r>
    <r>
      <rPr>
        <sz val="11"/>
        <color theme="1"/>
        <rFont val="Calibri"/>
        <family val="2"/>
        <scheme val="minor"/>
      </rPr>
      <t>does not return any results.
User can search in lower case also</t>
    </r>
  </si>
  <si>
    <t>The Bank Name column sorts correctly in both ascending and descending order.
However, the Column Checkbox selection and deselection functionality is not working properly. When all checkboxes are deselected, the Bank Name column still remains visible.</t>
  </si>
  <si>
    <r>
      <t xml:space="preserve">Validate the functionality of the </t>
    </r>
    <r>
      <rPr>
        <b/>
        <sz val="11"/>
        <color theme="1"/>
        <rFont val="Calibri"/>
        <family val="2"/>
        <scheme val="minor"/>
      </rPr>
      <t>‘Add’ button</t>
    </r>
    <r>
      <rPr>
        <sz val="11"/>
        <color theme="1"/>
        <rFont val="Calibri"/>
        <family val="2"/>
        <scheme val="minor"/>
      </rPr>
      <t xml:space="preserve"> in the Address Section when all fields are filled correctly with duplicate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</si>
  <si>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Repeat same address and click on save button.</t>
    </r>
  </si>
  <si>
    <t>Bank_BRO_16</t>
  </si>
  <si>
    <t xml:space="preserve">1. The user must be logged into the application with valid credentials.
2. After successful login, the user should select “AHMEDABAD” as the branch, “Export Sea” as the radio button option, and Financial Year: 2025–2026.
</t>
  </si>
  <si>
    <r>
      <t xml:space="preserve">Validate the functionality of the </t>
    </r>
    <r>
      <rPr>
        <b/>
        <sz val="11"/>
        <color theme="1"/>
        <rFont val="Calibri"/>
        <family val="2"/>
        <scheme val="minor"/>
      </rPr>
      <t>Address1</t>
    </r>
    <r>
      <rPr>
        <sz val="11"/>
        <color theme="1"/>
        <rFont val="Calibri"/>
        <family val="2"/>
        <scheme val="minor"/>
      </rPr>
      <t xml:space="preserve"> textbox in the Address Section with valid data.</t>
    </r>
  </si>
  <si>
    <r>
      <t xml:space="preserve">1. The user must be logged into the application with valid credentials.
2. After successful login, the user should select “AHMEDABAD” as the branch, “Export Sea” as the radio button option, and Financial Year: 2025–2026.
</t>
    </r>
    <r>
      <rPr>
        <b/>
        <sz val="11"/>
        <color theme="1"/>
        <rFont val="Calibri"/>
        <family val="2"/>
        <scheme val="minor"/>
      </rPr>
      <t>URL: https://idp.icaffe.co.in/demoltd/
Login Credentials:
Username – Admin
Password – admin@123
Branch Selection:
Branch – AHMEDABAD
Export Type – Export Sea
Financial Year – 2025–2026</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</si>
  <si>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data in the Address1 field (use test samples above).
7. Verify if the field accepts all valid combinations of alphabetic, alphanumeric, and special characters (such as comma, dot, and hyphen).</t>
    </r>
  </si>
  <si>
    <r>
      <t xml:space="preserve">
Valid Address1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</si>
  <si>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Bank_BRO_17</t>
  </si>
  <si>
    <t>URL: https://idp.icaffe.co.in/demoltd/
Login Credentials:
Username – Admin
Password – admin@123
Branch Selection:
Branch – AHMEDABAD
Export Type – Export Sea
Financial Year – 2025–2026</t>
  </si>
  <si>
    <t>1. Open the application URL in any supported browser.
2. Enter valid credentials in the Username and Password fields.
3. Enter a valid Captcha and click Login.
4. On the Branch Selection page, select:
Branch: AHMEDABAD
Export Type: Export Sea
Financial Year: 2025–2026
Click OK.
5. On the Dashboard, navigate to:
Masters → Party → Bank BRO
6. In the Address Section, Select Default Address Radio button</t>
  </si>
  <si>
    <t>Validate the functionality of the Default Address radio button selectability in the Address Section.</t>
  </si>
  <si>
    <t>The Default Address radio button should be selectable and deselectable based on user interaction.</t>
  </si>
  <si>
    <t>The Default Address radio button is selectable and functions as expected</t>
  </si>
  <si>
    <t>Bank_BRO_18</t>
  </si>
  <si>
    <t>Validate the functionality of the Address1 textbox in the Address Section with invalid data.</t>
  </si>
  <si>
    <t>Bank_BRO_19</t>
  </si>
  <si>
    <t>Validate the functionality of the Contact Person textbox in the Address Section with invalid data.</t>
  </si>
  <si>
    <r>
      <t xml:space="preserve">
Valid Address1 Input Samples:
N</t>
    </r>
    <r>
      <rPr>
        <b/>
        <sz val="11"/>
        <color theme="1"/>
        <rFont val="Calibri"/>
        <family val="2"/>
        <scheme val="minor"/>
      </rPr>
      <t>umeric: 23</t>
    </r>
    <r>
      <rPr>
        <sz val="11"/>
        <color theme="1"/>
        <rFont val="Calibri"/>
        <family val="2"/>
        <scheme val="minor"/>
      </rPr>
      <t xml:space="preserve">
N</t>
    </r>
    <r>
      <rPr>
        <b/>
        <sz val="11"/>
        <color theme="1"/>
        <rFont val="Calibri"/>
        <family val="2"/>
        <scheme val="minor"/>
      </rPr>
      <t>umeric with space:  45   40</t>
    </r>
    <r>
      <rPr>
        <sz val="11"/>
        <color theme="1"/>
        <rFont val="Calibri"/>
        <family val="2"/>
        <scheme val="minor"/>
      </rPr>
      <t xml:space="preserve">
</t>
    </r>
    <r>
      <rPr>
        <b/>
        <sz val="11"/>
        <color theme="1"/>
        <rFont val="Calibri"/>
        <family val="2"/>
        <scheme val="minor"/>
      </rPr>
      <t>Only Special Character</t>
    </r>
    <r>
      <rPr>
        <sz val="11"/>
        <color theme="1"/>
        <rFont val="Calibri"/>
        <family val="2"/>
        <scheme val="minor"/>
      </rPr>
      <t xml:space="preserve"> - .,-\/ etc.
</t>
    </r>
    <r>
      <rPr>
        <b/>
        <sz val="11"/>
        <color theme="1"/>
        <rFont val="Calibri"/>
        <family val="2"/>
        <scheme val="minor"/>
      </rPr>
      <t>Only Space</t>
    </r>
    <r>
      <rPr>
        <sz val="11"/>
        <color theme="1"/>
        <rFont val="Calibri"/>
        <family val="2"/>
        <scheme val="minor"/>
      </rPr>
      <t xml:space="preserve"> -
</t>
    </r>
    <r>
      <rPr>
        <b/>
        <sz val="11"/>
        <color theme="1"/>
        <rFont val="Calibri"/>
        <family val="2"/>
        <scheme val="minor"/>
      </rPr>
      <t xml:space="preserve">Without Address - </t>
    </r>
    <r>
      <rPr>
        <sz val="11"/>
        <color theme="1"/>
        <rFont val="Calibri"/>
        <family val="2"/>
        <scheme val="minor"/>
      </rPr>
      <t xml:space="preserve">
</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</si>
  <si>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name in Contact Person textbox and click on Click the Add button </t>
    </r>
  </si>
  <si>
    <t>Bank_BRO_20</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</si>
  <si>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invalid name in Contact Person textbox and click on Click the Add button </t>
    </r>
  </si>
  <si>
    <t>Bank_BRO_21</t>
  </si>
  <si>
    <t>Validate the functionality of the  Branch Name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</si>
  <si>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Branch name in Branch Name textbox and click on Click the Add button </t>
    </r>
  </si>
  <si>
    <t>Bank_BRO_22</t>
  </si>
  <si>
    <t>Validate the functionality of the  Branch Name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</si>
  <si>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invalid Branch name in Branch Name textbox and click on Click the Add button </t>
    </r>
  </si>
  <si>
    <r>
      <t xml:space="preserve">Validate the functionality of the </t>
    </r>
    <r>
      <rPr>
        <b/>
        <sz val="11"/>
        <color theme="1"/>
        <rFont val="Calibri"/>
        <family val="2"/>
        <scheme val="minor"/>
      </rPr>
      <t>Address2</t>
    </r>
    <r>
      <rPr>
        <sz val="11"/>
        <color theme="1"/>
        <rFont val="Calibri"/>
        <family val="2"/>
        <scheme val="minor"/>
      </rPr>
      <t xml:space="preserve"> textbox in the Address Section with valid data.</t>
    </r>
  </si>
  <si>
    <r>
      <t xml:space="preserve">
Valid Address2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</si>
  <si>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Bank_BRO_23</t>
  </si>
  <si>
    <t>Bank_BRO_24</t>
  </si>
  <si>
    <r>
      <t xml:space="preserve">Validate the functionality of the </t>
    </r>
    <r>
      <rPr>
        <b/>
        <sz val="11"/>
        <color theme="1"/>
        <rFont val="Calibri"/>
        <family val="2"/>
        <scheme val="minor"/>
      </rPr>
      <t>Address2</t>
    </r>
    <r>
      <rPr>
        <sz val="11"/>
        <color theme="1"/>
        <rFont val="Calibri"/>
        <family val="2"/>
        <scheme val="minor"/>
      </rPr>
      <t xml:space="preserve"> textbox in the Address Section with invalid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</si>
  <si>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data in the Address1 field (use test samples above).
7. enter the invalid data in the Address1 Field and click on add button</t>
    </r>
  </si>
  <si>
    <r>
      <t xml:space="preserve">
Valid Address2 Input Samples:
N</t>
    </r>
    <r>
      <rPr>
        <b/>
        <sz val="11"/>
        <color theme="1"/>
        <rFont val="Calibri"/>
        <family val="2"/>
        <scheme val="minor"/>
      </rPr>
      <t>umeric: 23</t>
    </r>
    <r>
      <rPr>
        <sz val="11"/>
        <color theme="1"/>
        <rFont val="Calibri"/>
        <family val="2"/>
        <scheme val="minor"/>
      </rPr>
      <t xml:space="preserve">
N</t>
    </r>
    <r>
      <rPr>
        <b/>
        <sz val="11"/>
        <color theme="1"/>
        <rFont val="Calibri"/>
        <family val="2"/>
        <scheme val="minor"/>
      </rPr>
      <t>umeric with space:  45   40</t>
    </r>
    <r>
      <rPr>
        <sz val="11"/>
        <color theme="1"/>
        <rFont val="Calibri"/>
        <family val="2"/>
        <scheme val="minor"/>
      </rPr>
      <t xml:space="preserve">
</t>
    </r>
    <r>
      <rPr>
        <b/>
        <sz val="11"/>
        <color theme="1"/>
        <rFont val="Calibri"/>
        <family val="2"/>
        <scheme val="minor"/>
      </rPr>
      <t>Only Special Character</t>
    </r>
    <r>
      <rPr>
        <sz val="11"/>
        <color theme="1"/>
        <rFont val="Calibri"/>
        <family val="2"/>
        <scheme val="minor"/>
      </rPr>
      <t xml:space="preserve"> - .,-\/ etc.
</t>
    </r>
    <r>
      <rPr>
        <b/>
        <sz val="11"/>
        <color theme="1"/>
        <rFont val="Calibri"/>
        <family val="2"/>
        <scheme val="minor"/>
      </rPr>
      <t>Only Space</t>
    </r>
    <r>
      <rPr>
        <sz val="11"/>
        <color theme="1"/>
        <rFont val="Calibri"/>
        <family val="2"/>
        <scheme val="minor"/>
      </rPr>
      <t xml:space="preserve"> -
</t>
    </r>
    <r>
      <rPr>
        <b/>
        <sz val="11"/>
        <color theme="1"/>
        <rFont val="Calibri"/>
        <family val="2"/>
        <scheme val="minor"/>
      </rPr>
      <t xml:space="preserve">Without Address - </t>
    </r>
    <r>
      <rPr>
        <sz val="11"/>
        <color theme="1"/>
        <rFont val="Calibri"/>
        <family val="2"/>
        <scheme val="minor"/>
      </rPr>
      <t xml:space="preserve">
</t>
    </r>
  </si>
  <si>
    <t xml:space="preserve">Validate the functionality of the Contact Person textbox in the Address Section with valid data.
</t>
  </si>
  <si>
    <t>Validate the functionality of the City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</si>
  <si>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data in the Address2 field (use test samples above).
7. Verify if the field accepts all valid combinations of alphabetic, alphanumeric, and special characters (such as comma, dot, and hyphen).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</si>
  <si>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data in the Address2 field (use test samples above).
7. enter the invalid data in the Address2 Field and click on add button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</si>
  <si>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City name and click on add button</t>
    </r>
  </si>
  <si>
    <t>1. The user must be logged into the application with valid credentials.
2. After successful login, the user should select “AHMEDABAD” as the branch, “Export Sea” as the radio button option, and Financial Year: 2025–2026.
URL: https://idp.icaffe.co.in/demoltd/
Login Credentials:
Username – Admin
Password – admin@123
Branch Selection:
Branch – AHMEDABAD
Export Type – Export Sea
Financial Year – 2025–2026</t>
  </si>
  <si>
    <t>City Name - Delhi, Mumbai etc.</t>
  </si>
  <si>
    <t>Bank_BRO_25</t>
  </si>
  <si>
    <t>Bank_BRO_26</t>
  </si>
  <si>
    <t>Validate the functionality of the City textbox in the Address Section with invalid data.</t>
  </si>
  <si>
    <t xml:space="preserve">
City Name invalid data combination: 
City Name - 1234
City Name - !#!@#@!#!@
City Name - Space only
City Name - No data (Blank)
City Name - 123   space  123
City Name - @$$   %$^  231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</si>
  <si>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andClick the Add button and observe the system behavior</t>
    </r>
  </si>
  <si>
    <t>Bank_BRO_27</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</si>
  <si>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State name and click on add button</t>
    </r>
  </si>
  <si>
    <t>Bank_BRO_28</t>
  </si>
  <si>
    <t>Validate the functionality of the State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</si>
  <si>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and Click the Add button and observe the system behavior</t>
    </r>
  </si>
  <si>
    <t xml:space="preserve">
State Name invalid data combination: 
State - 1234
State - !#!@#@!#!@
State - Space only
State - No data (Blank)
State - 123   space  123
State - @$$   %$^  231
</t>
  </si>
  <si>
    <r>
      <t xml:space="preserve">Validate the functionality of the </t>
    </r>
    <r>
      <rPr>
        <b/>
        <sz val="11"/>
        <color theme="1"/>
        <rFont val="Calibri"/>
        <family val="2"/>
        <scheme val="minor"/>
      </rPr>
      <t>State</t>
    </r>
    <r>
      <rPr>
        <sz val="11"/>
        <color theme="1"/>
        <rFont val="Calibri"/>
        <family val="2"/>
        <scheme val="minor"/>
      </rPr>
      <t xml:space="preserve"> textbox in the Address Section with </t>
    </r>
    <r>
      <rPr>
        <b/>
        <sz val="11"/>
        <color theme="1"/>
        <rFont val="Calibri"/>
        <family val="2"/>
        <scheme val="minor"/>
      </rPr>
      <t>invalid data</t>
    </r>
    <r>
      <rPr>
        <sz val="11"/>
        <color theme="1"/>
        <rFont val="Calibri"/>
        <family val="2"/>
        <scheme val="minor"/>
      </rPr>
      <t>.</t>
    </r>
  </si>
  <si>
    <t>Bank_BRO_29</t>
  </si>
  <si>
    <r>
      <t xml:space="preserve">Validate the functionality of the </t>
    </r>
    <r>
      <rPr>
        <b/>
        <sz val="11"/>
        <color theme="1"/>
        <rFont val="Calibri"/>
        <family val="2"/>
        <scheme val="minor"/>
      </rPr>
      <t>Country</t>
    </r>
    <r>
      <rPr>
        <sz val="11"/>
        <color theme="1"/>
        <rFont val="Calibri"/>
        <family val="2"/>
        <scheme val="minor"/>
      </rPr>
      <t xml:space="preserve">  textbox in the Address Section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</si>
  <si>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Country name and click on add button</t>
    </r>
  </si>
  <si>
    <t>State Name - Delhi, Uttar Pradesh, Maharastra etc.</t>
  </si>
  <si>
    <t>Country Name - India, Nepal, Sri Lanka etc.</t>
  </si>
  <si>
    <t>The field is working as expected but currently accepts only upper-case letters and does not allow lower-case letters.
Textbox length limitation is missing.
The Country field’s internal text formatting is not matching with other textboxes.</t>
  </si>
  <si>
    <t>Bank_BRO_30</t>
  </si>
  <si>
    <r>
      <t xml:space="preserve">Validate the functionality of the </t>
    </r>
    <r>
      <rPr>
        <b/>
        <sz val="11"/>
        <color theme="1"/>
        <rFont val="Calibri"/>
        <family val="2"/>
        <scheme val="minor"/>
      </rPr>
      <t>Country</t>
    </r>
    <r>
      <rPr>
        <sz val="11"/>
        <color theme="1"/>
        <rFont val="Calibri"/>
        <family val="2"/>
        <scheme val="minor"/>
      </rPr>
      <t xml:space="preserve">  textbox in the Address Section with invalid data.</t>
    </r>
  </si>
  <si>
    <t xml:space="preserve">
Country Name invalid data combination: 
Country - 1234
Country - !#!@#@!#!@
Country - Space only
Country - No data (Blank)
Country - 123   space  123
Country - @$$   %$^  231
</t>
  </si>
  <si>
    <t>Bank_BRO_31</t>
  </si>
  <si>
    <t>Pin Code - 123456, 987456 etc.</t>
  </si>
  <si>
    <r>
      <t xml:space="preserve">Validate the functionality of the </t>
    </r>
    <r>
      <rPr>
        <b/>
        <sz val="11"/>
        <color theme="1"/>
        <rFont val="Calibri"/>
        <family val="2"/>
        <scheme val="minor"/>
      </rPr>
      <t>Pin Code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</si>
  <si>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Pin Code and click the Add button.</t>
    </r>
  </si>
  <si>
    <t xml:space="preserve">1. The Pin Code field should accept only numeric input.
2. It should accept exactly 6 digits.
3. It should not accept fewer or more than 6 digits.
4. Textbox should have a maximum length limit of 6 characters.
</t>
  </si>
  <si>
    <t xml:space="preserve">1. The field is working as expected and accepts only 6 numeric values.
2. It does not accept less than or more than 6 digits.
3. Textbox length limitation is implemented correctly.
</t>
  </si>
  <si>
    <t>Bank_BRO_32</t>
  </si>
  <si>
    <r>
      <t xml:space="preserve">Validate the functionality of the </t>
    </r>
    <r>
      <rPr>
        <b/>
        <sz val="11"/>
        <color theme="1"/>
        <rFont val="Calibri"/>
        <family val="2"/>
        <scheme val="minor"/>
      </rPr>
      <t>Pin Code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invalid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</si>
  <si>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in Pin Code section and Click the Add button and observe the system behavior</t>
    </r>
  </si>
  <si>
    <r>
      <t xml:space="preserve">
Invalid Input Type Example Data
Less than 6 digits - </t>
    </r>
    <r>
      <rPr>
        <b/>
        <sz val="11"/>
        <color theme="1"/>
        <rFont val="Calibri"/>
        <family val="2"/>
        <scheme val="minor"/>
      </rPr>
      <t>1234, 123, 85</t>
    </r>
    <r>
      <rPr>
        <sz val="11"/>
        <color theme="1"/>
        <rFont val="Calibri"/>
        <family val="2"/>
        <scheme val="minor"/>
      </rPr>
      <t xml:space="preserve">
Special characters -  </t>
    </r>
    <r>
      <rPr>
        <b/>
        <sz val="11"/>
        <color theme="1"/>
        <rFont val="Calibri"/>
        <family val="2"/>
        <scheme val="minor"/>
      </rPr>
      <t>#@$@#</t>
    </r>
    <r>
      <rPr>
        <sz val="11"/>
        <color theme="1"/>
        <rFont val="Calibri"/>
        <family val="2"/>
        <scheme val="minor"/>
      </rPr>
      <t xml:space="preserve">
Space only - </t>
    </r>
    <r>
      <rPr>
        <b/>
        <sz val="11"/>
        <color theme="1"/>
        <rFont val="Calibri"/>
        <family val="2"/>
        <scheme val="minor"/>
      </rPr>
      <t>(space)</t>
    </r>
    <r>
      <rPr>
        <sz val="11"/>
        <color theme="1"/>
        <rFont val="Calibri"/>
        <family val="2"/>
        <scheme val="minor"/>
      </rPr>
      <t xml:space="preserve">
Blank value - </t>
    </r>
    <r>
      <rPr>
        <b/>
        <sz val="11"/>
        <color theme="1"/>
        <rFont val="Calibri"/>
        <family val="2"/>
        <scheme val="minor"/>
      </rPr>
      <t>(no data)</t>
    </r>
    <r>
      <rPr>
        <sz val="11"/>
        <color theme="1"/>
        <rFont val="Calibri"/>
        <family val="2"/>
        <scheme val="minor"/>
      </rPr>
      <t xml:space="preserve">
Combination of numbers and spaces - </t>
    </r>
    <r>
      <rPr>
        <b/>
        <sz val="11"/>
        <color theme="1"/>
        <rFont val="Calibri"/>
        <family val="2"/>
        <scheme val="minor"/>
      </rPr>
      <t>123 123</t>
    </r>
    <r>
      <rPr>
        <sz val="11"/>
        <color theme="1"/>
        <rFont val="Calibri"/>
        <family val="2"/>
        <scheme val="minor"/>
      </rPr>
      <t xml:space="preserve">
Combination of special characters and numbers - </t>
    </r>
    <r>
      <rPr>
        <b/>
        <sz val="11"/>
        <color theme="1"/>
        <rFont val="Calibri"/>
        <family val="2"/>
        <scheme val="minor"/>
      </rPr>
      <t>@$$ %$^ 231</t>
    </r>
    <r>
      <rPr>
        <sz val="11"/>
        <color theme="1"/>
        <rFont val="Calibri"/>
        <family val="2"/>
        <scheme val="minor"/>
      </rPr>
      <t xml:space="preserve">
</t>
    </r>
  </si>
  <si>
    <r>
      <t xml:space="preserve">1. The Pin Code textbox should not accept invalid data, including:
</t>
    </r>
    <r>
      <rPr>
        <b/>
        <sz val="11"/>
        <color theme="1"/>
        <rFont val="Calibri"/>
        <family val="2"/>
        <scheme val="minor"/>
      </rPr>
      <t>Less or more than 6 numeric digits</t>
    </r>
    <r>
      <rPr>
        <sz val="11"/>
        <color theme="1"/>
        <rFont val="Calibri"/>
        <family val="2"/>
        <scheme val="minor"/>
      </rPr>
      <t xml:space="preserve">
</t>
    </r>
    <r>
      <rPr>
        <b/>
        <sz val="11"/>
        <color theme="1"/>
        <rFont val="Calibri"/>
        <family val="2"/>
        <scheme val="minor"/>
      </rPr>
      <t>Special characters</t>
    </r>
    <r>
      <rPr>
        <sz val="11"/>
        <color theme="1"/>
        <rFont val="Calibri"/>
        <family val="2"/>
        <scheme val="minor"/>
      </rPr>
      <t xml:space="preserve">
</t>
    </r>
    <r>
      <rPr>
        <b/>
        <sz val="11"/>
        <color theme="1"/>
        <rFont val="Calibri"/>
        <family val="2"/>
        <scheme val="minor"/>
      </rPr>
      <t>Only spaces</t>
    </r>
    <r>
      <rPr>
        <sz val="11"/>
        <color theme="1"/>
        <rFont val="Calibri"/>
        <family val="2"/>
        <scheme val="minor"/>
      </rPr>
      <t xml:space="preserve">
</t>
    </r>
    <r>
      <rPr>
        <b/>
        <sz val="11"/>
        <color theme="1"/>
        <rFont val="Calibri"/>
        <family val="2"/>
        <scheme val="minor"/>
      </rPr>
      <t>Blank values</t>
    </r>
    <r>
      <rPr>
        <sz val="11"/>
        <color theme="1"/>
        <rFont val="Calibri"/>
        <family val="2"/>
        <scheme val="minor"/>
      </rPr>
      <t xml:space="preserve">
</t>
    </r>
    <r>
      <rPr>
        <b/>
        <sz val="11"/>
        <color theme="1"/>
        <rFont val="Calibri"/>
        <family val="2"/>
        <scheme val="minor"/>
      </rPr>
      <t>Mixed input (numbers + spaces/special characters)</t>
    </r>
    <r>
      <rPr>
        <sz val="11"/>
        <color theme="1"/>
        <rFont val="Calibri"/>
        <family val="2"/>
        <scheme val="minor"/>
      </rPr>
      <t xml:space="preserve">
The system should display a validation message or pop-up, such as:
</t>
    </r>
    <r>
      <rPr>
        <b/>
        <sz val="11"/>
        <color theme="1"/>
        <rFont val="Calibri"/>
        <family val="2"/>
        <scheme val="minor"/>
      </rPr>
      <t>“Please enter a valid Pin Code.”</t>
    </r>
    <r>
      <rPr>
        <sz val="11"/>
        <color theme="1"/>
        <rFont val="Calibri"/>
        <family val="2"/>
        <scheme val="minor"/>
      </rPr>
      <t xml:space="preserve">
The textbox should maintain a maximum character limit of 6.
</t>
    </r>
  </si>
  <si>
    <r>
      <t>1. The Pin Code textbox currently accepts invalid data types —</t>
    </r>
    <r>
      <rPr>
        <b/>
        <sz val="11"/>
        <color theme="1"/>
        <rFont val="Calibri"/>
        <family val="2"/>
        <scheme val="minor"/>
      </rPr>
      <t xml:space="preserve"> including special characters, Mixed input.</t>
    </r>
    <r>
      <rPr>
        <sz val="11"/>
        <color theme="1"/>
        <rFont val="Calibri"/>
        <family val="2"/>
        <scheme val="minor"/>
      </rPr>
      <t xml:space="preserve">
2. Validation message or error pop-up is displayed only for numeric value validation.
3. Textbox length limitation is implemented correctly.
</t>
    </r>
  </si>
  <si>
    <t>Bank_BRO_33</t>
  </si>
  <si>
    <r>
      <t xml:space="preserve">Validate the functionality of the </t>
    </r>
    <r>
      <rPr>
        <b/>
        <sz val="11"/>
        <color theme="1"/>
        <rFont val="Calibri"/>
        <family val="2"/>
        <scheme val="minor"/>
      </rPr>
      <t>Phone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</si>
  <si>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Phone Number and click the Add button.</t>
    </r>
  </si>
  <si>
    <t>Bank_BRO_34</t>
  </si>
  <si>
    <t>Validate the functionality of the Phone textbox in the Address Section with invalid data</t>
  </si>
  <si>
    <t>Bank_BRO_35</t>
  </si>
  <si>
    <t>Validate the functionality of the Mobile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</si>
  <si>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Mobile Number and click the Add button.</t>
    </r>
  </si>
  <si>
    <t>Mobile No. - 
9876543210, 9123456789, 8520147963</t>
  </si>
  <si>
    <t xml:space="preserve">1. The field accepts  valid values.
</t>
  </si>
  <si>
    <t>1. The Mobile textbox should accept valid mobile number.</t>
  </si>
  <si>
    <t>Bank_BRO_36</t>
  </si>
  <si>
    <t>Validate the functionality of the Mobile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</si>
  <si>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invalid Mobile Number and click the Add button.</t>
    </r>
  </si>
  <si>
    <r>
      <t xml:space="preserve">1. Less than 10 digits - </t>
    </r>
    <r>
      <rPr>
        <b/>
        <sz val="11"/>
        <color theme="1"/>
        <rFont val="Calibri"/>
        <family val="2"/>
        <scheme val="minor"/>
      </rPr>
      <t>12345, 98765</t>
    </r>
    <r>
      <rPr>
        <sz val="11"/>
        <color theme="1"/>
        <rFont val="Calibri"/>
        <family val="2"/>
        <scheme val="minor"/>
      </rPr>
      <t xml:space="preserve">
2. More than 10 digits </t>
    </r>
    <r>
      <rPr>
        <b/>
        <sz val="11"/>
        <color theme="1"/>
        <rFont val="Calibri"/>
        <family val="2"/>
        <scheme val="minor"/>
      </rPr>
      <t>987654321098, 852014796321</t>
    </r>
    <r>
      <rPr>
        <sz val="11"/>
        <color theme="1"/>
        <rFont val="Calibri"/>
        <family val="2"/>
        <scheme val="minor"/>
      </rPr>
      <t xml:space="preserve">
3. Alphabets - </t>
    </r>
    <r>
      <rPr>
        <b/>
        <sz val="11"/>
        <color theme="1"/>
        <rFont val="Calibri"/>
        <family val="2"/>
        <scheme val="minor"/>
      </rPr>
      <t>abcdefghij, test123456</t>
    </r>
    <r>
      <rPr>
        <sz val="11"/>
        <color theme="1"/>
        <rFont val="Calibri"/>
        <family val="2"/>
        <scheme val="minor"/>
      </rPr>
      <t xml:space="preserve">
4. Special characters </t>
    </r>
    <r>
      <rPr>
        <b/>
        <sz val="11"/>
        <color theme="1"/>
        <rFont val="Calibri"/>
        <family val="2"/>
        <scheme val="minor"/>
      </rPr>
      <t>@#$%^&amp;, *&amp;123456</t>
    </r>
    <r>
      <rPr>
        <sz val="11"/>
        <color theme="1"/>
        <rFont val="Calibri"/>
        <family val="2"/>
        <scheme val="minor"/>
      </rPr>
      <t xml:space="preserve">
5. Only spaces - </t>
    </r>
    <r>
      <rPr>
        <b/>
        <sz val="11"/>
        <color theme="1"/>
        <rFont val="Calibri"/>
        <family val="2"/>
        <scheme val="minor"/>
      </rPr>
      <t>(space)</t>
    </r>
    <r>
      <rPr>
        <sz val="11"/>
        <color theme="1"/>
        <rFont val="Calibri"/>
        <family val="2"/>
        <scheme val="minor"/>
      </rPr>
      <t xml:space="preserve">
6. Blank value - </t>
    </r>
    <r>
      <rPr>
        <b/>
        <sz val="11"/>
        <color theme="1"/>
        <rFont val="Calibri"/>
        <family val="2"/>
        <scheme val="minor"/>
      </rPr>
      <t>(no data)</t>
    </r>
    <r>
      <rPr>
        <sz val="11"/>
        <color theme="1"/>
        <rFont val="Calibri"/>
        <family val="2"/>
        <scheme val="minor"/>
      </rPr>
      <t xml:space="preserve">
7. Combination of numbers and spaces  - </t>
    </r>
    <r>
      <rPr>
        <b/>
        <sz val="11"/>
        <color theme="1"/>
        <rFont val="Calibri"/>
        <family val="2"/>
        <scheme val="minor"/>
      </rPr>
      <t>9876 3210</t>
    </r>
    <r>
      <rPr>
        <sz val="11"/>
        <color theme="1"/>
        <rFont val="Calibri"/>
        <family val="2"/>
        <scheme val="minor"/>
      </rPr>
      <t xml:space="preserve">
8. Combination of numbers and special characters - </t>
    </r>
    <r>
      <rPr>
        <b/>
        <sz val="11"/>
        <color theme="1"/>
        <rFont val="Calibri"/>
        <family val="2"/>
        <scheme val="minor"/>
      </rPr>
      <t>98@45#123!</t>
    </r>
  </si>
  <si>
    <r>
      <t xml:space="preserve">1. The Mobile textbox should not accept invalid data, including:
Less or more than 10 numeric digits
Alphabets or special characters
Only spaces
Blank values
Mixed input (numbers + spaces/special characters)
2. The system should display a validation message or pop-up, such as:
</t>
    </r>
    <r>
      <rPr>
        <b/>
        <sz val="11"/>
        <color theme="1"/>
        <rFont val="Calibri"/>
        <family val="2"/>
        <scheme val="minor"/>
      </rPr>
      <t>“Please enter a valid Mobile Number.”</t>
    </r>
    <r>
      <rPr>
        <sz val="11"/>
        <color theme="1"/>
        <rFont val="Calibri"/>
        <family val="2"/>
        <scheme val="minor"/>
      </rPr>
      <t xml:space="preserve">
3. The textbox should maintain a maximum character limit of 10 digits.</t>
    </r>
  </si>
  <si>
    <t>Bank_BRO_37</t>
  </si>
  <si>
    <t>Validate the functionality of the FAX textbox in the Address Section with valid and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</si>
  <si>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following values one by one into the FAX textbox and click the Add button each time and Observe the system behavior.</t>
    </r>
  </si>
  <si>
    <r>
      <rPr>
        <b/>
        <sz val="11"/>
        <color theme="1"/>
        <rFont val="Calibri"/>
        <family val="2"/>
        <scheme val="minor"/>
      </rPr>
      <t>Valid Data Examples:</t>
    </r>
    <r>
      <rPr>
        <sz val="11"/>
        <color theme="1"/>
        <rFont val="Calibri"/>
        <family val="2"/>
        <scheme val="minor"/>
      </rPr>
      <t xml:space="preserve">
1. Numeric values only (e.g., 1234567890, 0123456789)
2. Numeric values with valid delimiters like hyphens or spaces if allowed (e.g., 123-4567, 123 4567) — only if your system supports such format
3. Minimum and maximum length as per system requirement (if specified)
</t>
    </r>
    <r>
      <rPr>
        <b/>
        <sz val="11"/>
        <color theme="1"/>
        <rFont val="Calibri"/>
        <family val="2"/>
        <scheme val="minor"/>
      </rPr>
      <t>Invalid Data Examples:</t>
    </r>
    <r>
      <rPr>
        <sz val="11"/>
        <color theme="1"/>
        <rFont val="Calibri"/>
        <family val="2"/>
        <scheme val="minor"/>
      </rPr>
      <t xml:space="preserve">
1. Alphabets (e.g., abcdefg, fax123)
2. Special characters other than allowed delimiters (e.g., @#$%^&amp;, *&amp;123456)
3. Less than minimum length (if applicable)
4. More than maximum length (if applicable)
5. Blank value (empty input)
6. Only spaces
7. Mixed input with alphabets and special characters (e.g., 12@34fax)</t>
    </r>
  </si>
  <si>
    <t>Bank_BRO_38</t>
  </si>
  <si>
    <t>Validate the functionality of the Email1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</si>
  <si>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valid Email id in Email 1 text box and click on add button.</t>
    </r>
  </si>
  <si>
    <r>
      <rPr>
        <b/>
        <sz val="11"/>
        <color theme="1"/>
        <rFont val="Calibri"/>
        <family val="2"/>
        <scheme val="minor"/>
      </rPr>
      <t>Valid Email Examples:</t>
    </r>
    <r>
      <rPr>
        <sz val="11"/>
        <color theme="1"/>
        <rFont val="Calibri"/>
        <family val="2"/>
        <scheme val="minor"/>
      </rPr>
      <t xml:space="preserve">
simple@example.com
user.name@domain.co.in
user_name123@domain.com
username+tag@domain.org
user-name@domain.net</t>
    </r>
  </si>
  <si>
    <t xml:space="preserve">1. The Email1 textbox should accept valid email addresses in standard format.
2. It should allow alphabets, numbers, dots (.), underscores (_), hyphens (-), and plus (+) signs in the appropriate places.
3. Domain names with multiple parts (e.g., .co.in, .org) should be accepted.
</t>
  </si>
  <si>
    <t>It is working as expected and validation message is coming properely.</t>
  </si>
  <si>
    <t>Bank_BRO_39</t>
  </si>
  <si>
    <t>Validate the functionality of the Email1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</si>
  <si>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email addresses one by one into the Email1 textbox and click Add button and observe the system behavior.</t>
    </r>
  </si>
  <si>
    <r>
      <t xml:space="preserve">1. Missing @ symbol: </t>
    </r>
    <r>
      <rPr>
        <b/>
        <sz val="11"/>
        <color theme="1"/>
        <rFont val="Calibri"/>
        <family val="2"/>
        <scheme val="minor"/>
      </rPr>
      <t>username.domain.com</t>
    </r>
    <r>
      <rPr>
        <sz val="11"/>
        <color theme="1"/>
        <rFont val="Calibri"/>
        <family val="2"/>
        <scheme val="minor"/>
      </rPr>
      <t xml:space="preserve">
2. Missing domain: </t>
    </r>
    <r>
      <rPr>
        <b/>
        <sz val="11"/>
        <color theme="1"/>
        <rFont val="Calibri"/>
        <family val="2"/>
        <scheme val="minor"/>
      </rPr>
      <t>user@</t>
    </r>
    <r>
      <rPr>
        <sz val="11"/>
        <color theme="1"/>
        <rFont val="Calibri"/>
        <family val="2"/>
        <scheme val="minor"/>
      </rPr>
      <t xml:space="preserve">
3. Missing local part: </t>
    </r>
    <r>
      <rPr>
        <b/>
        <sz val="11"/>
        <color theme="1"/>
        <rFont val="Calibri"/>
        <family val="2"/>
        <scheme val="minor"/>
      </rPr>
      <t>@domain.com</t>
    </r>
    <r>
      <rPr>
        <sz val="11"/>
        <color theme="1"/>
        <rFont val="Calibri"/>
        <family val="2"/>
        <scheme val="minor"/>
      </rPr>
      <t xml:space="preserve">
4. Multiple @ symbols: </t>
    </r>
    <r>
      <rPr>
        <b/>
        <sz val="11"/>
        <color theme="1"/>
        <rFont val="Calibri"/>
        <family val="2"/>
        <scheme val="minor"/>
      </rPr>
      <t>user@@domain.com</t>
    </r>
    <r>
      <rPr>
        <sz val="11"/>
        <color theme="1"/>
        <rFont val="Calibri"/>
        <family val="2"/>
        <scheme val="minor"/>
      </rPr>
      <t xml:space="preserve">
5. Spaces included:</t>
    </r>
    <r>
      <rPr>
        <b/>
        <sz val="11"/>
        <color theme="1"/>
        <rFont val="Calibri"/>
        <family val="2"/>
        <scheme val="minor"/>
      </rPr>
      <t xml:space="preserve"> user name@domain.com</t>
    </r>
    <r>
      <rPr>
        <sz val="11"/>
        <color theme="1"/>
        <rFont val="Calibri"/>
        <family val="2"/>
        <scheme val="minor"/>
      </rPr>
      <t xml:space="preserve">
6. Special characters not allowed: </t>
    </r>
    <r>
      <rPr>
        <b/>
        <sz val="11"/>
        <color theme="1"/>
        <rFont val="Calibri"/>
        <family val="2"/>
        <scheme val="minor"/>
      </rPr>
      <t>user!#%&amp;*domain.com</t>
    </r>
    <r>
      <rPr>
        <sz val="11"/>
        <color theme="1"/>
        <rFont val="Calibri"/>
        <family val="2"/>
        <scheme val="minor"/>
      </rPr>
      <t xml:space="preserve">
7. Consecutive dots in local part: </t>
    </r>
    <r>
      <rPr>
        <b/>
        <sz val="11"/>
        <color theme="1"/>
        <rFont val="Calibri"/>
        <family val="2"/>
        <scheme val="minor"/>
      </rPr>
      <t>user..name@domain.com</t>
    </r>
    <r>
      <rPr>
        <sz val="11"/>
        <color theme="1"/>
        <rFont val="Calibri"/>
        <family val="2"/>
        <scheme val="minor"/>
      </rPr>
      <t xml:space="preserve">
8. </t>
    </r>
    <r>
      <rPr>
        <b/>
        <sz val="11"/>
        <color theme="1"/>
        <rFont val="Calibri"/>
        <family val="2"/>
        <scheme val="minor"/>
      </rPr>
      <t>Blank input (no data)
9. Duplicate mail id</t>
    </r>
  </si>
  <si>
    <r>
      <t xml:space="preserve">1. The Email1 textbox should not accept invalid email addresses.
2. For each invalid input, a validation message or error pop-up should be displayed, e.g.,
</t>
    </r>
    <r>
      <rPr>
        <b/>
        <sz val="11"/>
        <color theme="1"/>
        <rFont val="Calibri"/>
        <family val="2"/>
        <scheme val="minor"/>
      </rPr>
      <t>“Please enter a valid Email Address.”</t>
    </r>
    <r>
      <rPr>
        <sz val="11"/>
        <color theme="1"/>
        <rFont val="Calibri"/>
        <family val="2"/>
        <scheme val="minor"/>
      </rPr>
      <t xml:space="preserve">
3. The textbox should not allow spaces or invalid special characters in the email.
5. The system should prevent submission of invalid email addresses.</t>
    </r>
  </si>
  <si>
    <t>It is working as expected and not accepting invalid email format.
For invalid email address validation pop-up is coming properly.
(Duplicate Mail is saving )</t>
  </si>
  <si>
    <t>Bank_BRO_40</t>
  </si>
  <si>
    <t>Validate the functionality of the Email2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</si>
  <si>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valid Email id in Email 2 text box and click on add button.</t>
    </r>
  </si>
  <si>
    <t xml:space="preserve">1. The Email2 textbox should accept valid email addresses in standard format.
2. It should allow alphabets, numbers, dots (.), underscores (_), hyphens (-), and plus (+) signs in the appropriate places.
3. Domain names with multiple parts (e.g., .co.in, .org) should be accepted.
</t>
  </si>
  <si>
    <r>
      <rPr>
        <b/>
        <sz val="11"/>
        <color theme="1"/>
        <rFont val="Calibri"/>
        <family val="2"/>
        <scheme val="minor"/>
      </rPr>
      <t>Valid Email Examples:</t>
    </r>
    <r>
      <rPr>
        <sz val="11"/>
        <color theme="1"/>
        <rFont val="Calibri"/>
        <family val="2"/>
        <scheme val="minor"/>
      </rPr>
      <t xml:space="preserve">
simple@example.com
user.name@domain.co.in
user_name123@domain.com
user-name@domain.net</t>
    </r>
  </si>
  <si>
    <t>Bank_BRO_41</t>
  </si>
  <si>
    <t>Validate the functionality of the Email2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</si>
  <si>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email addresses one by one into the Email2 textbox and click Add button and observe the system behavior.</t>
    </r>
  </si>
  <si>
    <r>
      <t xml:space="preserve">1. The Email2 textbox should not accept invalid email addresses.
2. For each invalid input, a validation message or error pop-up should be displayed, e.g.,
</t>
    </r>
    <r>
      <rPr>
        <b/>
        <sz val="11"/>
        <color theme="1"/>
        <rFont val="Calibri"/>
        <family val="2"/>
        <scheme val="minor"/>
      </rPr>
      <t>“Please enter a valid Email Address.”</t>
    </r>
    <r>
      <rPr>
        <sz val="11"/>
        <color theme="1"/>
        <rFont val="Calibri"/>
        <family val="2"/>
        <scheme val="minor"/>
      </rPr>
      <t xml:space="preserve">
3. The textbox should not allow spaces or invalid special characters in the email.
5. The system should prevent submission of invalid email addresses.</t>
    </r>
  </si>
  <si>
    <t>Bank_BRO_42</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</si>
  <si>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Website URL and click on add button.</t>
    </r>
  </si>
  <si>
    <r>
      <t xml:space="preserve">Valid Website Examples:
</t>
    </r>
    <r>
      <rPr>
        <sz val="11"/>
        <color theme="1"/>
        <rFont val="Calibri"/>
        <family val="2"/>
        <scheme val="minor"/>
      </rPr>
      <t>https://www.example.com
http://example.org
www.testsite.com
example.net</t>
    </r>
  </si>
  <si>
    <t xml:space="preserve">1. The Website textbox should accept valid website URLs.
2. It should allow common URL prefixes like http://, https://, or www..
3. It should accept domain names with common extensions (.com, .org, .net, .in, .co.in etc.).
</t>
  </si>
  <si>
    <t>It is working as expected.</t>
  </si>
  <si>
    <t>Bank_BRO_43</t>
  </si>
  <si>
    <t>Validate the functionality of the Website textbox in the Address Section with invalid data.</t>
  </si>
  <si>
    <t>Validate the functionality of the Website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</si>
  <si>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Website URL and click on add button.</t>
    </r>
  </si>
  <si>
    <r>
      <rPr>
        <b/>
        <sz val="11"/>
        <color theme="1"/>
        <rFont val="Calibri"/>
        <family val="2"/>
        <scheme val="minor"/>
      </rPr>
      <t>Invalid Website Examples:</t>
    </r>
    <r>
      <rPr>
        <sz val="11"/>
        <color theme="1"/>
        <rFont val="Calibri"/>
        <family val="2"/>
        <scheme val="minor"/>
      </rPr>
      <t xml:space="preserve">
Missing domain: </t>
    </r>
    <r>
      <rPr>
        <b/>
        <sz val="11"/>
        <color theme="1"/>
        <rFont val="Calibri"/>
        <family val="2"/>
        <scheme val="minor"/>
      </rPr>
      <t xml:space="preserve">http:// or www. only
</t>
    </r>
    <r>
      <rPr>
        <sz val="11"/>
        <color theme="1"/>
        <rFont val="Calibri"/>
        <family val="2"/>
        <scheme val="minor"/>
      </rPr>
      <t xml:space="preserve">Invalid characters: </t>
    </r>
    <r>
      <rPr>
        <b/>
        <sz val="11"/>
        <color theme="1"/>
        <rFont val="Calibri"/>
        <family val="2"/>
        <scheme val="minor"/>
      </rPr>
      <t>http://exa$mple.com, www.te@stsite!.com</t>
    </r>
    <r>
      <rPr>
        <sz val="11"/>
        <color theme="1"/>
        <rFont val="Calibri"/>
        <family val="2"/>
        <scheme val="minor"/>
      </rPr>
      <t xml:space="preserve">
</t>
    </r>
    <r>
      <rPr>
        <b/>
        <sz val="11"/>
        <color theme="1"/>
        <rFont val="Calibri"/>
        <family val="2"/>
        <scheme val="minor"/>
      </rPr>
      <t>Blank value: (empty input)
Only spaces: " "</t>
    </r>
    <r>
      <rPr>
        <sz val="11"/>
        <color theme="1"/>
        <rFont val="Calibri"/>
        <family val="2"/>
        <scheme val="minor"/>
      </rPr>
      <t xml:space="preserve">
Random text without domain: </t>
    </r>
    <r>
      <rPr>
        <b/>
        <sz val="11"/>
        <color theme="1"/>
        <rFont val="Calibri"/>
        <family val="2"/>
        <scheme val="minor"/>
      </rPr>
      <t>example</t>
    </r>
    <r>
      <rPr>
        <sz val="11"/>
        <color theme="1"/>
        <rFont val="Calibri"/>
        <family val="2"/>
        <scheme val="minor"/>
      </rPr>
      <t xml:space="preserve">
Incorrect format: </t>
    </r>
    <r>
      <rPr>
        <b/>
        <sz val="11"/>
        <color theme="1"/>
        <rFont val="Calibri"/>
        <family val="2"/>
        <scheme val="minor"/>
      </rPr>
      <t>http://example, www.example_com</t>
    </r>
  </si>
  <si>
    <r>
      <t xml:space="preserve">1. The Website textbox should not accept invalid URLs.
2. Input with special characters, missing domain, blank or space-only values should trigger a validation error or popup.
3. The system should display a message such as:
</t>
    </r>
    <r>
      <rPr>
        <b/>
        <sz val="11"/>
        <color theme="1"/>
        <rFont val="Calibri"/>
        <family val="2"/>
        <scheme val="minor"/>
      </rPr>
      <t>“Please enter a valid Website URL.”</t>
    </r>
    <r>
      <rPr>
        <sz val="11"/>
        <color theme="1"/>
        <rFont val="Calibri"/>
        <family val="2"/>
        <scheme val="minor"/>
      </rPr>
      <t xml:space="preserve">
4. Textbox should enforce maximum character limits if defined, and prevent submission of invalid formats.</t>
    </r>
  </si>
  <si>
    <t xml:space="preserve">It is working as expected and not accepting invalid website URL format.
For invalid email address validation pop-up is coming properly.
</t>
  </si>
  <si>
    <t>Bank_BRO_44</t>
  </si>
  <si>
    <t xml:space="preserve">Address1 - sector 63
Address2 - E bloack
City - noida
State - Uttar Pradesh
Country - INDIA
Pin Code - 201301
Phone - 1234567890
Mobile - 0123456789
Fax - 3210456789
Email1 - test1@gmail.com
Email2 - test2@gmail.com
Website - www.example.com
</t>
  </si>
  <si>
    <t>Validate the functionality of the View Result Grid Section when textboxes are filled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</si>
  <si>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Fill all Address Section textboxes with valid data and click Add and Observe the View Result Grid Section for added data.</t>
    </r>
  </si>
  <si>
    <t>1. All added Address Section data should be displayed correctly in the Grid Section with corresponding columns.
2. Data should be saved in proper format.</t>
  </si>
  <si>
    <t>1. Grid displays added data correctly.
2. Email2 column is missing in the Grid.
3. All data entered in uppercase appears in lowercase in the Grid view.</t>
  </si>
  <si>
    <t>Bank_BRO_45</t>
  </si>
  <si>
    <t>Validate the functionality of the View Result Grid Section when textboxes are filled with invalid data or left blank.</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</si>
  <si>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Fill all Address Section textboxes with invalid data, space values, or leave blank.
7. Click Add and observe the View Result Grid Section for added data.</t>
    </r>
  </si>
  <si>
    <t>1. Textboxes should display field-specific validation errors for invalid, blank, or space values.
2. Invalid data should not be saved in the Grid.
3. Validation should be consistent for all fields, similar to Email1, Email2, and Website.
4. Error messages or pop-ups should clearly indicate which field has incorrect input.</t>
  </si>
  <si>
    <t xml:space="preserve">Address1 - $#@$
Address2 - 232
City - noida
State - Uttar Pradesh
Country - INDIA
Pin Code - 201301
Phone - 789789
Mobile - 5656
Fax - 5656
Email1 - test1@gmail.com
Email2 - test2@gmail.com
Website - www.example.com
Space and left blank in next time
</t>
  </si>
  <si>
    <t>Bank_BRO_46</t>
  </si>
  <si>
    <r>
      <t xml:space="preserve">Validate the functionality of </t>
    </r>
    <r>
      <rPr>
        <b/>
        <sz val="11"/>
        <color theme="1"/>
        <rFont val="Calibri"/>
        <family val="2"/>
        <scheme val="minor"/>
      </rPr>
      <t>Ascending / Descending sorting</t>
    </r>
    <r>
      <rPr>
        <sz val="11"/>
        <color theme="1"/>
        <rFont val="Calibri"/>
        <family val="2"/>
        <scheme val="minor"/>
      </rPr>
      <t xml:space="preserve"> and </t>
    </r>
    <r>
      <rPr>
        <b/>
        <sz val="11"/>
        <color theme="1"/>
        <rFont val="Calibri"/>
        <family val="2"/>
        <scheme val="minor"/>
      </rPr>
      <t>Column Selection / Deselection</t>
    </r>
    <r>
      <rPr>
        <sz val="11"/>
        <color theme="1"/>
        <rFont val="Calibri"/>
        <family val="2"/>
        <scheme val="minor"/>
      </rPr>
      <t xml:space="preserve"> in the Grid View data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</si>
  <si>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Ascending / Descending Sorting and Column Selection / Deselection:
</t>
    </r>
  </si>
  <si>
    <r>
      <rPr>
        <b/>
        <sz val="11"/>
        <color theme="1"/>
        <rFont val="Calibri"/>
        <family val="2"/>
        <scheme val="minor"/>
      </rPr>
      <t>Sorting:</t>
    </r>
    <r>
      <rPr>
        <sz val="11"/>
        <color theme="1"/>
        <rFont val="Calibri"/>
        <family val="2"/>
        <scheme val="minor"/>
      </rPr>
      <t xml:space="preserve">
Columns should sort correctly in ascending and descending order.
</t>
    </r>
    <r>
      <rPr>
        <b/>
        <sz val="11"/>
        <color theme="1"/>
        <rFont val="Calibri"/>
        <family val="2"/>
        <scheme val="minor"/>
      </rPr>
      <t>Column Selection / Deselection:</t>
    </r>
    <r>
      <rPr>
        <sz val="11"/>
        <color theme="1"/>
        <rFont val="Calibri"/>
        <family val="2"/>
        <scheme val="minor"/>
      </rPr>
      <t xml:space="preserve">
Selected columns should be visible in the Grid.
Deselected columns should be hidden.
Re-selecting a hidden column should restore it in the Grid.</t>
    </r>
  </si>
  <si>
    <t>Add Multiple data in grid View section.</t>
  </si>
  <si>
    <t>It is working as Expected</t>
  </si>
  <si>
    <t>Bank_BRO_47</t>
  </si>
  <si>
    <r>
      <t xml:space="preserve">Validate the functionality of </t>
    </r>
    <r>
      <rPr>
        <b/>
        <sz val="11"/>
        <color theme="1"/>
        <rFont val="Calibri"/>
        <family val="2"/>
        <scheme val="minor"/>
      </rPr>
      <t>Modify Address Section by clicking the Select button in the Grid View Section</t>
    </r>
  </si>
  <si>
    <r>
      <t xml:space="preserve">Add 3–4 entries with valid data.
</t>
    </r>
    <r>
      <rPr>
        <b/>
        <sz val="11"/>
        <color theme="1"/>
        <rFont val="Calibri"/>
        <family val="2"/>
        <scheme val="minor"/>
      </rPr>
      <t>Modified values:</t>
    </r>
    <r>
      <rPr>
        <sz val="11"/>
        <color theme="1"/>
        <rFont val="Calibri"/>
        <family val="2"/>
        <scheme val="minor"/>
      </rPr>
      <t xml:space="preserve"> Any changes to textboxes like City, Phone, Mobile, Email, etc.</t>
    </r>
  </si>
  <si>
    <t xml:space="preserve">1. Clicking Select populates the Address Section with the selected row data.
2. User can modify all textboxes multiple times.
3. Modified data is saved successfully and reflected correctly in the Grid View.
4. No data is lost or overwritten unintentionally for other rows.
</t>
  </si>
  <si>
    <t>1. Functionality is working as expected.
2. Users can modify address details multiple times and save successfully.</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</si>
  <si>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Add button to save modifications.
7. Repeat modifications for multiple entries to ensure functionality works consistently.</t>
    </r>
  </si>
  <si>
    <t>Bank_BRO_48</t>
  </si>
  <si>
    <r>
      <t xml:space="preserve">Validate the functionality of </t>
    </r>
    <r>
      <rPr>
        <b/>
        <sz val="11"/>
        <color theme="1"/>
        <rFont val="Calibri"/>
        <family val="2"/>
        <scheme val="minor"/>
      </rPr>
      <t>Delete Address Details by clicking the Delete button in the Grid View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</si>
  <si>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Grid View Section, click the Delete button corresponding to an entry.
Observe the confirmation pop-up:
</t>
    </r>
    <r>
      <rPr>
        <b/>
        <sz val="11"/>
        <color theme="1"/>
        <rFont val="Calibri"/>
        <family val="2"/>
        <scheme val="minor"/>
      </rPr>
      <t>If OK is clicked, the selected row should be deleted.
If Cancel is clicked, the selected row should not be deleted.</t>
    </r>
  </si>
  <si>
    <r>
      <t xml:space="preserve">3–4 Address entries with valid data for deletion testing.
</t>
    </r>
    <r>
      <rPr>
        <b/>
        <sz val="11"/>
        <color theme="1"/>
        <rFont val="Calibri"/>
        <family val="2"/>
        <scheme val="minor"/>
      </rPr>
      <t/>
    </r>
  </si>
  <si>
    <t>Clicking Delete  pop-up:
Message: "Are you want to delete the selected row data"
If OK is clicked, the selected row is deleted from the Grid View.
If Cancel is clicked, the row remains intact.</t>
  </si>
  <si>
    <r>
      <t xml:space="preserve">The delete functionality is not working as expected:
</t>
    </r>
    <r>
      <rPr>
        <b/>
        <sz val="11"/>
        <color theme="1"/>
        <rFont val="Calibri"/>
        <family val="2"/>
        <scheme val="minor"/>
      </rPr>
      <t>On clicking OK, the data is not deleted.</t>
    </r>
    <r>
      <rPr>
        <sz val="11"/>
        <color theme="1"/>
        <rFont val="Calibri"/>
        <family val="2"/>
        <scheme val="minor"/>
      </rPr>
      <t xml:space="preserve">
</t>
    </r>
    <r>
      <rPr>
        <b/>
        <sz val="11"/>
        <color theme="1"/>
        <rFont val="Calibri"/>
        <family val="2"/>
        <scheme val="minor"/>
      </rPr>
      <t>On clicking Cancel, the data is deleted.</t>
    </r>
    <r>
      <rPr>
        <sz val="11"/>
        <color theme="1"/>
        <rFont val="Calibri"/>
        <family val="2"/>
        <scheme val="minor"/>
      </rPr>
      <t xml:space="preserve">
The confirmation message behavior is reversed.</t>
    </r>
  </si>
  <si>
    <t>Bank_BRO_49</t>
  </si>
  <si>
    <r>
      <t xml:space="preserve">Validate the functionality of </t>
    </r>
    <r>
      <rPr>
        <b/>
        <sz val="11"/>
        <color theme="1"/>
        <rFont val="Calibri"/>
        <family val="2"/>
        <scheme val="minor"/>
      </rPr>
      <t xml:space="preserve"> Modify </t>
    </r>
    <r>
      <rPr>
        <sz val="11"/>
        <color theme="1"/>
        <rFont val="Calibri"/>
        <family val="2"/>
        <scheme val="minor"/>
      </rPr>
      <t xml:space="preserve">Button </t>
    </r>
  </si>
  <si>
    <t>N/A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</si>
  <si>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Try to modify the Bank Name to a value that already exists.</t>
    </r>
  </si>
  <si>
    <t>1. Selecting a Bank populates the Bank Name textbox automatically.
2. Modify button is activated when a value is available in the Bank Name textbox.
3. Clicking Modify  the updated Bank Name and reflects it in the left panel.
4. User can modify a value multiple times.
5. User cannot modify a Bank Name to a value that already exists.</t>
  </si>
  <si>
    <t>Functionality is working as expected.</t>
  </si>
  <si>
    <t>Bank_BRO_50</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</si>
  <si>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the Clear button</t>
    </r>
  </si>
  <si>
    <t>Bank_BRO_51</t>
  </si>
  <si>
    <r>
      <t xml:space="preserve">Validate the functionality of </t>
    </r>
    <r>
      <rPr>
        <b/>
        <sz val="11"/>
        <color theme="1"/>
        <rFont val="Calibri"/>
        <family val="2"/>
        <scheme val="minor"/>
      </rPr>
      <t>Textboxes alignment</t>
    </r>
    <r>
      <rPr>
        <sz val="11"/>
        <color theme="1"/>
        <rFont val="Calibri"/>
        <family val="2"/>
        <scheme val="minor"/>
      </rPr>
      <t xml:space="preserve"> on the Bank BRO Page</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</si>
  <si>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r>
      <rPr>
        <sz val="11"/>
        <color theme="1"/>
        <rFont val="Calibri"/>
        <family val="2"/>
        <scheme val="minor"/>
      </rPr>
      <t>6. Observe the alignment of all textboxes on the page.</t>
    </r>
  </si>
  <si>
    <t xml:space="preserve">1. All textboxes on the Bank BRO page should be properly aligned.
2. The height, width, and horizontal/vertical alignment of all textboxes should be consistent.
</t>
  </si>
  <si>
    <t>Contact Person textbox and Branch Name textbox are not aligned properly compared to other textboxes.</t>
  </si>
  <si>
    <t>Bank_BRO_52</t>
  </si>
  <si>
    <t>Validate the functionality of  Page Responsiveness of the Bank BRO Page.</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</si>
  <si>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6. </t>
    </r>
    <r>
      <rPr>
        <sz val="11"/>
        <color theme="1"/>
        <rFont val="Calibri"/>
        <family val="2"/>
        <scheme val="minor"/>
      </rPr>
      <t>Observe the behavior of all elements on the Bank BRO page</t>
    </r>
  </si>
  <si>
    <t>1. All elements on the Bank BRO page should adjust and remain visible across all screen sizes.
2. Textboxes, buttons, and grid should maintain proper alignment and spacing.
3. No horizontal scrollbars should appear unnecessarily.
4. The page should remain usable on smaller screens (tablet/mobile) without layout issues.</t>
  </si>
  <si>
    <t>Bank_BRO_53</t>
  </si>
  <si>
    <t>Validate the functionality of  Keyword Action the Bank BRO Page (TAB Button)</t>
  </si>
  <si>
    <r>
      <t xml:space="preserve">The </t>
    </r>
    <r>
      <rPr>
        <b/>
        <sz val="11"/>
        <color theme="1"/>
        <rFont val="Calibri"/>
        <family val="2"/>
        <scheme val="minor"/>
      </rPr>
      <t>Keyword Action</t>
    </r>
    <r>
      <rPr>
        <sz val="11"/>
        <color theme="1"/>
        <rFont val="Calibri"/>
        <family val="2"/>
        <scheme val="minor"/>
      </rPr>
      <t xml:space="preserve"> feature and </t>
    </r>
    <r>
      <rPr>
        <b/>
        <sz val="11"/>
        <color theme="1"/>
        <rFont val="Calibri"/>
        <family val="2"/>
        <scheme val="minor"/>
      </rPr>
      <t>TAB navigation</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 should function correctly .</t>
    </r>
  </si>
  <si>
    <r>
      <t xml:space="preserve">The </t>
    </r>
    <r>
      <rPr>
        <b/>
        <sz val="11"/>
        <color theme="1"/>
        <rFont val="Calibri"/>
        <family val="2"/>
        <scheme val="minor"/>
      </rPr>
      <t>Tab Button is not working</t>
    </r>
    <r>
      <rPr>
        <sz val="11"/>
        <color theme="1"/>
        <rFont val="Calibri"/>
        <family val="2"/>
        <scheme val="minor"/>
      </rPr>
      <t xml:space="preserve"> when focus reaches the </t>
    </r>
    <r>
      <rPr>
        <b/>
        <sz val="11"/>
        <color theme="1"/>
        <rFont val="Calibri"/>
        <family val="2"/>
        <scheme val="minor"/>
      </rPr>
      <t>Radio Button</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 </t>
    </r>
  </si>
  <si>
    <t>Pass
(With Observation)</t>
  </si>
  <si>
    <t>Bank_BRO_54</t>
  </si>
  <si>
    <t>Validate the functionality of  Session timeout of Bank BRO Page.</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</si>
  <si>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r>
      <rPr>
        <sz val="11"/>
        <color theme="1"/>
        <rFont val="Calibri"/>
        <family val="2"/>
        <scheme val="minor"/>
      </rPr>
      <t>6.  Leave the Bank BRO page idle</t>
    </r>
  </si>
  <si>
    <t xml:space="preserve">When the user remains idle for a long time, the application should:
Automatically log out the user.
Display a session timeout alert/message, or
Redirect to the login page </t>
  </si>
  <si>
    <t>Party --&gt; CFS Master</t>
  </si>
  <si>
    <t>1.Clicking the Clear button should empty all textboxes in the section.
2. Dropdowns, radio buttons, or other selectable controls should revert to their default state .
3. No data should remain in the textboxes after clicking Clear.
4. The action should not save any data in the Grid View or database.
5. The user can start entering new data after clearing without page reload.
5. It should ask a confimation pop-up before clear the page</t>
  </si>
  <si>
    <t>Bank_BRO_55</t>
  </si>
  <si>
    <t xml:space="preserve">Validate the functionality of  Success Pop-up and Error message Color and Readibility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</si>
  <si>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</si>
  <si>
    <t xml:space="preserve">Success pop-up should appear with Correct message text.
Error message should appear with Correct message text and color(Red)
</t>
  </si>
  <si>
    <t>CFS_Master_01</t>
  </si>
  <si>
    <r>
      <t>Validate the functionality of '</t>
    </r>
    <r>
      <rPr>
        <b/>
        <sz val="11"/>
        <color theme="1"/>
        <rFont val="Calibri"/>
        <family val="2"/>
        <scheme val="minor"/>
      </rPr>
      <t xml:space="preserve">CFS Master' </t>
    </r>
    <r>
      <rPr>
        <sz val="11"/>
        <color theme="1"/>
        <rFont val="Calibri"/>
        <family val="2"/>
        <scheme val="minor"/>
      </rPr>
      <t>Page</t>
    </r>
    <r>
      <rPr>
        <b/>
        <sz val="11"/>
        <color theme="1"/>
        <rFont val="Calibri"/>
        <family val="2"/>
        <scheme val="minor"/>
      </rPr>
      <t xml:space="preserve">, </t>
    </r>
    <r>
      <rPr>
        <sz val="11"/>
        <color theme="1"/>
        <rFont val="Calibri"/>
        <family val="2"/>
        <scheme val="minor"/>
      </rPr>
      <t>Under '</t>
    </r>
    <r>
      <rPr>
        <b/>
        <sz val="11"/>
        <color theme="1"/>
        <rFont val="Calibri"/>
        <family val="2"/>
        <scheme val="minor"/>
      </rPr>
      <t>Party</t>
    </r>
    <r>
      <rPr>
        <sz val="11"/>
        <color theme="1"/>
        <rFont val="Calibri"/>
        <family val="2"/>
        <scheme val="minor"/>
      </rPr>
      <t xml:space="preserve">' Sub module and Masters Module.  </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</si>
  <si>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t>
    </r>
    <r>
      <rPr>
        <b/>
        <sz val="11"/>
        <color theme="1"/>
        <rFont val="Calibri"/>
        <family val="2"/>
        <scheme val="minor"/>
      </rPr>
      <t>CFS Master</t>
    </r>
    <r>
      <rPr>
        <sz val="11"/>
        <color theme="1"/>
        <rFont val="Calibri"/>
        <family val="2"/>
        <scheme val="minor"/>
      </rPr>
      <t xml:space="preserve"> Page.</t>
    </r>
  </si>
  <si>
    <t>On Mouse Hovering action, CFS Master Page should be visible properly and While opening the page, it should be open proerply without any debiation and delay</t>
  </si>
  <si>
    <t>Functionality working as expected and page opens properly without any delay</t>
  </si>
  <si>
    <r>
      <t xml:space="preserve">1. The Mobile textbox accepts less than 10 digits.
2. It also accepts </t>
    </r>
    <r>
      <rPr>
        <b/>
        <sz val="11"/>
        <color theme="1"/>
        <rFont val="Calibri"/>
        <family val="2"/>
        <scheme val="minor"/>
      </rPr>
      <t>alphabetic values with shift button</t>
    </r>
    <r>
      <rPr>
        <sz val="11"/>
        <color theme="1"/>
        <rFont val="Calibri"/>
        <family val="2"/>
        <scheme val="minor"/>
      </rPr>
      <t>, special characters, and mixed inputs (numbers with special characters or alphabets).
3. Validation messages are not displayed for all invalid cases.
4. The length restriction (10 digits) is applied correctly, but input filtering is incomplete.</t>
    </r>
  </si>
  <si>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CFS Master Page</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</si>
  <si>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CFS Master</t>
    </r>
    <r>
      <rPr>
        <sz val="11"/>
        <color theme="1"/>
        <rFont val="Calibri"/>
        <family val="2"/>
        <scheme val="minor"/>
      </rPr>
      <t xml:space="preserve">
6. Enter a search keyword in the Search textbox on the left panel and check System behaviour</t>
    </r>
  </si>
  <si>
    <r>
      <t xml:space="preserve">1. The search textbox should return all matching records for:
</t>
    </r>
    <r>
      <rPr>
        <b/>
        <sz val="11"/>
        <color theme="1"/>
        <rFont val="Calibri"/>
        <family val="2"/>
        <scheme val="minor"/>
      </rPr>
      <t>Full matches
Partial matches
Case-insensitive matches (both upper and lower case)</t>
    </r>
    <r>
      <rPr>
        <sz val="11"/>
        <color theme="1"/>
        <rFont val="Calibri"/>
        <family val="2"/>
        <scheme val="minor"/>
      </rPr>
      <t xml:space="preserve">
</t>
    </r>
  </si>
  <si>
    <t>CFS_Master_02</t>
  </si>
  <si>
    <t>CFS_Master_03</t>
  </si>
  <si>
    <r>
      <t xml:space="preserve">1. Search textbox is functional but only returns records where the search term matches the first word.
</t>
    </r>
    <r>
      <rPr>
        <b/>
        <sz val="11"/>
        <color theme="1"/>
        <rFont val="Calibri"/>
        <family val="2"/>
        <scheme val="minor"/>
      </rPr>
      <t>Example:</t>
    </r>
    <r>
      <rPr>
        <sz val="11"/>
        <color theme="1"/>
        <rFont val="Calibri"/>
        <family val="2"/>
        <scheme val="minor"/>
      </rPr>
      <t xml:space="preserve"> “</t>
    </r>
    <r>
      <rPr>
        <b/>
        <sz val="11"/>
        <color theme="1"/>
        <rFont val="Calibri"/>
        <family val="2"/>
        <scheme val="minor"/>
      </rPr>
      <t>5 STAR APPAREL LLC</t>
    </r>
    <r>
      <rPr>
        <sz val="11"/>
        <color theme="1"/>
        <rFont val="Calibri"/>
        <family val="2"/>
        <scheme val="minor"/>
      </rPr>
      <t xml:space="preserve">” appears in the list, but searching for </t>
    </r>
    <r>
      <rPr>
        <b/>
        <sz val="11"/>
        <color theme="1"/>
        <rFont val="Calibri"/>
        <family val="2"/>
        <scheme val="minor"/>
      </rPr>
      <t>“STAR”</t>
    </r>
    <r>
      <rPr>
        <sz val="11"/>
        <color theme="1"/>
        <rFont val="Calibri"/>
        <family val="2"/>
        <scheme val="minor"/>
      </rPr>
      <t xml:space="preserve"> returns no results.
2. The search textbox only accepts uppercase letters — lowercase input yields no matches.
3. The textbox placeholder text currently displays </t>
    </r>
    <r>
      <rPr>
        <b/>
        <sz val="11"/>
        <color theme="1"/>
        <rFont val="Calibri"/>
        <family val="2"/>
        <scheme val="minor"/>
      </rPr>
      <t>“Select CFS”</t>
    </r>
    <r>
      <rPr>
        <sz val="11"/>
        <color theme="1"/>
        <rFont val="Calibri"/>
        <family val="2"/>
        <scheme val="minor"/>
      </rPr>
      <t>, which could be renamed to “Search CFS” to better reflect its purpose.</t>
    </r>
  </si>
  <si>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CFS Master list (left panel)</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</si>
  <si>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On the left panel (CFS Master details):Click 
Sort Ascending and verify list order.
Click Sort Descending and verify list order.
Checkboxes: select all checkboxes  all columns visible
deselect all - all columns hidden.</t>
    </r>
  </si>
  <si>
    <t>1. Sorting: CFS Master list sorts correctly in ascending and descending order.
2. When all column checkboxes are selected, all  columns should be displayed.
3. When all column checkboxes are deselected, all columns should be hidden</t>
  </si>
  <si>
    <t>CFS_Master_04</t>
  </si>
  <si>
    <r>
      <t xml:space="preserve">Validate whether the selected </t>
    </r>
    <r>
      <rPr>
        <b/>
        <sz val="11"/>
        <color theme="1"/>
        <rFont val="Calibri"/>
        <family val="2"/>
        <scheme val="minor"/>
      </rPr>
      <t xml:space="preserve">CFS details </t>
    </r>
    <r>
      <rPr>
        <sz val="11"/>
        <color theme="1"/>
        <rFont val="Calibri"/>
        <family val="2"/>
        <scheme val="minor"/>
      </rPr>
      <t xml:space="preserve">from the </t>
    </r>
    <r>
      <rPr>
        <b/>
        <sz val="11"/>
        <color theme="1"/>
        <rFont val="Calibri"/>
        <family val="2"/>
        <scheme val="minor"/>
      </rPr>
      <t xml:space="preserve">CFS Master </t>
    </r>
    <r>
      <rPr>
        <sz val="11"/>
        <color theme="1"/>
        <rFont val="Calibri"/>
        <family val="2"/>
        <scheme val="minor"/>
      </rPr>
      <t xml:space="preserve">(Left Side Panel) are reflected in the </t>
    </r>
    <r>
      <rPr>
        <b/>
        <sz val="11"/>
        <color theme="1"/>
        <rFont val="Calibri"/>
        <family val="2"/>
        <scheme val="minor"/>
      </rPr>
      <t>CFS Master Details Grid View Panel</t>
    </r>
    <r>
      <rPr>
        <sz val="11"/>
        <color theme="1"/>
        <rFont val="Calibri"/>
        <family val="2"/>
        <scheme val="minor"/>
      </rPr>
      <t xml:space="preserve"> (Main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</si>
  <si>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From the left-side panel, click Select for any CFS record and Select another CFS from the list.</t>
    </r>
  </si>
  <si>
    <t>1. The selected CFS name and details from the left panel should be reflected accurately in the CFS Master Details Grid View Panel.
2. When another CFS is selected, The grid view should update to show the new CFS details.
3. The previously selected CFS entry should revert to its default (white) color in the left panel.</t>
  </si>
  <si>
    <t xml:space="preserve">1. Selected CFS details are correctly reflected in the CFS Master Details Grid View Panel.
2. When a new CFS is selected, the grid updates correctly, but the previously selected CFS remains highlighted in green in the left panel and does not reset to default (white) after a new CFS selection.
</t>
  </si>
  <si>
    <t>CFS_Master_05</t>
  </si>
  <si>
    <t>Validate whether the selected CFS Details value from the CFS Master Details Grid View Panel is reflected in the corresponding textboxes</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</si>
  <si>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From the CFS Master Details Grid View Panel, click Select on  CFS record.
5. Verify the Total Entry Count value after selection.</t>
    </r>
  </si>
  <si>
    <r>
      <rPr>
        <b/>
        <sz val="11"/>
        <color theme="1"/>
        <rFont val="Calibri"/>
        <family val="2"/>
        <scheme val="minor"/>
      </rPr>
      <t>On clicking Select from the CFS Master Details Grid View:</t>
    </r>
    <r>
      <rPr>
        <sz val="11"/>
        <color theme="1"/>
        <rFont val="Calibri"/>
        <family val="2"/>
        <scheme val="minor"/>
      </rPr>
      <t xml:space="preserve">
1. The chosen CFS record values should reflect correctly in the corresponding textboxes on the main page.
2. The Total Entry Count should be 0 if no other entries exist in the grid.</t>
    </r>
  </si>
  <si>
    <t>1. The selected CFS details do reflect correctly on the corresponding textboxes.
2. However, the Total Entry Count still displays as “1”, even though the CFS Master Details Grid View Panel shows no records remaining.</t>
  </si>
  <si>
    <t>CFS_Master_06</t>
  </si>
  <si>
    <t>Validate the functionality of the Save button without filling any mandatory or non-mandatory fields</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</si>
  <si>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Without filling any field, click on the Save button.</t>
    </r>
  </si>
  <si>
    <r>
      <rPr>
        <b/>
        <sz val="11"/>
        <color theme="1"/>
        <rFont val="Calibri"/>
        <family val="2"/>
        <scheme val="minor"/>
      </rPr>
      <t>On clicking the Save button without filling mandatory fields:</t>
    </r>
    <r>
      <rPr>
        <sz val="11"/>
        <color theme="1"/>
        <rFont val="Calibri"/>
        <family val="2"/>
        <scheme val="minor"/>
      </rPr>
      <t xml:space="preserve">
1. The form should not be submitted.
2. A pop-up message should appear indicating that mandatory fields are required.</t>
    </r>
  </si>
  <si>
    <r>
      <t xml:space="preserve">1. The form is not submitted when no fields are filled.
2. The system displays a mandatory field validation pop-up, but for  Display Status mandatory field it is showing </t>
    </r>
    <r>
      <rPr>
        <b/>
        <sz val="11"/>
        <color theme="1"/>
        <rFont val="Calibri"/>
        <family val="2"/>
        <scheme val="minor"/>
      </rPr>
      <t>status”</t>
    </r>
    <r>
      <rPr>
        <sz val="11"/>
        <color theme="1"/>
        <rFont val="Calibri"/>
        <family val="2"/>
        <scheme val="minor"/>
      </rPr>
      <t xml:space="preserve"> instead of “</t>
    </r>
    <r>
      <rPr>
        <b/>
        <sz val="11"/>
        <color theme="1"/>
        <rFont val="Calibri"/>
        <family val="2"/>
        <scheme val="minor"/>
      </rPr>
      <t>Display Status is mandatory.</t>
    </r>
    <r>
      <rPr>
        <sz val="11"/>
        <color theme="1"/>
        <rFont val="Calibri"/>
        <family val="2"/>
        <scheme val="minor"/>
      </rPr>
      <t>”
Overall, functionality is working as expected</t>
    </r>
  </si>
  <si>
    <t>CFS_Master_07</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</si>
  <si>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t>
    </r>
  </si>
  <si>
    <r>
      <t xml:space="preserve">Validate the functionality of the </t>
    </r>
    <r>
      <rPr>
        <b/>
        <sz val="11"/>
        <color theme="1"/>
        <rFont val="Calibri"/>
        <family val="2"/>
        <scheme val="minor"/>
      </rPr>
      <t>Save</t>
    </r>
    <r>
      <rPr>
        <sz val="11"/>
        <color theme="1"/>
        <rFont val="Calibri"/>
        <family val="2"/>
        <scheme val="minor"/>
      </rPr>
      <t xml:space="preserve"> button when only one mandatory field is filled and all non-mandatory fields are left empty</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</si>
  <si>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Fill only one mandatory field (Name) and Leave all other fields blank.</t>
    </r>
  </si>
  <si>
    <t>1. The system should not allow saving the record with incomplete mandatory data.
2. A validation pop-up should appear for each unfilled mandatory field.
3. The form should not be submitted until all required fields are completed.</t>
  </si>
  <si>
    <t xml:space="preserve">1. Form is not submitted when only one mandatory field (Name) is filled.
2. System correctly displays mandatory field validation pop-ups for the remaining required fields.
3. However, the validation message text is slightly inconsistent — it reads “Display Status mandatory field is showing status” instead of the correct message “Display Status is mandatory.”
Overall functionality is working as expected </t>
  </si>
  <si>
    <t>CFS_Master_08</t>
  </si>
  <si>
    <r>
      <t xml:space="preserve">Validate the functionality of the </t>
    </r>
    <r>
      <rPr>
        <b/>
        <sz val="11"/>
        <color theme="1"/>
        <rFont val="Calibri"/>
        <family val="2"/>
        <scheme val="minor"/>
      </rPr>
      <t>Save</t>
    </r>
    <r>
      <rPr>
        <sz val="11"/>
        <color theme="1"/>
        <rFont val="Calibri"/>
        <family val="2"/>
        <scheme val="minor"/>
      </rPr>
      <t xml:space="preserve"> button when only two mandatory fields are filled, the last mandatory field (</t>
    </r>
    <r>
      <rPr>
        <b/>
        <sz val="11"/>
        <color theme="1"/>
        <rFont val="Calibri"/>
        <family val="2"/>
        <scheme val="minor"/>
      </rPr>
      <t>Port Code</t>
    </r>
    <r>
      <rPr>
        <sz val="11"/>
        <color theme="1"/>
        <rFont val="Calibri"/>
        <family val="2"/>
        <scheme val="minor"/>
      </rPr>
      <t>) is left blank, and all non-mandatory fields remain empty.</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</si>
  <si>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value in the Name field 
5. Select Display Status = Display from the dropdown.
6. Leave the Port Code field blank.
7. Click the Save button and observe the system behavior.</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</si>
  <si>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Display Status - Display
Port Code: Blank(No Data)
</t>
    </r>
  </si>
  <si>
    <t>1. The system should not allow saving the record without filling the mandatory Port Code field.
2. A validation message or pop-up should appear indicating that “Port Code is mandatory.”
3. The record should not be saved until all mandatory fields are filled.</t>
  </si>
  <si>
    <t>1. The record is saved successfully without filling the Port Code field.
2. The Port Code field is not auto-populated, yet the system allows saving the record.</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</si>
  <si>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value in the Name field 
5. Select Display Status = Display from the dropdown.
6. Enter a valid value in the Port Code field.
7. Click the Save button and observe the system behavior.</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</si>
  <si>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Display Status - Display
Port Code: Test 123
</t>
    </r>
  </si>
  <si>
    <r>
      <t xml:space="preserve">Validate the functionality of the </t>
    </r>
    <r>
      <rPr>
        <b/>
        <sz val="11"/>
        <color theme="1"/>
        <rFont val="Calibri"/>
        <family val="2"/>
        <scheme val="minor"/>
      </rPr>
      <t>Save</t>
    </r>
    <r>
      <rPr>
        <sz val="11"/>
        <color theme="1"/>
        <rFont val="Calibri"/>
        <family val="2"/>
        <scheme val="minor"/>
      </rPr>
      <t xml:space="preserve"> button when all mandatory fields are filled and all non-mandatory fields remain empty.</t>
    </r>
  </si>
  <si>
    <t>1. The system should allow saving the record successfully when all mandatory fields (Name, Display Status, and Port Code) are filled.
2. A success message or confirmation pop-up should be displayed.</t>
  </si>
  <si>
    <t>CFS_Master_09</t>
  </si>
  <si>
    <t>CFS_Master_10</t>
  </si>
  <si>
    <t>Hold</t>
  </si>
  <si>
    <t>Created in JIRA</t>
  </si>
  <si>
    <r>
      <t xml:space="preserve">Validate the functionality of the </t>
    </r>
    <r>
      <rPr>
        <b/>
        <sz val="11"/>
        <color theme="1"/>
        <rFont val="Calibri"/>
        <family val="2"/>
        <scheme val="minor"/>
      </rPr>
      <t>Bank Name Save</t>
    </r>
    <r>
      <rPr>
        <sz val="11"/>
        <color theme="1"/>
        <rFont val="Calibri"/>
        <family val="2"/>
        <scheme val="minor"/>
      </rPr>
      <t xml:space="preserve"> operation when a </t>
    </r>
    <r>
      <rPr>
        <b/>
        <sz val="11"/>
        <color theme="1"/>
        <rFont val="Calibri"/>
        <family val="2"/>
        <scheme val="minor"/>
      </rPr>
      <t>valid bank name</t>
    </r>
    <r>
      <rPr>
        <sz val="11"/>
        <color theme="1"/>
        <rFont val="Calibri"/>
        <family val="2"/>
        <scheme val="minor"/>
      </rPr>
      <t xml:space="preserve"> is entered in the textbox and few textboxed filled in Address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</si>
  <si>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bank name and fill some of textboxes in Address Section.</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</si>
  <si>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Punjab National Bank
Mobile - 1234567890 
State - Delhi
Country - India
City - Delhi
</t>
    </r>
  </si>
  <si>
    <r>
      <t>1. The system should successfully save the entered Bank Name.
2. A confirmation or success pop-up message should be displayed, e.g.:
“</t>
    </r>
    <r>
      <rPr>
        <b/>
        <sz val="11"/>
        <color theme="1"/>
        <rFont val="Calibri"/>
        <family val="2"/>
        <scheme val="minor"/>
      </rPr>
      <t>Bank Name saved successfully.</t>
    </r>
    <r>
      <rPr>
        <sz val="11"/>
        <color theme="1"/>
        <rFont val="Calibri"/>
        <family val="2"/>
        <scheme val="minor"/>
      </rPr>
      <t xml:space="preserve">”
3. The field should accept both uppercase and lowercase alphabetic entries.
</t>
    </r>
  </si>
  <si>
    <t>Validate whether the selected bank name is reflected correctly in the Bank Details Page and Output Grid</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</si>
  <si>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Observe whether the selected Bank Name and details are reflected correctly in both the Bank Details section  and Bank Details Output Grid.</t>
    </r>
  </si>
  <si>
    <t>A-136</t>
  </si>
  <si>
    <t>Pooja</t>
  </si>
  <si>
    <t>BA-138</t>
  </si>
  <si>
    <t>BA-139</t>
  </si>
  <si>
    <t>BA-137</t>
  </si>
  <si>
    <t>BA-140</t>
  </si>
  <si>
    <t>BA-141</t>
  </si>
  <si>
    <t>BA-144</t>
  </si>
  <si>
    <t>BA-145</t>
  </si>
  <si>
    <t>BA-146</t>
  </si>
  <si>
    <t>BA-147</t>
  </si>
  <si>
    <t>The State textbox should accept  dropdown value only.
While entering invalid data in the textbox it should be clear when moving into next textbox.</t>
  </si>
  <si>
    <t>The Country  textbox should accept  dropdown value only.
While entering invalid data in the textbox it should be clear when moving into next textbox.</t>
  </si>
  <si>
    <t xml:space="preserve">1. The selected Bank Name should be displayed correctly in the Bank Details section.
2. The corresponding address and related information should auto-populate in their respective fields.
3. The same Bank Name and details should be visible in the Output Grid.
</t>
  </si>
  <si>
    <t>Bank Name is reflected correctly in the Bank Name textbox.
Address and related details are displayed in the grid view.
By clicking Select in the grid view, address details are populated in the corresponding address-related textboxes.</t>
  </si>
  <si>
    <r>
      <t xml:space="preserve">1. The entered address details should be successfully saved upon clicking the </t>
    </r>
    <r>
      <rPr>
        <b/>
        <sz val="11"/>
        <color theme="1"/>
        <rFont val="Calibri"/>
        <family val="2"/>
        <scheme val="minor"/>
      </rPr>
      <t>Add</t>
    </r>
    <r>
      <rPr>
        <sz val="11"/>
        <color theme="1"/>
        <rFont val="Calibri"/>
        <family val="2"/>
        <scheme val="minor"/>
      </rPr>
      <t xml:space="preserve"> button.
2. The saved address should appear in the </t>
    </r>
    <r>
      <rPr>
        <b/>
        <sz val="11"/>
        <color theme="1"/>
        <rFont val="Calibri"/>
        <family val="2"/>
        <scheme val="minor"/>
      </rPr>
      <t>Address Grid section</t>
    </r>
    <r>
      <rPr>
        <sz val="11"/>
        <color theme="1"/>
        <rFont val="Calibri"/>
        <family val="2"/>
        <scheme val="minor"/>
      </rPr>
      <t xml:space="preserve">.
</t>
    </r>
  </si>
  <si>
    <t>The Address1 field should be free and user can add  address as per their requirement within given field limitation.(100L)</t>
  </si>
  <si>
    <t>The Address2 field should be free and user can add  address as per their requirement within given field limitation.(100L)</t>
  </si>
  <si>
    <t xml:space="preserve">1. The City  Name field should accept valid alphabetic input.
2. It should accept both upper-case and lower-case letters.
3. It should also allow alphabetic values with spaces.
</t>
  </si>
  <si>
    <t xml:space="preserve">The field is working as expected but currently accepts only upper-case letters and does not allow lower-case letters.
</t>
  </si>
  <si>
    <r>
      <t xml:space="preserve">The field is working as expected but currently </t>
    </r>
    <r>
      <rPr>
        <b/>
        <sz val="11"/>
        <color theme="1"/>
        <rFont val="Calibri"/>
        <family val="2"/>
        <scheme val="minor"/>
      </rPr>
      <t>accepts only upper-case letters</t>
    </r>
    <r>
      <rPr>
        <sz val="11"/>
        <color theme="1"/>
        <rFont val="Calibri"/>
        <family val="2"/>
        <scheme val="minor"/>
      </rPr>
      <t xml:space="preserve"> and does not allow lower-case letters.
</t>
    </r>
  </si>
  <si>
    <t xml:space="preserve">1. The Branch Name field should accept valid alphabetic input.
2. It should accept both upper-case and lower-case letters.
3. It should also allow alphabetic values with spaces.
</t>
  </si>
  <si>
    <r>
      <t xml:space="preserve">The </t>
    </r>
    <r>
      <rPr>
        <b/>
        <sz val="11"/>
        <color theme="1"/>
        <rFont val="Calibri"/>
        <family val="2"/>
        <scheme val="minor"/>
      </rPr>
      <t>Address2</t>
    </r>
    <r>
      <rPr>
        <sz val="11"/>
        <color theme="1"/>
        <rFont val="Calibri"/>
        <family val="2"/>
        <scheme val="minor"/>
      </rPr>
      <t xml:space="preserve"> field is working as expected — it accepts all valid combinations correctly.
Address Line can be Address1
</t>
    </r>
  </si>
  <si>
    <t>The Address2 textbox should accept valid address data including:
Alphabetic values
Alphanumeric values
Alphanumeric values with spaces
Alphabetic values with spaces
Limited special characters (e.g., ., ,, -, /)
The entered data should be displayed correctly within field limitation.</t>
  </si>
  <si>
    <t xml:space="preserve">1. The State field should accept valid alphabetic input.
2. It should accept both upper-case and lower-case letters.
3. It should also allow alphabetic values with spaces.
</t>
  </si>
  <si>
    <t xml:space="preserve">1. The Country field should accept valid alphabetic input.
2. It should accept both upper-case and lower-case letters.
3. It should also allow alphabetic values with spaces.
</t>
  </si>
  <si>
    <r>
      <t xml:space="preserve">The </t>
    </r>
    <r>
      <rPr>
        <b/>
        <sz val="11"/>
        <color theme="1"/>
        <rFont val="Calibri"/>
        <family val="2"/>
        <scheme val="minor"/>
      </rPr>
      <t>Address1</t>
    </r>
    <r>
      <rPr>
        <sz val="11"/>
        <color theme="1"/>
        <rFont val="Calibri"/>
        <family val="2"/>
        <scheme val="minor"/>
      </rPr>
      <t xml:space="preserve"> field is working as expected — it accepts all valid combinations correctly.
Address Line can be Address1
</t>
    </r>
  </si>
  <si>
    <t xml:space="preserve">The Address1 textbox should accept valid address data including:
Alphabetic values
Alphanumeric values
Alphanumeric values with spaces
Alphabetic values with spaces
Limited special characters (e.g., ., ,, -, /)
The entered data should be displayed correctly within field limitation.
</t>
  </si>
  <si>
    <r>
      <t xml:space="preserve">The Contact Person field should not accept invalid input such as:
</t>
    </r>
    <r>
      <rPr>
        <b/>
        <sz val="11"/>
        <color theme="1"/>
        <rFont val="Calibri"/>
        <family val="2"/>
        <scheme val="minor"/>
      </rPr>
      <t>Only special characters</t>
    </r>
    <r>
      <rPr>
        <sz val="11"/>
        <color theme="1"/>
        <rFont val="Calibri"/>
        <family val="2"/>
        <scheme val="minor"/>
      </rPr>
      <t xml:space="preserve">
</t>
    </r>
    <r>
      <rPr>
        <b/>
        <sz val="11"/>
        <color theme="1"/>
        <rFont val="Calibri"/>
        <family val="2"/>
        <scheme val="minor"/>
      </rPr>
      <t xml:space="preserve">Only spaces
</t>
    </r>
    <r>
      <rPr>
        <sz val="11"/>
        <color theme="1"/>
        <rFont val="Calibri"/>
        <family val="2"/>
        <scheme val="minor"/>
      </rPr>
      <t xml:space="preserve">
A validation message or pop-up should appear stating:
“</t>
    </r>
    <r>
      <rPr>
        <b/>
        <sz val="11"/>
        <color theme="1"/>
        <rFont val="Calibri"/>
        <family val="2"/>
        <scheme val="minor"/>
      </rPr>
      <t>Please enter a valid Name</t>
    </r>
    <r>
      <rPr>
        <sz val="11"/>
        <color theme="1"/>
        <rFont val="Calibri"/>
        <family val="2"/>
        <scheme val="minor"/>
      </rPr>
      <t xml:space="preserve">.”
As per the use case it should accept alphanumeric value.
</t>
    </r>
  </si>
  <si>
    <r>
      <rPr>
        <b/>
        <sz val="11"/>
        <color theme="1"/>
        <rFont val="Calibri"/>
        <family val="2"/>
        <scheme val="minor"/>
      </rPr>
      <t>1. The City textbox should not accept invalid data such as:</t>
    </r>
    <r>
      <rPr>
        <sz val="11"/>
        <color theme="1"/>
        <rFont val="Calibri"/>
        <family val="2"/>
        <scheme val="minor"/>
      </rPr>
      <t xml:space="preserve">
Only special characters
Only spaces
Combinations of numbers and special characters
The system should display a validation message or pop-up, such as:
“</t>
    </r>
    <r>
      <rPr>
        <b/>
        <sz val="11"/>
        <color theme="1"/>
        <rFont val="Calibri"/>
        <family val="2"/>
        <scheme val="minor"/>
      </rPr>
      <t>Please enter a valid City name.</t>
    </r>
    <r>
      <rPr>
        <sz val="11"/>
        <color theme="1"/>
        <rFont val="Calibri"/>
        <family val="2"/>
        <scheme val="minor"/>
      </rPr>
      <t xml:space="preserve">”
As per the use case it should accept alphanumeric value
</t>
    </r>
  </si>
  <si>
    <t>BA-148</t>
  </si>
  <si>
    <t>1. FAX textbox is accepting alphabetic values.
2. Accepts special characters and mixed values (special characters, numeric, alphabetic, spaces).
3. It should accept 15L numeric value only.</t>
  </si>
  <si>
    <t xml:space="preserve">1. As per the business rule, User can save duplicate address.
</t>
  </si>
  <si>
    <t>BA-149</t>
  </si>
  <si>
    <t xml:space="preserve">1. Grid is accepting invalid data.
2. Grid is Free, If User enter ivalid data in any textboxes, it is not coming in grdi section.
</t>
  </si>
  <si>
    <t>BA-151</t>
  </si>
  <si>
    <t xml:space="preserve">
Branch Name - space
Branch Name - special character
</t>
  </si>
  <si>
    <r>
      <t xml:space="preserve">The Branch Name field should not accept invalid input such as:
</t>
    </r>
    <r>
      <rPr>
        <sz val="11"/>
        <color theme="1"/>
        <rFont val="Calibri"/>
        <family val="2"/>
        <scheme val="minor"/>
      </rPr>
      <t xml:space="preserve">
</t>
    </r>
    <r>
      <rPr>
        <b/>
        <sz val="11"/>
        <color theme="1"/>
        <rFont val="Calibri"/>
        <family val="2"/>
        <scheme val="minor"/>
      </rPr>
      <t>Only special characters</t>
    </r>
    <r>
      <rPr>
        <sz val="11"/>
        <color theme="1"/>
        <rFont val="Calibri"/>
        <family val="2"/>
        <scheme val="minor"/>
      </rPr>
      <t xml:space="preserve">
</t>
    </r>
    <r>
      <rPr>
        <b/>
        <sz val="11"/>
        <color theme="1"/>
        <rFont val="Calibri"/>
        <family val="2"/>
        <scheme val="minor"/>
      </rPr>
      <t>Only spaces</t>
    </r>
    <r>
      <rPr>
        <sz val="11"/>
        <color theme="1"/>
        <rFont val="Calibri"/>
        <family val="2"/>
        <scheme val="minor"/>
      </rPr>
      <t xml:space="preserve">
</t>
    </r>
    <r>
      <rPr>
        <sz val="11"/>
        <color theme="1"/>
        <rFont val="Calibri"/>
        <family val="2"/>
        <scheme val="minor"/>
      </rPr>
      <t xml:space="preserve">
A validation message or pop-up should appear stating:
“</t>
    </r>
    <r>
      <rPr>
        <b/>
        <sz val="11"/>
        <color theme="1"/>
        <rFont val="Calibri"/>
        <family val="2"/>
        <scheme val="minor"/>
      </rPr>
      <t>Please enter a valid Branch Name</t>
    </r>
    <r>
      <rPr>
        <sz val="11"/>
        <color theme="1"/>
        <rFont val="Calibri"/>
        <family val="2"/>
        <scheme val="minor"/>
      </rPr>
      <t xml:space="preserve">.”
</t>
    </r>
  </si>
  <si>
    <t xml:space="preserve">Since no fields are filled in the Address Section, Branch Name is NOT mandatory as per the latest rule. So user can add it.
</t>
  </si>
  <si>
    <t>Validate that after saving a record, it appears correctly in the left-side list and the grid</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</si>
  <si>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Testing1
Display Status - Display
Port Code - (AutoSuggest)
</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</si>
  <si>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value in the Name field 
5. Select Display Status = Display from the dropdown.
6. Enter a valid value in the Port Code field.
7. Enter value is other textboxes (Optional)
8. Click on save button and check left panel record list.</t>
    </r>
  </si>
  <si>
    <t>After saving, the record is correctly displayed in the left panel list.
Functionality is working as expected.
Type textbox is auto-populated automatically.</t>
  </si>
  <si>
    <t xml:space="preserve">1. After saving the record, it should appear correctly in the left-side panel list and also be displayed properly in the grid while selecting the record.
</t>
  </si>
  <si>
    <t>CFS_Master_11</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</si>
  <si>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123
</t>
    </r>
  </si>
  <si>
    <r>
      <t xml:space="preserve">Validate the functionality of the </t>
    </r>
    <r>
      <rPr>
        <b/>
        <sz val="11"/>
        <color theme="1"/>
        <rFont val="Calibri"/>
        <family val="2"/>
        <scheme val="minor"/>
      </rPr>
      <t>Name</t>
    </r>
    <r>
      <rPr>
        <sz val="11"/>
        <color theme="1"/>
        <rFont val="Calibri"/>
        <family val="2"/>
        <scheme val="minor"/>
      </rPr>
      <t xml:space="preserve"> textbox with valid data (Alphabetic &amp; Numeric)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</si>
  <si>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alphanumeric value in the Name textbox and Observe whether the system accepts the input.</t>
    </r>
  </si>
  <si>
    <t xml:space="preserve">The Name textbox should accept alphanumeric characters (alphabets + numbers) as per the use-case requirement.
</t>
  </si>
  <si>
    <t xml:space="preserve">The Name textbox is accepting alphanumeric values successfully.
Functionality is working as expected.
</t>
  </si>
  <si>
    <t>CFS_Master_12</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</si>
  <si>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invalid  value in the Name textbox and Observe whether the system accepts the input.</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</si>
  <si>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only space
Name - !@#$%^&amp;*()_+{}[]:":"
Name - Blank
</t>
    </r>
  </si>
  <si>
    <t>CFS_Master_13</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</si>
  <si>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more than 100 character value in name textbox and check the system behaviour.</t>
    </r>
  </si>
  <si>
    <r>
      <t xml:space="preserve">Validate the character length limitation of the </t>
    </r>
    <r>
      <rPr>
        <b/>
        <sz val="11"/>
        <color theme="1"/>
        <rFont val="Calibri"/>
        <family val="2"/>
        <scheme val="minor"/>
      </rPr>
      <t>Name</t>
    </r>
    <r>
      <rPr>
        <sz val="11"/>
        <color theme="1"/>
        <rFont val="Calibri"/>
        <family val="2"/>
        <scheme val="minor"/>
      </rPr>
      <t xml:space="preserve"> textbox</t>
    </r>
  </si>
  <si>
    <r>
      <rPr>
        <b/>
        <sz val="11"/>
        <color theme="1"/>
        <rFont val="Calibri"/>
        <family val="2"/>
        <scheme val="minor"/>
      </rPr>
      <t xml:space="preserve">Name - </t>
    </r>
    <r>
      <rPr>
        <sz val="11"/>
        <color theme="1"/>
        <rFont val="Calibri"/>
        <family val="2"/>
        <scheme val="minor"/>
      </rPr>
      <t xml:space="preserve">
A value with more than 100 characters</t>
    </r>
  </si>
  <si>
    <t xml:space="preserve">1. As per the Use Case, the Name textbox should not accept more than 100 characters.
</t>
  </si>
  <si>
    <t>1. Functionality is not working as expected.
2. The Name textbox is accepting more than 100 characters.</t>
  </si>
  <si>
    <t>CFS_Master_14</t>
  </si>
  <si>
    <t>CFS_Master_15</t>
  </si>
  <si>
    <t>CFS_Master_16</t>
  </si>
  <si>
    <r>
      <t xml:space="preserve">Validate the functionality of the </t>
    </r>
    <r>
      <rPr>
        <b/>
        <sz val="11"/>
        <color theme="1"/>
        <rFont val="Calibri"/>
        <family val="2"/>
        <scheme val="minor"/>
      </rPr>
      <t>Type</t>
    </r>
    <r>
      <rPr>
        <sz val="11"/>
        <color theme="1"/>
        <rFont val="Calibri"/>
        <family val="2"/>
        <scheme val="minor"/>
      </rPr>
      <t xml:space="preserve"> textbox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</si>
  <si>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Observe the Type textbox while entering details in the form</t>
    </r>
  </si>
  <si>
    <t>1. The Type textbox should not be editable.
2. It should be auto-populated by the system.</t>
  </si>
  <si>
    <t>1. Functionality is working as expected.
2. The Type textbox is not editable and the value is auto-populated automatically while filling the CFS Master form.</t>
  </si>
  <si>
    <t>CFS_Master_17</t>
  </si>
  <si>
    <t>Validate the functionality of the Address field.</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</si>
  <si>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Verify if the field accepts all valid combinations of alphabetic, alphanumeric, and special characters (such as comma, dot, and hyphen)</t>
    </r>
  </si>
  <si>
    <r>
      <t xml:space="preserve">Address1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</si>
  <si>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r>
      <t xml:space="preserve">The </t>
    </r>
    <r>
      <rPr>
        <b/>
        <sz val="11"/>
        <color theme="1"/>
        <rFont val="Calibri"/>
        <family val="2"/>
        <scheme val="minor"/>
      </rPr>
      <t>Address</t>
    </r>
    <r>
      <rPr>
        <sz val="11"/>
        <color theme="1"/>
        <rFont val="Calibri"/>
        <family val="2"/>
        <scheme val="minor"/>
      </rPr>
      <t xml:space="preserve"> field is working as expected — it accepts all valid combinations correctly.
</t>
    </r>
  </si>
  <si>
    <t xml:space="preserve">The Address textbox should accept valid address data including:
Alphabetic values
Alphanumeric values
Alphanumeric values with spaces
Alphabetic values with spaces
Limited special characters (e.g., ., ,, -, /)
The entered data should be displayed correctly within field limitation.
</t>
  </si>
  <si>
    <r>
      <t xml:space="preserve">Address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</si>
  <si>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CFS_Master_18</t>
  </si>
  <si>
    <r>
      <t xml:space="preserve">Validate the character length limitation of the </t>
    </r>
    <r>
      <rPr>
        <b/>
        <sz val="11"/>
        <color theme="1"/>
        <rFont val="Calibri"/>
        <family val="2"/>
        <scheme val="minor"/>
      </rPr>
      <t>Address</t>
    </r>
    <r>
      <rPr>
        <sz val="11"/>
        <color theme="1"/>
        <rFont val="Calibri"/>
        <family val="2"/>
        <scheme val="minor"/>
      </rPr>
      <t xml:space="preserve"> textbox</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</si>
  <si>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more than 20 character value in Address textbox and check the system behaviour.</t>
    </r>
  </si>
  <si>
    <t xml:space="preserve">1. As per the Use Case, the Address textbox should not accept more than 20 characters.
</t>
  </si>
  <si>
    <t>1. Functionality is  working as expected.
2. The Address textbox is accepting upto 20 Character.</t>
  </si>
  <si>
    <t>CFS_Master_19</t>
  </si>
  <si>
    <t>Validate the functionality of the Address1 field.</t>
  </si>
  <si>
    <r>
      <t xml:space="preserve">The </t>
    </r>
    <r>
      <rPr>
        <b/>
        <sz val="11"/>
        <color theme="1"/>
        <rFont val="Calibri"/>
        <family val="2"/>
        <scheme val="minor"/>
      </rPr>
      <t>Address1</t>
    </r>
    <r>
      <rPr>
        <sz val="11"/>
        <color theme="1"/>
        <rFont val="Calibri"/>
        <family val="2"/>
        <scheme val="minor"/>
      </rPr>
      <t xml:space="preserve"> field is working as expected — it accepts all valid combinations correctly.
</t>
    </r>
  </si>
  <si>
    <t>CFS_Master_20</t>
  </si>
  <si>
    <r>
      <t xml:space="preserve">Validate the character length limitation of the </t>
    </r>
    <r>
      <rPr>
        <b/>
        <sz val="11"/>
        <color theme="1"/>
        <rFont val="Calibri"/>
        <family val="2"/>
        <scheme val="minor"/>
      </rPr>
      <t>Address1</t>
    </r>
    <r>
      <rPr>
        <sz val="11"/>
        <color theme="1"/>
        <rFont val="Calibri"/>
        <family val="2"/>
        <scheme val="minor"/>
      </rPr>
      <t xml:space="preserve"> textbox</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</si>
  <si>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more than 100 character value in Address1 textbox and check the system behaviour.</t>
    </r>
  </si>
  <si>
    <t xml:space="preserve">1. As per the Use Case, the Address1 textbox should not accept more than 100 characters.
</t>
  </si>
  <si>
    <t>1. Functionality is  working as expected.
2. The Address textbox is accepting upto 100 Character.</t>
  </si>
  <si>
    <t>CFS_Master_21</t>
  </si>
  <si>
    <r>
      <t xml:space="preserve">Validate the functionality of the </t>
    </r>
    <r>
      <rPr>
        <b/>
        <sz val="11"/>
        <color theme="1"/>
        <rFont val="Calibri"/>
        <family val="2"/>
        <scheme val="minor"/>
      </rPr>
      <t>Display Status</t>
    </r>
    <r>
      <rPr>
        <sz val="11"/>
        <color theme="1"/>
        <rFont val="Calibri"/>
        <family val="2"/>
        <scheme val="minor"/>
      </rPr>
      <t xml:space="preserve"> dropdown textbox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</si>
  <si>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Select any value from the dropdown and observe the system behavior.</t>
    </r>
  </si>
  <si>
    <t>Display Status – Dropdown selection</t>
  </si>
  <si>
    <t xml:space="preserve">1. The dropdown list should display all available values.
2. User should be able to select, deselect, and change the dropdown value as required.
</t>
  </si>
  <si>
    <t>1. Functionality is working as expected.
2. User can select any value and update it as per their requirement.</t>
  </si>
  <si>
    <t>CFS_Master_22</t>
  </si>
  <si>
    <r>
      <t xml:space="preserve">Address2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</si>
  <si>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 xml:space="preserve">The Address2 textbox should accept valid address data including:
Alphabetic values
Alphanumeric values
Alphanumeric values with spaces
Alphabetic values with spaces
Limited special characters (e.g., ., ,, -, /)
The entered data should be displayed correctly within field limitation.
</t>
  </si>
  <si>
    <r>
      <t xml:space="preserve">The </t>
    </r>
    <r>
      <rPr>
        <b/>
        <sz val="11"/>
        <color theme="1"/>
        <rFont val="Calibri"/>
        <family val="2"/>
        <scheme val="minor"/>
      </rPr>
      <t>Address2</t>
    </r>
    <r>
      <rPr>
        <sz val="11"/>
        <color theme="1"/>
        <rFont val="Calibri"/>
        <family val="2"/>
        <scheme val="minor"/>
      </rPr>
      <t xml:space="preserve"> field is working as expected — it accepts all valid combinations correctly.
</t>
    </r>
  </si>
  <si>
    <t>CFS_Master_23</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</si>
  <si>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Address2 textbox, enter  value within 50 characters and more than 50 characters value.</t>
    </r>
  </si>
  <si>
    <t>Address2
Input ≤ 50 characters
Input &gt; 50 characters</t>
  </si>
  <si>
    <t xml:space="preserve">1. As per the use case, the Address2 textbox must not accept more than 50 characters.
</t>
  </si>
  <si>
    <t>1. Functionality is working as expected.
2. The Address2 textbox accepts input up to 50 characters only.</t>
  </si>
  <si>
    <t>Address1
Input ≤ 100 characters
Input &gt; 100 characters</t>
  </si>
  <si>
    <t>Address
Input ≤ 20 characters
Input &gt; 20 characters</t>
  </si>
  <si>
    <t>CFS_Master_24</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</si>
  <si>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City textbox, enter valid values and observe the system behavior.</t>
    </r>
  </si>
  <si>
    <r>
      <t xml:space="preserve">Valid Inputs:
</t>
    </r>
    <r>
      <rPr>
        <sz val="11"/>
        <color theme="1"/>
        <rFont val="Calibri"/>
        <family val="2"/>
        <scheme val="minor"/>
      </rPr>
      <t>1234 (Numeric)
ABCD (Alphabetic)
Jam Nagar (Alphanumeric with space)</t>
    </r>
    <r>
      <rPr>
        <b/>
        <sz val="11"/>
        <color theme="1"/>
        <rFont val="Calibri"/>
        <family val="2"/>
        <scheme val="minor"/>
      </rPr>
      <t xml:space="preserve">
</t>
    </r>
  </si>
  <si>
    <t xml:space="preserve">1. As per the use case, the City textbox should accept alphanumeric values.
</t>
  </si>
  <si>
    <t>1. Functionality is working as expected.
2. The City textbox is accepting alphanumeric values.</t>
  </si>
  <si>
    <t>CFS_Master_25</t>
  </si>
  <si>
    <r>
      <t xml:space="preserve">Validate the character length limitation of the </t>
    </r>
    <r>
      <rPr>
        <b/>
        <sz val="11"/>
        <color theme="1"/>
        <rFont val="Calibri"/>
        <family val="2"/>
        <scheme val="minor"/>
      </rPr>
      <t>Address2</t>
    </r>
    <r>
      <rPr>
        <sz val="11"/>
        <color theme="1"/>
        <rFont val="Calibri"/>
        <family val="2"/>
        <scheme val="minor"/>
      </rPr>
      <t xml:space="preserve"> textbox in the CFS Master Page.</t>
    </r>
  </si>
  <si>
    <t>Validate the functionality of the Address2 field in the CFS Master Page.</t>
  </si>
  <si>
    <r>
      <t xml:space="preserve">Validate the functionality of the </t>
    </r>
    <r>
      <rPr>
        <b/>
        <sz val="11"/>
        <color theme="1"/>
        <rFont val="Calibri"/>
        <family val="2"/>
        <scheme val="minor"/>
      </rPr>
      <t>City</t>
    </r>
    <r>
      <rPr>
        <sz val="11"/>
        <color theme="1"/>
        <rFont val="Calibri"/>
        <family val="2"/>
        <scheme val="minor"/>
      </rPr>
      <t xml:space="preserve"> textbox with valid data in the CFS Master Page.</t>
    </r>
  </si>
  <si>
    <r>
      <t xml:space="preserve">Validate the functionality of the </t>
    </r>
    <r>
      <rPr>
        <b/>
        <sz val="11"/>
        <color theme="1"/>
        <rFont val="Calibri"/>
        <family val="2"/>
        <scheme val="minor"/>
      </rPr>
      <t>City</t>
    </r>
    <r>
      <rPr>
        <sz val="11"/>
        <color theme="1"/>
        <rFont val="Calibri"/>
        <family val="2"/>
        <scheme val="minor"/>
      </rPr>
      <t xml:space="preserve"> textbox with invalid data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</si>
  <si>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City textbox, enter invalid values one by one and observe the system behavior.</t>
    </r>
  </si>
  <si>
    <r>
      <t xml:space="preserve">Invaalid Inputs:
</t>
    </r>
    <r>
      <rPr>
        <sz val="11"/>
        <color theme="1"/>
        <rFont val="Calibri"/>
        <family val="2"/>
        <scheme val="minor"/>
      </rPr>
      <t xml:space="preserve">Only spaces
Special characters - </t>
    </r>
    <r>
      <rPr>
        <b/>
        <sz val="11"/>
        <color theme="1"/>
        <rFont val="Calibri"/>
        <family val="2"/>
        <scheme val="minor"/>
      </rPr>
      <t>!@#$^&amp;*()_+</t>
    </r>
    <r>
      <rPr>
        <sz val="11"/>
        <color theme="1"/>
        <rFont val="Calibri"/>
        <family val="2"/>
        <scheme val="minor"/>
      </rPr>
      <t xml:space="preserve">
Alphanumeric with special character - </t>
    </r>
    <r>
      <rPr>
        <b/>
        <sz val="11"/>
        <color theme="1"/>
        <rFont val="Calibri"/>
        <family val="2"/>
        <scheme val="minor"/>
      </rPr>
      <t>ABCD1234:"{}^%%^%&amp;</t>
    </r>
    <r>
      <rPr>
        <sz val="11"/>
        <color theme="1"/>
        <rFont val="Calibri"/>
        <family val="2"/>
        <scheme val="minor"/>
      </rPr>
      <t xml:space="preserve">
</t>
    </r>
    <r>
      <rPr>
        <b/>
        <sz val="11"/>
        <color theme="1"/>
        <rFont val="Calibri"/>
        <family val="2"/>
        <scheme val="minor"/>
      </rPr>
      <t xml:space="preserve">
</t>
    </r>
  </si>
  <si>
    <t>1. The City textbox should not accept invalid inputs.
2. Only alphanumeric values (letters, numbers, spaces) should be allowed.</t>
  </si>
  <si>
    <r>
      <t>1. Functionality is not working as expected.
2. The City textbox is accepting invalid value such as (</t>
    </r>
    <r>
      <rPr>
        <b/>
        <sz val="11"/>
        <color theme="1"/>
        <rFont val="Calibri"/>
        <family val="2"/>
        <scheme val="minor"/>
      </rPr>
      <t>Only space, Special character</t>
    </r>
    <r>
      <rPr>
        <sz val="11"/>
        <color theme="1"/>
        <rFont val="Calibri"/>
        <family val="2"/>
        <scheme val="minor"/>
      </rPr>
      <t>).
3. No validation message is displayed.</t>
    </r>
  </si>
  <si>
    <t>CFS_Master_26</t>
  </si>
  <si>
    <r>
      <t xml:space="preserve">Validate the character length limitation of the </t>
    </r>
    <r>
      <rPr>
        <b/>
        <sz val="11"/>
        <color theme="1"/>
        <rFont val="Calibri"/>
        <family val="2"/>
        <scheme val="minor"/>
      </rPr>
      <t>City</t>
    </r>
    <r>
      <rPr>
        <sz val="11"/>
        <color theme="1"/>
        <rFont val="Calibri"/>
        <family val="2"/>
        <scheme val="minor"/>
      </rPr>
      <t xml:space="preserve"> textbox in the CFS Master Page.</t>
    </r>
  </si>
  <si>
    <t>Address2
Input ≤ 20 characters
Input &gt; 20 characters</t>
  </si>
  <si>
    <t xml:space="preserve">1. As per the use case, the City textbox must not accept more than 20 characters.
</t>
  </si>
  <si>
    <r>
      <t xml:space="preserve">1. Functionality is working as expected.
2. The </t>
    </r>
    <r>
      <rPr>
        <b/>
        <sz val="11"/>
        <color theme="1"/>
        <rFont val="Calibri"/>
        <family val="2"/>
        <scheme val="minor"/>
      </rPr>
      <t>City</t>
    </r>
    <r>
      <rPr>
        <sz val="11"/>
        <color theme="1"/>
        <rFont val="Calibri"/>
        <family val="2"/>
        <scheme val="minor"/>
      </rPr>
      <t xml:space="preserve"> textbox is not accepting more than 20 character value.</t>
    </r>
  </si>
  <si>
    <t>CFS_Master_27</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</si>
  <si>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city textbox, enter  value within 20 characters and more than 20 characters value.</t>
    </r>
  </si>
  <si>
    <r>
      <t xml:space="preserve">Validate the functionality of the </t>
    </r>
    <r>
      <rPr>
        <b/>
        <sz val="11"/>
        <color theme="1"/>
        <rFont val="Calibri"/>
        <family val="2"/>
        <scheme val="minor"/>
      </rPr>
      <t>State</t>
    </r>
    <r>
      <rPr>
        <sz val="11"/>
        <color theme="1"/>
        <rFont val="Calibri"/>
        <family val="2"/>
        <scheme val="minor"/>
      </rPr>
      <t xml:space="preserve"> textbox/dropdown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</si>
  <si>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State dropdown textbox, perform the following checks:
</t>
    </r>
    <r>
      <rPr>
        <b/>
        <sz val="11"/>
        <color theme="1"/>
        <rFont val="Calibri"/>
        <family val="2"/>
        <scheme val="minor"/>
      </rPr>
      <t>Select a valid value from the dropdown.
Deselect or change the selected value using the dropdown.
Attempt to type a value manually in the textbox.</t>
    </r>
  </si>
  <si>
    <t>State -  random text, numbers, special characters etc.</t>
  </si>
  <si>
    <t>1. The State field should not accept any manual typed input.
2. The user should be able to select values only from the dropdown.
2. If the user types any invalid characters or text in the State textbox, the system should clear the entered value automatically,</t>
  </si>
  <si>
    <t xml:space="preserve">1. Functionality is working as expected.
2. The State textbox is accepting values only from the dropdown and does not allow manual typing.
</t>
  </si>
  <si>
    <t>CFS_Master_28</t>
  </si>
  <si>
    <r>
      <t xml:space="preserve">Validate the functionality of the </t>
    </r>
    <r>
      <rPr>
        <b/>
        <sz val="11"/>
        <color theme="1"/>
        <rFont val="Calibri"/>
        <family val="2"/>
        <scheme val="minor"/>
      </rPr>
      <t>Zip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</si>
  <si>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Zip Code textbox, enter valid numeric values and observe system behavior.</t>
    </r>
  </si>
  <si>
    <r>
      <rPr>
        <b/>
        <sz val="11"/>
        <color theme="1"/>
        <rFont val="Calibri"/>
        <family val="2"/>
        <scheme val="minor"/>
      </rPr>
      <t xml:space="preserve">Textbox </t>
    </r>
    <r>
      <rPr>
        <sz val="11"/>
        <color theme="1"/>
        <rFont val="Calibri"/>
        <family val="2"/>
        <scheme val="minor"/>
      </rPr>
      <t xml:space="preserve">- Zip Code
</t>
    </r>
    <r>
      <rPr>
        <b/>
        <sz val="11"/>
        <color theme="1"/>
        <rFont val="Calibri"/>
        <family val="2"/>
        <scheme val="minor"/>
      </rPr>
      <t>Valid Data</t>
    </r>
    <r>
      <rPr>
        <sz val="11"/>
        <color theme="1"/>
        <rFont val="Calibri"/>
        <family val="2"/>
        <scheme val="minor"/>
      </rPr>
      <t xml:space="preserve"> - Any 6 digit numeric value.</t>
    </r>
  </si>
  <si>
    <t>1. The Zip Code textbox should accept only 6-digit numeric values.</t>
  </si>
  <si>
    <t>1. Functionality is working as expected.
2. Zip Code textbox accepts valid 6-digit numeric values.</t>
  </si>
  <si>
    <t>CFS_Master_29</t>
  </si>
  <si>
    <r>
      <t xml:space="preserve">Validate the functionality of the </t>
    </r>
    <r>
      <rPr>
        <b/>
        <sz val="11"/>
        <color theme="1"/>
        <rFont val="Calibri"/>
        <family val="2"/>
        <scheme val="minor"/>
      </rPr>
      <t>Zip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</si>
  <si>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Zip Code textbox, enter invalid numeric values and observe system behavior.</t>
    </r>
  </si>
  <si>
    <t>1. Less than 6 digits
2. More than 6 digits
3. Alphabets Value
4. Alphanumeric Value
5. Special characters
6. Spaces only</t>
  </si>
  <si>
    <r>
      <rPr>
        <b/>
        <sz val="11"/>
        <color theme="1"/>
        <rFont val="Calibri"/>
        <family val="2"/>
        <scheme val="minor"/>
      </rPr>
      <t>Zip Code textbox should not accept invalid data</t>
    </r>
    <r>
      <rPr>
        <sz val="11"/>
        <color theme="1"/>
        <rFont val="Calibri"/>
        <family val="2"/>
        <scheme val="minor"/>
      </rPr>
      <t xml:space="preserve">.
Less or more than 6 digits
Alphabets
Special characters
Spaces
Alphanumeric 
</t>
    </r>
  </si>
  <si>
    <t>CFS_Master_30</t>
  </si>
  <si>
    <r>
      <t xml:space="preserve">Validate the character length limitation of the </t>
    </r>
    <r>
      <rPr>
        <b/>
        <sz val="11"/>
        <color theme="1"/>
        <rFont val="Calibri"/>
        <family val="2"/>
        <scheme val="minor"/>
      </rPr>
      <t>Zip Code</t>
    </r>
    <r>
      <rPr>
        <sz val="11"/>
        <color theme="1"/>
        <rFont val="Calibri"/>
        <family val="2"/>
        <scheme val="minor"/>
      </rPr>
      <t xml:space="preserve"> textbox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</si>
  <si>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Zip Code textbox, enter the 
Numeric input within 6 digits and more than 6 digits and observe the system behaviour.</t>
    </r>
  </si>
  <si>
    <t xml:space="preserve">1. As per the use case, the Zip code textbox must not accept more than 6 Numeric value.
</t>
  </si>
  <si>
    <t>CFS_Master_31</t>
  </si>
  <si>
    <r>
      <t xml:space="preserve">Validate the functionality of the </t>
    </r>
    <r>
      <rPr>
        <b/>
        <sz val="11"/>
        <color theme="1"/>
        <rFont val="Calibri"/>
        <family val="2"/>
        <scheme val="minor"/>
      </rPr>
      <t>Contact</t>
    </r>
    <r>
      <rPr>
        <sz val="11"/>
        <color theme="1"/>
        <rFont val="Calibri"/>
        <family val="2"/>
        <scheme val="minor"/>
      </rPr>
      <t xml:space="preserve"> textbox with valid data in CFS Master Page.</t>
    </r>
  </si>
  <si>
    <r>
      <rPr>
        <b/>
        <sz val="11"/>
        <color theme="1"/>
        <rFont val="Calibri"/>
        <family val="2"/>
        <scheme val="minor"/>
      </rPr>
      <t>Textbox - Zip Code
Value:</t>
    </r>
    <r>
      <rPr>
        <sz val="11"/>
        <color theme="1"/>
        <rFont val="Calibri"/>
        <family val="2"/>
        <scheme val="minor"/>
      </rPr>
      <t xml:space="preserve">
123456 (6 digits)
1234567 (more than 6 digits)</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</si>
  <si>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Contact</t>
    </r>
    <r>
      <rPr>
        <sz val="11"/>
        <color theme="1"/>
        <rFont val="Calibri"/>
        <family val="2"/>
        <scheme val="minor"/>
      </rPr>
      <t xml:space="preserve"> textbox, enter the valid data and observe the system behavior.</t>
    </r>
  </si>
  <si>
    <r>
      <rPr>
        <b/>
        <sz val="11"/>
        <color theme="1"/>
        <rFont val="Calibri"/>
        <family val="2"/>
        <scheme val="minor"/>
      </rPr>
      <t xml:space="preserve">Textbox </t>
    </r>
    <r>
      <rPr>
        <sz val="11"/>
        <color theme="1"/>
        <rFont val="Calibri"/>
        <family val="2"/>
        <scheme val="minor"/>
      </rPr>
      <t xml:space="preserve">- Contact
</t>
    </r>
    <r>
      <rPr>
        <sz val="11"/>
        <color theme="1"/>
        <rFont val="Calibri"/>
        <family val="2"/>
        <scheme val="minor"/>
      </rPr>
      <t xml:space="preserve"> 
Alphabetic: John, Amit
Numeric: 12345, 987654
Alphanumeric: John123, AB1234</t>
    </r>
  </si>
  <si>
    <t>The Contact textbox should accept all valid data:
Alphabetic values
Numeric values
Alphanumeric values</t>
  </si>
  <si>
    <t>CFS_Master_32</t>
  </si>
  <si>
    <r>
      <t xml:space="preserve">Validate the functionality of the </t>
    </r>
    <r>
      <rPr>
        <b/>
        <sz val="11"/>
        <color theme="1"/>
        <rFont val="Calibri"/>
        <family val="2"/>
        <scheme val="minor"/>
      </rPr>
      <t>Contact</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</si>
  <si>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Contact</t>
    </r>
    <r>
      <rPr>
        <sz val="11"/>
        <color theme="1"/>
        <rFont val="Calibri"/>
        <family val="2"/>
        <scheme val="minor"/>
      </rPr>
      <t xml:space="preserve"> textbox, enter the invalid data and observe the system behavior.</t>
    </r>
  </si>
  <si>
    <r>
      <rPr>
        <b/>
        <sz val="11"/>
        <color theme="1"/>
        <rFont val="Calibri"/>
        <family val="2"/>
        <scheme val="minor"/>
      </rPr>
      <t xml:space="preserve">Textbox </t>
    </r>
    <r>
      <rPr>
        <sz val="11"/>
        <color theme="1"/>
        <rFont val="Calibri"/>
        <family val="2"/>
        <scheme val="minor"/>
      </rPr>
      <t xml:space="preserve">- Contact
Only Space
Special Character
Alphanumeric with special character 
</t>
    </r>
  </si>
  <si>
    <t>As per the Use Case, the Contact textbox should not accept invalid data, such as:
Only spaces
Only special characters
Alphanumeric values containing special characters</t>
  </si>
  <si>
    <t>CFS_Master_33</t>
  </si>
  <si>
    <r>
      <rPr>
        <b/>
        <sz val="11"/>
        <color theme="1"/>
        <rFont val="Calibri"/>
        <family val="2"/>
        <scheme val="minor"/>
      </rPr>
      <t xml:space="preserve">Textbox </t>
    </r>
    <r>
      <rPr>
        <sz val="11"/>
        <color theme="1"/>
        <rFont val="Calibri"/>
        <family val="2"/>
        <scheme val="minor"/>
      </rPr>
      <t xml:space="preserve">- Contact
 </t>
    </r>
    <r>
      <rPr>
        <b/>
        <sz val="11"/>
        <color theme="1"/>
        <rFont val="Calibri"/>
        <family val="2"/>
        <scheme val="minor"/>
      </rPr>
      <t>Value</t>
    </r>
    <r>
      <rPr>
        <sz val="11"/>
        <color theme="1"/>
        <rFont val="Calibri"/>
        <family val="2"/>
        <scheme val="minor"/>
      </rPr>
      <t xml:space="preserve"> -  Enter less than and more than 100 character value.
</t>
    </r>
  </si>
  <si>
    <r>
      <t xml:space="preserve">Validate the character length limitation of the </t>
    </r>
    <r>
      <rPr>
        <b/>
        <sz val="11"/>
        <color theme="1"/>
        <rFont val="Calibri"/>
        <family val="2"/>
        <scheme val="minor"/>
      </rPr>
      <t>Contact</t>
    </r>
    <r>
      <rPr>
        <sz val="11"/>
        <color theme="1"/>
        <rFont val="Calibri"/>
        <family val="2"/>
        <scheme val="minor"/>
      </rPr>
      <t xml:space="preserve"> textbox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</si>
  <si>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Contact textbox, enter less than 100 and more than 100 characters and observe.</t>
    </r>
  </si>
  <si>
    <r>
      <rPr>
        <b/>
        <sz val="11"/>
        <color theme="1"/>
        <rFont val="Calibri"/>
        <family val="2"/>
        <scheme val="minor"/>
      </rPr>
      <t>As per the Use Case:</t>
    </r>
    <r>
      <rPr>
        <sz val="11"/>
        <color theme="1"/>
        <rFont val="Calibri"/>
        <family val="2"/>
        <scheme val="minor"/>
      </rPr>
      <t xml:space="preserve">
The Contact textbox should not accept more than 100 characters.
When entering more than 100 characters, it should not be accepted.
</t>
    </r>
  </si>
  <si>
    <t>1. Functionality is not working as expected.
2. The Contact textbox is accepting more than 100 characters.
3. Textbox length limitation is not validated.</t>
  </si>
  <si>
    <t>CFS_Master_34</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</si>
  <si>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Phone textbox, enter values in STD phone number format and observe the system behavior.</t>
    </r>
  </si>
  <si>
    <r>
      <rPr>
        <b/>
        <sz val="11"/>
        <color theme="1"/>
        <rFont val="Calibri"/>
        <family val="2"/>
        <scheme val="minor"/>
      </rPr>
      <t>Textbox - Phone</t>
    </r>
    <r>
      <rPr>
        <sz val="11"/>
        <color theme="1"/>
        <rFont val="Calibri"/>
        <family val="2"/>
        <scheme val="minor"/>
      </rPr>
      <t xml:space="preserve">
 First part: 3-digit numeric (0–9 allowed)
Middle: only one ‘-’ hyphen
Last part: Upto 8 digit numeric (0–9 allowed)
</t>
    </r>
    <r>
      <rPr>
        <b/>
        <sz val="11"/>
        <color theme="1"/>
        <rFont val="Calibri"/>
        <family val="2"/>
        <scheme val="minor"/>
      </rPr>
      <t>Example: 022-123456, 079-654321, 099-12345678 etc.</t>
    </r>
  </si>
  <si>
    <r>
      <t xml:space="preserve">1. The Phone textbox must accept input only in the format:
</t>
    </r>
    <r>
      <rPr>
        <b/>
        <sz val="11"/>
        <color theme="1"/>
        <rFont val="Calibri"/>
        <family val="2"/>
        <scheme val="minor"/>
      </rPr>
      <t>3 digits + hyphen (-) + Upto 8 digits(022-123456)</t>
    </r>
    <r>
      <rPr>
        <sz val="11"/>
        <color theme="1"/>
        <rFont val="Calibri"/>
        <family val="2"/>
        <scheme val="minor"/>
      </rPr>
      <t xml:space="preserve">
2. The first 3 digits should accept 0–9.
3. The last Upto 8 digits should accept 0–9.
The textbox must not accept alphabetic, special characters (</t>
    </r>
    <r>
      <rPr>
        <b/>
        <sz val="11"/>
        <color theme="1"/>
        <rFont val="Calibri"/>
        <family val="2"/>
        <scheme val="minor"/>
      </rPr>
      <t>except hyphen</t>
    </r>
    <r>
      <rPr>
        <sz val="11"/>
        <color theme="1"/>
        <rFont val="Calibri"/>
        <family val="2"/>
        <scheme val="minor"/>
      </rPr>
      <t>), spaces, or wrong formats.
Only one hyphen should be allowed, and strictly at the 4th position.</t>
    </r>
  </si>
  <si>
    <t>1. Functionality is not working as expected.
2. It is not accepting valid data format.</t>
  </si>
  <si>
    <t>It is accepting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</si>
  <si>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invalid Phone and click the Add button.</t>
    </r>
  </si>
  <si>
    <t>CFS_Master_35</t>
  </si>
  <si>
    <r>
      <t xml:space="preserve">Validate the functionality of the </t>
    </r>
    <r>
      <rPr>
        <b/>
        <sz val="11"/>
        <color theme="1"/>
        <rFont val="Calibri"/>
        <family val="2"/>
        <scheme val="minor"/>
      </rPr>
      <t>Phone</t>
    </r>
    <r>
      <rPr>
        <sz val="11"/>
        <color theme="1"/>
        <rFont val="Calibri"/>
        <family val="2"/>
        <scheme val="minor"/>
      </rPr>
      <t xml:space="preserve"> textbox  in CFS Master Page.</t>
    </r>
  </si>
  <si>
    <r>
      <t xml:space="preserve">Validate the functionality of the </t>
    </r>
    <r>
      <rPr>
        <b/>
        <sz val="11"/>
        <color theme="1"/>
        <rFont val="Calibri"/>
        <family val="2"/>
        <scheme val="minor"/>
      </rPr>
      <t>Phone</t>
    </r>
    <r>
      <rPr>
        <sz val="11"/>
        <color theme="1"/>
        <rFont val="Calibri"/>
        <family val="2"/>
        <scheme val="minor"/>
      </rPr>
      <t xml:space="preserve"> textbox limitation in CFS Master Page.</t>
    </r>
  </si>
  <si>
    <r>
      <rPr>
        <b/>
        <sz val="11"/>
        <color theme="1"/>
        <rFont val="Calibri"/>
        <family val="2"/>
        <scheme val="minor"/>
      </rPr>
      <t>Textbox - Phone</t>
    </r>
    <r>
      <rPr>
        <sz val="11"/>
        <color theme="1"/>
        <rFont val="Calibri"/>
        <family val="2"/>
        <scheme val="minor"/>
      </rPr>
      <t xml:space="preserve">
Test Data - Less than 12 and more than 12 value.</t>
    </r>
  </si>
  <si>
    <t>1. The Phone textbox limitation should be 12 value.</t>
  </si>
  <si>
    <t>1. Functionality is not working as expected.
2. It is not accepting valid data format. It is accepting all special character, space, alphabetic value.</t>
  </si>
  <si>
    <t>textbox limitation not defined, it is accepting more than 12 degit value.</t>
  </si>
  <si>
    <r>
      <t xml:space="preserve">1. The FAX textbox should accept only valid numeric inputs, and valid formatting if applicable.
2. It should reject alphabets, special characters (unless s like hyphen or space ) and blank or only space values.
3. The system should display an appropriate validation message or error pop-up for invalid inputs, such as:
</t>
    </r>
    <r>
      <rPr>
        <b/>
        <sz val="11"/>
        <color theme="1"/>
        <rFont val="Calibri"/>
        <family val="2"/>
        <scheme val="minor"/>
      </rPr>
      <t>“Please enter a valid Fax Number.”</t>
    </r>
    <r>
      <rPr>
        <sz val="11"/>
        <color theme="1"/>
        <rFont val="Calibri"/>
        <family val="2"/>
        <scheme val="minor"/>
      </rPr>
      <t xml:space="preserve">
</t>
    </r>
  </si>
  <si>
    <r>
      <t xml:space="preserve">Validate the functionality of the </t>
    </r>
    <r>
      <rPr>
        <b/>
        <sz val="11"/>
        <color theme="1"/>
        <rFont val="Calibri"/>
        <family val="2"/>
        <scheme val="minor"/>
      </rPr>
      <t xml:space="preserve">Fax </t>
    </r>
    <r>
      <rPr>
        <sz val="11"/>
        <color theme="1"/>
        <rFont val="Calibri"/>
        <family val="2"/>
        <scheme val="minor"/>
      </rPr>
      <t xml:space="preserve"> textbox in CFS Master Page.</t>
    </r>
  </si>
  <si>
    <t>CFS_Master_36</t>
  </si>
  <si>
    <t>CFS_Master_37</t>
  </si>
  <si>
    <r>
      <t xml:space="preserve">Validate the functionality of the </t>
    </r>
    <r>
      <rPr>
        <b/>
        <sz val="11"/>
        <color theme="1"/>
        <rFont val="Calibri"/>
        <family val="2"/>
        <scheme val="minor"/>
      </rPr>
      <t xml:space="preserve">Fax </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</si>
  <si>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Fax  textbox, enter values and observe the system behavior.</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</si>
  <si>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Phone textbox, enter values and observe the system behavior.</t>
    </r>
  </si>
  <si>
    <t>CFS_Master_38</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</si>
  <si>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Email  textbox, enter valid email id and observe the system behaviour.</t>
    </r>
  </si>
  <si>
    <t xml:space="preserve">1. The Email textbox should accept valid email addresses in standard format.
2. It should allow alphabets, numbers, dots (.), underscores (_), hyphens (-), and plus (+) signs in the appropriate places.
3. Domain names with multiple parts (e.g., .co.in, .org) should be accepted.
</t>
  </si>
  <si>
    <t>CFS_Master_39</t>
  </si>
  <si>
    <t>Validate the functionality of the Email textbox with invalid data in CFS Master Page.</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</si>
  <si>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Email  textbox, enter invalid email id format and observe the system behaviour.</t>
    </r>
  </si>
  <si>
    <r>
      <t xml:space="preserve">1. Missing @ symbol: </t>
    </r>
    <r>
      <rPr>
        <b/>
        <sz val="11"/>
        <color theme="1"/>
        <rFont val="Calibri"/>
        <family val="2"/>
        <scheme val="minor"/>
      </rPr>
      <t>username.domain.com</t>
    </r>
    <r>
      <rPr>
        <sz val="11"/>
        <color theme="1"/>
        <rFont val="Calibri"/>
        <family val="2"/>
        <scheme val="minor"/>
      </rPr>
      <t xml:space="preserve">
2. Missing domain: </t>
    </r>
    <r>
      <rPr>
        <b/>
        <sz val="11"/>
        <color theme="1"/>
        <rFont val="Calibri"/>
        <family val="2"/>
        <scheme val="minor"/>
      </rPr>
      <t>user@</t>
    </r>
    <r>
      <rPr>
        <sz val="11"/>
        <color theme="1"/>
        <rFont val="Calibri"/>
        <family val="2"/>
        <scheme val="minor"/>
      </rPr>
      <t xml:space="preserve">
3. Missing local part: </t>
    </r>
    <r>
      <rPr>
        <b/>
        <sz val="11"/>
        <color theme="1"/>
        <rFont val="Calibri"/>
        <family val="2"/>
        <scheme val="minor"/>
      </rPr>
      <t>@domain.com</t>
    </r>
    <r>
      <rPr>
        <sz val="11"/>
        <color theme="1"/>
        <rFont val="Calibri"/>
        <family val="2"/>
        <scheme val="minor"/>
      </rPr>
      <t xml:space="preserve">
4. Multiple @ symbols: </t>
    </r>
    <r>
      <rPr>
        <b/>
        <sz val="11"/>
        <color theme="1"/>
        <rFont val="Calibri"/>
        <family val="2"/>
        <scheme val="minor"/>
      </rPr>
      <t>user@@domain.com</t>
    </r>
    <r>
      <rPr>
        <sz val="11"/>
        <color theme="1"/>
        <rFont val="Calibri"/>
        <family val="2"/>
        <scheme val="minor"/>
      </rPr>
      <t xml:space="preserve">
5. Spaces included:</t>
    </r>
    <r>
      <rPr>
        <b/>
        <sz val="11"/>
        <color theme="1"/>
        <rFont val="Calibri"/>
        <family val="2"/>
        <scheme val="minor"/>
      </rPr>
      <t xml:space="preserve"> 
user name@domain.com</t>
    </r>
    <r>
      <rPr>
        <sz val="11"/>
        <color theme="1"/>
        <rFont val="Calibri"/>
        <family val="2"/>
        <scheme val="minor"/>
      </rPr>
      <t xml:space="preserve">
6. Special characters not allowed: </t>
    </r>
    <r>
      <rPr>
        <b/>
        <sz val="11"/>
        <color theme="1"/>
        <rFont val="Calibri"/>
        <family val="2"/>
        <scheme val="minor"/>
      </rPr>
      <t>user!#%&amp;*domain.com</t>
    </r>
    <r>
      <rPr>
        <sz val="11"/>
        <color theme="1"/>
        <rFont val="Calibri"/>
        <family val="2"/>
        <scheme val="minor"/>
      </rPr>
      <t xml:space="preserve">
7. Consecutive dots in local part: </t>
    </r>
    <r>
      <rPr>
        <b/>
        <sz val="11"/>
        <color theme="1"/>
        <rFont val="Calibri"/>
        <family val="2"/>
        <scheme val="minor"/>
      </rPr>
      <t>user..name@domain.com</t>
    </r>
    <r>
      <rPr>
        <sz val="11"/>
        <color theme="1"/>
        <rFont val="Calibri"/>
        <family val="2"/>
        <scheme val="minor"/>
      </rPr>
      <t xml:space="preserve">
</t>
    </r>
  </si>
  <si>
    <r>
      <t xml:space="preserve">1. The Email textbox should not accept invalid email addresses.
2. For each invalid input, a validation message or error pop-up should be displayed, e.g.,
</t>
    </r>
    <r>
      <rPr>
        <b/>
        <sz val="11"/>
        <color theme="1"/>
        <rFont val="Calibri"/>
        <family val="2"/>
        <scheme val="minor"/>
      </rPr>
      <t>“Please enter a valid Email Address.”</t>
    </r>
    <r>
      <rPr>
        <sz val="11"/>
        <color theme="1"/>
        <rFont val="Calibri"/>
        <family val="2"/>
        <scheme val="minor"/>
      </rPr>
      <t xml:space="preserve">
3. The textbox should not allow spaces or invalid special characters in the email.
5. The system should prevent submission of invalid email addresses.</t>
    </r>
  </si>
  <si>
    <t xml:space="preserve">1. The Email textbox is accepting invalid email formats.
2. No validation message or error pop-up is displayed for invalid email IDs.
Reference - Add Validation as per Bank BRO Page Email textbox.
</t>
  </si>
  <si>
    <t>CFS_Master_40</t>
  </si>
  <si>
    <r>
      <t xml:space="preserve">Validate the functionality of the </t>
    </r>
    <r>
      <rPr>
        <b/>
        <sz val="11"/>
        <color theme="1"/>
        <rFont val="Calibri"/>
        <family val="2"/>
        <scheme val="minor"/>
      </rPr>
      <t>Email</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</si>
  <si>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Email  textbox, enter valid email id format and observe the system behaviour.</t>
    </r>
  </si>
  <si>
    <r>
      <rPr>
        <b/>
        <sz val="11"/>
        <color theme="1"/>
        <rFont val="Calibri"/>
        <family val="2"/>
        <scheme val="minor"/>
      </rPr>
      <t>Textbox - Email</t>
    </r>
    <r>
      <rPr>
        <sz val="11"/>
        <color theme="1"/>
        <rFont val="Calibri"/>
        <family val="2"/>
        <scheme val="minor"/>
      </rPr>
      <t xml:space="preserve">
Test Data - Less than 100 and more than 100  character.</t>
    </r>
  </si>
  <si>
    <t>CFS_Master_41</t>
  </si>
  <si>
    <r>
      <t xml:space="preserve">Validate the functionality of the </t>
    </r>
    <r>
      <rPr>
        <b/>
        <sz val="11"/>
        <color theme="1"/>
        <rFont val="Calibri"/>
        <family val="2"/>
        <scheme val="minor"/>
      </rPr>
      <t>PAN</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</si>
  <si>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PAN</t>
    </r>
    <r>
      <rPr>
        <sz val="11"/>
        <color theme="1"/>
        <rFont val="Calibri"/>
        <family val="2"/>
        <scheme val="minor"/>
      </rPr>
      <t xml:space="preserve"> textbox, enter valid </t>
    </r>
    <r>
      <rPr>
        <b/>
        <sz val="11"/>
        <color theme="1"/>
        <rFont val="Calibri"/>
        <family val="2"/>
        <scheme val="minor"/>
      </rPr>
      <t>PAN</t>
    </r>
    <r>
      <rPr>
        <sz val="11"/>
        <color theme="1"/>
        <rFont val="Calibri"/>
        <family val="2"/>
        <scheme val="minor"/>
      </rPr>
      <t xml:space="preserve"> format and observe the system behaviour.</t>
    </r>
  </si>
  <si>
    <r>
      <rPr>
        <b/>
        <sz val="11"/>
        <color theme="1"/>
        <rFont val="Calibri"/>
        <family val="2"/>
        <scheme val="minor"/>
      </rPr>
      <t>Testbox - PAN
Test Data:</t>
    </r>
    <r>
      <rPr>
        <sz val="11"/>
        <color theme="1"/>
        <rFont val="Calibri"/>
        <family val="2"/>
        <scheme val="minor"/>
      </rPr>
      <t xml:space="preserve">
First 5 characters - Alphabets (A–Z, Upper Case)
Next 4 characters  - Digits (0–9)
Last 1 character  - Alphabet (A–Z, Upper Case)
Example: </t>
    </r>
    <r>
      <rPr>
        <b/>
        <sz val="11"/>
        <color theme="1"/>
        <rFont val="Calibri"/>
        <family val="2"/>
        <scheme val="minor"/>
      </rPr>
      <t>ABCDE1234F, AAATS1234A etc.</t>
    </r>
  </si>
  <si>
    <r>
      <t xml:space="preserve">1. The PAN textbox should accept only values in the correct PAN format:
</t>
    </r>
    <r>
      <rPr>
        <b/>
        <sz val="11"/>
        <color theme="1"/>
        <rFont val="Calibri"/>
        <family val="2"/>
        <scheme val="minor"/>
      </rPr>
      <t>5 letters + 4 digits + 1 letter</t>
    </r>
    <r>
      <rPr>
        <sz val="11"/>
        <color theme="1"/>
        <rFont val="Calibri"/>
        <family val="2"/>
        <scheme val="minor"/>
      </rPr>
      <t xml:space="preserve">
2. The system should allow saving the record with valid PAN values.</t>
    </r>
  </si>
  <si>
    <t>1. Functionality is working as expected.
2. PAN textbox is accepting valid PAN data as per the required pattern.</t>
  </si>
  <si>
    <t>CFS_Master_42</t>
  </si>
  <si>
    <r>
      <t xml:space="preserve">Validate the functionality of the </t>
    </r>
    <r>
      <rPr>
        <b/>
        <sz val="11"/>
        <color theme="1"/>
        <rFont val="Calibri"/>
        <family val="2"/>
        <scheme val="minor"/>
      </rPr>
      <t>PAN</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</si>
  <si>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PAN</t>
    </r>
    <r>
      <rPr>
        <sz val="11"/>
        <color theme="1"/>
        <rFont val="Calibri"/>
        <family val="2"/>
        <scheme val="minor"/>
      </rPr>
      <t xml:space="preserve"> textbox, enter invalid </t>
    </r>
    <r>
      <rPr>
        <b/>
        <sz val="11"/>
        <color theme="1"/>
        <rFont val="Calibri"/>
        <family val="2"/>
        <scheme val="minor"/>
      </rPr>
      <t>PAN</t>
    </r>
    <r>
      <rPr>
        <sz val="11"/>
        <color theme="1"/>
        <rFont val="Calibri"/>
        <family val="2"/>
        <scheme val="minor"/>
      </rPr>
      <t xml:space="preserve"> format and observe the system behaviour.</t>
    </r>
  </si>
  <si>
    <t>Test Data:
1. Less than 10 characters - ABC12F
2. More than 10 characters - ABCDE1234FGH
3. Missing alphabet prefix
 - 123451234F
4. Missing numeric block
 - ABCDEABCDZ
5. Last character not alphabet - ABCDE12345
6. Lowercase letters - abcde1234f
7. Special characters included - AB@DE12#4F
8. Spaces included - ABCD 1234F
9. Alphanumeric pattern incorrect - A1CDE12F4Z
10. All alphabets - ABCDEFGHIJ
11. All numbers - 1234567890
12. Only Space
13. Only Special character</t>
  </si>
  <si>
    <r>
      <t xml:space="preserve">1. The PAN textbox should not accept any PAN value that does not match the valid format:
5 letters + 4 digits + 1 letter (All uppercase)
2. When the user enters an invalid PAN value,
Display an appropriate validation message, e.g.:
</t>
    </r>
    <r>
      <rPr>
        <b/>
        <sz val="11"/>
        <color theme="1"/>
        <rFont val="Calibri"/>
        <family val="2"/>
        <scheme val="minor"/>
      </rPr>
      <t>“Please enter a valid PAN Number.”</t>
    </r>
    <r>
      <rPr>
        <sz val="11"/>
        <color theme="1"/>
        <rFont val="Calibri"/>
        <family val="2"/>
        <scheme val="minor"/>
      </rPr>
      <t xml:space="preserve">
</t>
    </r>
  </si>
  <si>
    <t xml:space="preserve">1. The PAN textbox is accepting invalid PAN formats.
</t>
  </si>
  <si>
    <r>
      <t xml:space="preserve">Validate the functionality of the </t>
    </r>
    <r>
      <rPr>
        <b/>
        <sz val="11"/>
        <color theme="1"/>
        <rFont val="Calibri"/>
        <family val="2"/>
        <scheme val="minor"/>
      </rPr>
      <t>PAN</t>
    </r>
    <r>
      <rPr>
        <sz val="11"/>
        <color theme="1"/>
        <rFont val="Calibri"/>
        <family val="2"/>
        <scheme val="minor"/>
      </rPr>
      <t xml:space="preserve"> textbox limitation in CFS Master Page.</t>
    </r>
  </si>
  <si>
    <t>Testbox - PAN
Testing Data: ABCDE1234F, AAATS1234A etc.</t>
  </si>
  <si>
    <t>1. PAN textbox mus accpet 10 Degit.
2. It should not accept less than 10 and more than character.</t>
  </si>
  <si>
    <t>1. PAN textbox limitation not added properly.
2. It is accpeting less than 10 and more than 10 character value.</t>
  </si>
  <si>
    <t>CFS_Master_43</t>
  </si>
  <si>
    <t>CFS_Master_44</t>
  </si>
  <si>
    <r>
      <t xml:space="preserve">Validate the functionality of the </t>
    </r>
    <r>
      <rPr>
        <b/>
        <sz val="11"/>
        <color theme="1"/>
        <rFont val="Calibri"/>
        <family val="2"/>
        <scheme val="minor"/>
      </rPr>
      <t>EDI Group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</si>
  <si>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EDI Group Code</t>
    </r>
    <r>
      <rPr>
        <sz val="11"/>
        <color theme="1"/>
        <rFont val="Calibri"/>
        <family val="2"/>
        <scheme val="minor"/>
      </rPr>
      <t xml:space="preserve"> textbox, enter valid data and observe the system behaviour.</t>
    </r>
  </si>
  <si>
    <r>
      <t xml:space="preserve">Testbox - EDI Group Code
Test Data - Alphanumeric value.
Example: </t>
    </r>
    <r>
      <rPr>
        <b/>
        <sz val="11"/>
        <color theme="1"/>
        <rFont val="Calibri"/>
        <family val="2"/>
        <scheme val="minor"/>
      </rPr>
      <t xml:space="preserve">EDI123, GRP01A, EDIGRP9 </t>
    </r>
    <r>
      <rPr>
        <sz val="11"/>
        <color theme="1"/>
        <rFont val="Calibri"/>
        <family val="2"/>
        <scheme val="minor"/>
      </rPr>
      <t>etc.</t>
    </r>
  </si>
  <si>
    <t>As Per the Use Case, The system should accept only alphanumeric values in the EDI Group Code textbox.</t>
  </si>
  <si>
    <r>
      <t xml:space="preserve">1. Functionality is working as expected.
2. </t>
    </r>
    <r>
      <rPr>
        <b/>
        <sz val="11"/>
        <color theme="1"/>
        <rFont val="Calibri"/>
        <family val="2"/>
        <scheme val="minor"/>
      </rPr>
      <t>EDI Group Code</t>
    </r>
    <r>
      <rPr>
        <sz val="11"/>
        <color theme="1"/>
        <rFont val="Calibri"/>
        <family val="2"/>
        <scheme val="minor"/>
      </rPr>
      <t xml:space="preserve"> textbox is accepting valid  data as per the required pattern.</t>
    </r>
  </si>
  <si>
    <t>CFS_Master_45</t>
  </si>
  <si>
    <r>
      <t xml:space="preserve">Validate the functionality of the </t>
    </r>
    <r>
      <rPr>
        <b/>
        <sz val="11"/>
        <color theme="1"/>
        <rFont val="Calibri"/>
        <family val="2"/>
        <scheme val="minor"/>
      </rPr>
      <t>EDI Group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</si>
  <si>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EDI Group Code</t>
    </r>
    <r>
      <rPr>
        <sz val="11"/>
        <color theme="1"/>
        <rFont val="Calibri"/>
        <family val="2"/>
        <scheme val="minor"/>
      </rPr>
      <t xml:space="preserve"> textbox, enter invalid data and observe the system behaviour.</t>
    </r>
  </si>
  <si>
    <t xml:space="preserve">Testbox - EDI Group Code
Test Data - 
Only Space
Special character
Alphanumeric + Special Characters
</t>
  </si>
  <si>
    <t>CFS_Master_46</t>
  </si>
  <si>
    <r>
      <t xml:space="preserve">Validate the functionality of the </t>
    </r>
    <r>
      <rPr>
        <b/>
        <sz val="11"/>
        <color theme="1"/>
        <rFont val="Calibri"/>
        <family val="2"/>
        <scheme val="minor"/>
      </rPr>
      <t xml:space="preserve">EDI Group Code </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</si>
  <si>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EDI Group Code textbox, enter invalid data and observe the system behaviour.</t>
    </r>
  </si>
  <si>
    <r>
      <t xml:space="preserve">Currently, the Branch Name field is accepting all invalid data special characters, and spaces. It should not be accepted. 
This textbox will accept only Alphanumeric value (50L). (As per use case)
As Per latest discussion (Branch name will be mandatory, If
If the user enters any value in any textbox within the Address Section, then Branch Name becomes a mandatory field.
B. If the user does not enter anything in all fields of the Address Section, then Branch Name is not mandatory.
</t>
    </r>
    <r>
      <rPr>
        <b/>
        <sz val="11"/>
        <color theme="1"/>
        <rFont val="Calibri"/>
        <family val="2"/>
        <scheme val="minor"/>
      </rPr>
      <t>Note: As per the Use Case, Branch Name field limitation should be 50 characters but currently is it accepting 100 characters.</t>
    </r>
  </si>
  <si>
    <t>BA-152</t>
  </si>
  <si>
    <t>BA-153</t>
  </si>
  <si>
    <t xml:space="preserve">The Name textbox must not accept invalid values such as:
Space-only input
Special characters only
Combination of character (Alphabets, numeric and special character )
</t>
  </si>
  <si>
    <r>
      <t xml:space="preserve">Validate the functionality of the </t>
    </r>
    <r>
      <rPr>
        <b/>
        <sz val="11"/>
        <color theme="1"/>
        <rFont val="Calibri"/>
        <family val="2"/>
        <scheme val="minor"/>
      </rPr>
      <t>Name</t>
    </r>
    <r>
      <rPr>
        <sz val="11"/>
        <color theme="1"/>
        <rFont val="Calibri"/>
        <family val="2"/>
        <scheme val="minor"/>
      </rPr>
      <t xml:space="preserve"> textbox with invalid data (Space-only &amp; Special Characters)</t>
    </r>
  </si>
  <si>
    <t>BA-154</t>
  </si>
  <si>
    <t>BA-155</t>
  </si>
  <si>
    <t>BA-156</t>
  </si>
  <si>
    <t>BA-157</t>
  </si>
  <si>
    <r>
      <t xml:space="preserve">1. Functionality is not working as expected.
2. </t>
    </r>
    <r>
      <rPr>
        <b/>
        <sz val="11"/>
        <color theme="1"/>
        <rFont val="Calibri"/>
        <family val="2"/>
        <scheme val="minor"/>
      </rPr>
      <t>The Zip Code textbox is accepting less than 6 and more than 6 digits and single dot(.).</t>
    </r>
  </si>
  <si>
    <t>1. Functionality is not working as expected.
2. The Zip Code textbox is accepting less than 6 and more than 6 digits and single dot(.).</t>
  </si>
  <si>
    <t>BA-158</t>
  </si>
  <si>
    <t>BA-159</t>
  </si>
  <si>
    <t>BA-160</t>
  </si>
  <si>
    <t>BA-161</t>
  </si>
  <si>
    <t>1. The Email textbox limitation should be 35 character (As per latest changes).</t>
  </si>
  <si>
    <t>1. Functionality is working as expected.
2. Is is accepting more than 35 character value.</t>
  </si>
  <si>
    <t>BA-162</t>
  </si>
  <si>
    <t>BA-163</t>
  </si>
  <si>
    <t>BA-164</t>
  </si>
  <si>
    <t>BA-165</t>
  </si>
  <si>
    <r>
      <t xml:space="preserve">Testbox - </t>
    </r>
    <r>
      <rPr>
        <b/>
        <sz val="11"/>
        <color theme="1"/>
        <rFont val="Calibri"/>
        <family val="2"/>
        <scheme val="minor"/>
      </rPr>
      <t xml:space="preserve">EDI Group Code
</t>
    </r>
    <r>
      <rPr>
        <sz val="11"/>
        <color theme="1"/>
        <rFont val="Calibri"/>
        <family val="2"/>
        <scheme val="minor"/>
      </rPr>
      <t>Testing Data: Less than 100 and More than 100 Alphanumeric Value.</t>
    </r>
  </si>
  <si>
    <t>1. EDI Group Code textbox limitation not added properly.
2. It is accepting more than 100 characters.</t>
  </si>
  <si>
    <t>BA-166</t>
  </si>
  <si>
    <t>CFS_Master_47</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</si>
  <si>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Bond Value textbox, enter valid data and observe the system behaviour.</t>
    </r>
  </si>
  <si>
    <t>As Per the Use Case, The system should accept only alphanumeric values in the Bona Value textbox.</t>
  </si>
  <si>
    <t>1. Functionality is working as expected.
2. Bond Value textbox is accepting valid data as per the required pattern.</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</si>
  <si>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Bond Value</t>
    </r>
    <r>
      <rPr>
        <sz val="11"/>
        <color theme="1"/>
        <rFont val="Calibri"/>
        <family val="2"/>
        <scheme val="minor"/>
      </rPr>
      <t xml:space="preserve"> textbox, enter invalid data and observe the system behaviour.</t>
    </r>
  </si>
  <si>
    <r>
      <rPr>
        <b/>
        <sz val="11"/>
        <color theme="1"/>
        <rFont val="Calibri"/>
        <family val="2"/>
        <scheme val="minor"/>
      </rPr>
      <t>Testbox - Bond Value</t>
    </r>
    <r>
      <rPr>
        <sz val="11"/>
        <color theme="1"/>
        <rFont val="Calibri"/>
        <family val="2"/>
        <scheme val="minor"/>
      </rPr>
      <t xml:space="preserve">
</t>
    </r>
    <r>
      <rPr>
        <b/>
        <sz val="11"/>
        <color theme="1"/>
        <rFont val="Calibri"/>
        <family val="2"/>
        <scheme val="minor"/>
      </rPr>
      <t xml:space="preserve">Test Data - </t>
    </r>
    <r>
      <rPr>
        <sz val="11"/>
        <color theme="1"/>
        <rFont val="Calibri"/>
        <family val="2"/>
        <scheme val="minor"/>
      </rPr>
      <t xml:space="preserve">
Only Space
Special character
Alphanumeric + Special Characters
</t>
    </r>
  </si>
  <si>
    <t>CFS_Master_48</t>
  </si>
  <si>
    <t>CFS_Master_49</t>
  </si>
  <si>
    <r>
      <t xml:space="preserve">Validate the functionality of the </t>
    </r>
    <r>
      <rPr>
        <b/>
        <sz val="11"/>
        <color theme="1"/>
        <rFont val="Calibri"/>
        <family val="2"/>
        <scheme val="minor"/>
      </rPr>
      <t>Bond Value</t>
    </r>
    <r>
      <rPr>
        <sz val="11"/>
        <color theme="1"/>
        <rFont val="Calibri"/>
        <family val="2"/>
        <scheme val="minor"/>
      </rPr>
      <t xml:space="preserve"> textbox with valid data in CFS Master Page.</t>
    </r>
  </si>
  <si>
    <r>
      <t xml:space="preserve">Validate the functionality of the </t>
    </r>
    <r>
      <rPr>
        <b/>
        <sz val="11"/>
        <color theme="1"/>
        <rFont val="Calibri"/>
        <family val="2"/>
        <scheme val="minor"/>
      </rPr>
      <t>Bond Value</t>
    </r>
    <r>
      <rPr>
        <sz val="11"/>
        <color theme="1"/>
        <rFont val="Calibri"/>
        <family val="2"/>
        <scheme val="minor"/>
      </rPr>
      <t xml:space="preserve"> textbox with invalid data in CFS Master Page.</t>
    </r>
  </si>
  <si>
    <r>
      <t xml:space="preserve">Validate the functionality of the </t>
    </r>
    <r>
      <rPr>
        <b/>
        <sz val="11"/>
        <color theme="1"/>
        <rFont val="Calibri"/>
        <family val="2"/>
        <scheme val="minor"/>
      </rPr>
      <t>Bond Value</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</si>
  <si>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Bond Value textbox, enter invalid data and observe the system behaviour.</t>
    </r>
  </si>
  <si>
    <r>
      <t xml:space="preserve">Testbox - </t>
    </r>
    <r>
      <rPr>
        <b/>
        <sz val="11"/>
        <color theme="1"/>
        <rFont val="Calibri"/>
        <family val="2"/>
        <scheme val="minor"/>
      </rPr>
      <t xml:space="preserve">Bond Value
</t>
    </r>
    <r>
      <rPr>
        <sz val="11"/>
        <color theme="1"/>
        <rFont val="Calibri"/>
        <family val="2"/>
        <scheme val="minor"/>
      </rPr>
      <t>Testing Data: Less than 100 and More than 100 Alphanumeric Value.</t>
    </r>
  </si>
  <si>
    <t>As per the Case, EDI Group Code  textbox must accept 100  alphanumeric character. 
2. It should not accept more than 100 character.</t>
  </si>
  <si>
    <t>As per the Use Case, Bond Value textbox must accept 100  alphanumeric character. 
2. It should not accept more than 100 character value.</t>
  </si>
  <si>
    <r>
      <t xml:space="preserve">1. </t>
    </r>
    <r>
      <rPr>
        <b/>
        <sz val="11"/>
        <color theme="1"/>
        <rFont val="Calibri"/>
        <family val="2"/>
        <scheme val="minor"/>
      </rPr>
      <t>Bond Value</t>
    </r>
    <r>
      <rPr>
        <sz val="11"/>
        <color theme="1"/>
        <rFont val="Calibri"/>
        <family val="2"/>
        <scheme val="minor"/>
      </rPr>
      <t xml:space="preserve"> textbox limitation not added properly.
2. It is accepting more than 100 characters value.</t>
    </r>
  </si>
  <si>
    <t>CFS_Master_50</t>
  </si>
  <si>
    <r>
      <t xml:space="preserve">Validate the functionality of the </t>
    </r>
    <r>
      <rPr>
        <b/>
        <sz val="11"/>
        <color theme="1"/>
        <rFont val="Calibri"/>
        <family val="2"/>
        <scheme val="minor"/>
      </rPr>
      <t>Rail Transhipper Bond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</si>
  <si>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Rail Transhipper Bond Code</t>
    </r>
    <r>
      <rPr>
        <sz val="11"/>
        <color theme="1"/>
        <rFont val="Calibri"/>
        <family val="2"/>
        <scheme val="minor"/>
      </rPr>
      <t xml:space="preserve"> textbox, enter valid data and observe the system behaviour.</t>
    </r>
  </si>
  <si>
    <r>
      <t xml:space="preserve">As Per the Use Case, The system should accept only alphanumeric values in the </t>
    </r>
    <r>
      <rPr>
        <b/>
        <sz val="11"/>
        <color theme="1"/>
        <rFont val="Calibri"/>
        <family val="2"/>
        <scheme val="minor"/>
      </rPr>
      <t>Rail Transhipper Bond Code</t>
    </r>
    <r>
      <rPr>
        <sz val="11"/>
        <color theme="1"/>
        <rFont val="Calibri"/>
        <family val="2"/>
        <scheme val="minor"/>
      </rPr>
      <t xml:space="preserve"> textbox.</t>
    </r>
  </si>
  <si>
    <r>
      <t xml:space="preserve">1. Functionality is working as expected.
2. </t>
    </r>
    <r>
      <rPr>
        <b/>
        <sz val="11"/>
        <color theme="1"/>
        <rFont val="Calibri"/>
        <family val="2"/>
        <scheme val="minor"/>
      </rPr>
      <t>Rail Transhipper Bond Code</t>
    </r>
    <r>
      <rPr>
        <sz val="11"/>
        <color theme="1"/>
        <rFont val="Calibri"/>
        <family val="2"/>
        <scheme val="minor"/>
      </rPr>
      <t xml:space="preserve"> textbox is accepting valid data as per the required pattern.</t>
    </r>
  </si>
  <si>
    <r>
      <t xml:space="preserve">Validate the functionality of the </t>
    </r>
    <r>
      <rPr>
        <b/>
        <sz val="11"/>
        <color theme="1"/>
        <rFont val="Calibri"/>
        <family val="2"/>
        <scheme val="minor"/>
      </rPr>
      <t>Rail Transhipper Bond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</si>
  <si>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Rail Transhipper Bond Code</t>
    </r>
    <r>
      <rPr>
        <sz val="11"/>
        <color theme="1"/>
        <rFont val="Calibri"/>
        <family val="2"/>
        <scheme val="minor"/>
      </rPr>
      <t xml:space="preserve"> textbox, enter invalid data format and observe the system behaviour.</t>
    </r>
  </si>
  <si>
    <r>
      <t xml:space="preserve">1. Functionality is not working as expected.
2. The </t>
    </r>
    <r>
      <rPr>
        <b/>
        <sz val="11"/>
        <color theme="1"/>
        <rFont val="Calibri"/>
        <family val="2"/>
        <scheme val="minor"/>
      </rPr>
      <t>Rail Transhipper Bond Code</t>
    </r>
    <r>
      <rPr>
        <sz val="11"/>
        <color theme="1"/>
        <rFont val="Calibri"/>
        <family val="2"/>
        <scheme val="minor"/>
      </rPr>
      <t xml:space="preserve"> textbox is accepting invalid data, including:
Only spaces
Only special characters
Combination of alphabets + special characters + numeric values</t>
    </r>
  </si>
  <si>
    <t>CFS_Master_52</t>
  </si>
  <si>
    <t>CFS_Master_51</t>
  </si>
  <si>
    <r>
      <t xml:space="preserve">Validate the functionality of the </t>
    </r>
    <r>
      <rPr>
        <b/>
        <sz val="11"/>
        <color theme="1"/>
        <rFont val="Calibri"/>
        <family val="2"/>
        <scheme val="minor"/>
      </rPr>
      <t>Rail Transhipper Bond Code</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</si>
  <si>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In the Rail Transhipper Bond Code textbox, enter valid data and observe the system behaviour.</t>
    </r>
  </si>
  <si>
    <r>
      <t xml:space="preserve">Testbox - </t>
    </r>
    <r>
      <rPr>
        <b/>
        <sz val="11"/>
        <color theme="1"/>
        <rFont val="Calibri"/>
        <family val="2"/>
        <scheme val="minor"/>
      </rPr>
      <t xml:space="preserve">Rail Transhipper Bond Code
</t>
    </r>
    <r>
      <rPr>
        <sz val="11"/>
        <color theme="1"/>
        <rFont val="Calibri"/>
        <family val="2"/>
        <scheme val="minor"/>
      </rPr>
      <t>Testing Data: Less than 100 and More than 100 Alphanumeric Value.</t>
    </r>
  </si>
  <si>
    <r>
      <t xml:space="preserve">As per the Use Case, </t>
    </r>
    <r>
      <rPr>
        <b/>
        <sz val="11"/>
        <color theme="1"/>
        <rFont val="Calibri"/>
        <family val="2"/>
        <scheme val="minor"/>
      </rPr>
      <t>Rail Transhipper Bond Code</t>
    </r>
    <r>
      <rPr>
        <sz val="11"/>
        <color theme="1"/>
        <rFont val="Calibri"/>
        <family val="2"/>
        <scheme val="minor"/>
      </rPr>
      <t xml:space="preserve"> textbox must accept 100  alphanumeric character. 
2. It should not accept more than 100 character value.</t>
    </r>
  </si>
  <si>
    <r>
      <t xml:space="preserve">1. </t>
    </r>
    <r>
      <rPr>
        <b/>
        <sz val="11"/>
        <color theme="1"/>
        <rFont val="Calibri"/>
        <family val="2"/>
        <scheme val="minor"/>
      </rPr>
      <t>Rail Transhipper Bond Code</t>
    </r>
    <r>
      <rPr>
        <sz val="11"/>
        <color theme="1"/>
        <rFont val="Calibri"/>
        <family val="2"/>
        <scheme val="minor"/>
      </rPr>
      <t xml:space="preserve"> textbox limitation not added properly.
2. It is accepting more than 100 characters value.</t>
    </r>
  </si>
  <si>
    <t>CFS_Master_53</t>
  </si>
  <si>
    <r>
      <t xml:space="preserve">Validate the functionality of the </t>
    </r>
    <r>
      <rPr>
        <b/>
        <sz val="11"/>
        <color theme="1"/>
        <rFont val="Calibri"/>
        <family val="2"/>
        <scheme val="minor"/>
      </rPr>
      <t>Transhipper Bond No</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</si>
  <si>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Transhipper Bond No</t>
    </r>
    <r>
      <rPr>
        <sz val="11"/>
        <color theme="1"/>
        <rFont val="Calibri"/>
        <family val="2"/>
        <scheme val="minor"/>
      </rPr>
      <t xml:space="preserve"> textbox, enter valid data format and observe the system behaviour.</t>
    </r>
  </si>
  <si>
    <r>
      <t xml:space="preserve">Testbox - </t>
    </r>
    <r>
      <rPr>
        <b/>
        <sz val="11"/>
        <color theme="1"/>
        <rFont val="Calibri"/>
        <family val="2"/>
        <scheme val="minor"/>
      </rPr>
      <t>Rail Transhipper Bond Code</t>
    </r>
    <r>
      <rPr>
        <sz val="11"/>
        <color theme="1"/>
        <rFont val="Calibri"/>
        <family val="2"/>
        <scheme val="minor"/>
      </rPr>
      <t xml:space="preserve">
</t>
    </r>
    <r>
      <rPr>
        <b/>
        <sz val="11"/>
        <color theme="1"/>
        <rFont val="Calibri"/>
        <family val="2"/>
        <scheme val="minor"/>
      </rPr>
      <t xml:space="preserve">Test Data </t>
    </r>
    <r>
      <rPr>
        <sz val="11"/>
        <color theme="1"/>
        <rFont val="Calibri"/>
        <family val="2"/>
        <scheme val="minor"/>
      </rPr>
      <t>- Special character, only space value, combination of character.</t>
    </r>
  </si>
  <si>
    <r>
      <t xml:space="preserve">Testbox - </t>
    </r>
    <r>
      <rPr>
        <b/>
        <sz val="11"/>
        <color theme="1"/>
        <rFont val="Calibri"/>
        <family val="2"/>
        <scheme val="minor"/>
      </rPr>
      <t>Rail Transhipper Bond Code</t>
    </r>
    <r>
      <rPr>
        <sz val="11"/>
        <color theme="1"/>
        <rFont val="Calibri"/>
        <family val="2"/>
        <scheme val="minor"/>
      </rPr>
      <t xml:space="preserve">
Test Data - </t>
    </r>
    <r>
      <rPr>
        <b/>
        <sz val="11"/>
        <color theme="1"/>
        <rFont val="Calibri"/>
        <family val="2"/>
        <scheme val="minor"/>
      </rPr>
      <t>Alphanumeric value.
ABCD 1233, SDFSD546546 etc.</t>
    </r>
  </si>
  <si>
    <r>
      <t xml:space="preserve">Testbox - </t>
    </r>
    <r>
      <rPr>
        <b/>
        <sz val="11"/>
        <color theme="1"/>
        <rFont val="Calibri"/>
        <family val="2"/>
        <scheme val="minor"/>
      </rPr>
      <t>Bond Value</t>
    </r>
    <r>
      <rPr>
        <sz val="11"/>
        <color theme="1"/>
        <rFont val="Calibri"/>
        <family val="2"/>
        <scheme val="minor"/>
      </rPr>
      <t xml:space="preserve">
Test Data - Alphanumeric value.
</t>
    </r>
    <r>
      <rPr>
        <b/>
        <sz val="11"/>
        <color theme="1"/>
        <rFont val="Calibri"/>
        <family val="2"/>
        <scheme val="minor"/>
      </rPr>
      <t/>
    </r>
  </si>
  <si>
    <t>As Per the Use Case, The system should accept valid alphanumeric value.</t>
  </si>
  <si>
    <r>
      <rPr>
        <b/>
        <sz val="11"/>
        <color theme="1"/>
        <rFont val="Calibri"/>
        <family val="2"/>
        <scheme val="minor"/>
      </rPr>
      <t>Testbox</t>
    </r>
    <r>
      <rPr>
        <sz val="11"/>
        <color theme="1"/>
        <rFont val="Calibri"/>
        <family val="2"/>
        <scheme val="minor"/>
      </rPr>
      <t xml:space="preserve"> - </t>
    </r>
    <r>
      <rPr>
        <b/>
        <sz val="11"/>
        <color theme="1"/>
        <rFont val="Calibri"/>
        <family val="2"/>
        <scheme val="minor"/>
      </rPr>
      <t>Transhipper Bond No</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Alphanumeric value.
</t>
    </r>
    <r>
      <rPr>
        <b/>
        <sz val="11"/>
        <color theme="1"/>
        <rFont val="Calibri"/>
        <family val="2"/>
        <scheme val="minor"/>
      </rPr>
      <t>Example: ABC123, 123 XYZ, 12BVF3543 etc.</t>
    </r>
  </si>
  <si>
    <t>CFS_Master_54</t>
  </si>
  <si>
    <r>
      <t xml:space="preserve">Validate the functionality of the </t>
    </r>
    <r>
      <rPr>
        <b/>
        <sz val="11"/>
        <color theme="1"/>
        <rFont val="Calibri"/>
        <family val="2"/>
        <scheme val="minor"/>
      </rPr>
      <t>Transhipper Bond No</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</si>
  <si>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Transhipper Bond No</t>
    </r>
    <r>
      <rPr>
        <sz val="11"/>
        <color theme="1"/>
        <rFont val="Calibri"/>
        <family val="2"/>
        <scheme val="minor"/>
      </rPr>
      <t xml:space="preserve"> textbox, enter invalid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</si>
  <si>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Transhipper Bond No</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invalid data, such as a
special character value, Only space value and combination of character (alphabets, numeric and special character)</t>
    </r>
  </si>
  <si>
    <r>
      <t xml:space="preserve">1. Functionality is working as expected.
2. The </t>
    </r>
    <r>
      <rPr>
        <b/>
        <sz val="11"/>
        <color theme="1"/>
        <rFont val="Calibri"/>
        <family val="2"/>
        <scheme val="minor"/>
      </rPr>
      <t>Transhipper Bond No</t>
    </r>
    <r>
      <rPr>
        <sz val="11"/>
        <color theme="1"/>
        <rFont val="Calibri"/>
        <family val="2"/>
        <scheme val="minor"/>
      </rPr>
      <t xml:space="preserve"> textbox is accepting valid data such as alphanumeric value.</t>
    </r>
  </si>
  <si>
    <r>
      <t xml:space="preserve">1. Functionality is not working as expected.
2. The </t>
    </r>
    <r>
      <rPr>
        <b/>
        <sz val="11"/>
        <color theme="1"/>
        <rFont val="Calibri"/>
        <family val="2"/>
        <scheme val="minor"/>
      </rPr>
      <t>Transhipper Bond No</t>
    </r>
    <r>
      <rPr>
        <sz val="11"/>
        <color theme="1"/>
        <rFont val="Calibri"/>
        <family val="2"/>
        <scheme val="minor"/>
      </rPr>
      <t xml:space="preserve"> textbox is accepting invalid data format.</t>
    </r>
  </si>
  <si>
    <t>CFS_Master_55</t>
  </si>
  <si>
    <r>
      <t xml:space="preserve">Validate the functionality of the </t>
    </r>
    <r>
      <rPr>
        <b/>
        <sz val="11"/>
        <color theme="1"/>
        <rFont val="Calibri"/>
        <family val="2"/>
        <scheme val="minor"/>
      </rPr>
      <t>Transhipper Bond No</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</si>
  <si>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Validate the </t>
    </r>
    <r>
      <rPr>
        <b/>
        <sz val="11"/>
        <color theme="1"/>
        <rFont val="Calibri"/>
        <family val="2"/>
        <scheme val="minor"/>
      </rPr>
      <t xml:space="preserve">Transhipper Bond No </t>
    </r>
    <r>
      <rPr>
        <sz val="11"/>
        <color theme="1"/>
        <rFont val="Calibri"/>
        <family val="2"/>
        <scheme val="minor"/>
      </rPr>
      <t>textbox limitation.</t>
    </r>
  </si>
  <si>
    <r>
      <t xml:space="preserve">Testbox - </t>
    </r>
    <r>
      <rPr>
        <b/>
        <sz val="11"/>
        <color theme="1"/>
        <rFont val="Calibri"/>
        <family val="2"/>
        <scheme val="minor"/>
      </rPr>
      <t xml:space="preserve">Transhipper Bond No
</t>
    </r>
    <r>
      <rPr>
        <sz val="11"/>
        <color theme="1"/>
        <rFont val="Calibri"/>
        <family val="2"/>
        <scheme val="minor"/>
      </rPr>
      <t>Testing Data: Less than 100 and More than 100 Alphanumeric Value.</t>
    </r>
  </si>
  <si>
    <r>
      <t xml:space="preserve">As per the Use Case, </t>
    </r>
    <r>
      <rPr>
        <b/>
        <sz val="11"/>
        <color theme="1"/>
        <rFont val="Calibri"/>
        <family val="2"/>
        <scheme val="minor"/>
      </rPr>
      <t>Transhipper Bond No</t>
    </r>
    <r>
      <rPr>
        <sz val="11"/>
        <color theme="1"/>
        <rFont val="Calibri"/>
        <family val="2"/>
        <scheme val="minor"/>
      </rPr>
      <t xml:space="preserve"> textbox must accept 100  alphanumeric character. 
2. It should not accept more than 100 character value.</t>
    </r>
  </si>
  <si>
    <r>
      <t xml:space="preserve">1. </t>
    </r>
    <r>
      <rPr>
        <b/>
        <sz val="11"/>
        <color theme="1"/>
        <rFont val="Calibri"/>
        <family val="2"/>
        <scheme val="minor"/>
      </rPr>
      <t>Transhipper Bond No</t>
    </r>
    <r>
      <rPr>
        <sz val="11"/>
        <color theme="1"/>
        <rFont val="Calibri"/>
        <family val="2"/>
        <scheme val="minor"/>
      </rPr>
      <t xml:space="preserve"> textbox limitation not added properly.
2. It is accepting more than 100 characters value.</t>
    </r>
  </si>
  <si>
    <t>CFS_Master_56</t>
  </si>
  <si>
    <r>
      <t xml:space="preserve">Validate the functionality of the </t>
    </r>
    <r>
      <rPr>
        <b/>
        <sz val="11"/>
        <color theme="1"/>
        <rFont val="Calibri"/>
        <family val="2"/>
        <scheme val="minor"/>
      </rPr>
      <t>Transhipper Bond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</si>
  <si>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Transhipper Bond Code</t>
    </r>
    <r>
      <rPr>
        <sz val="11"/>
        <color theme="1"/>
        <rFont val="Calibri"/>
        <family val="2"/>
        <scheme val="minor"/>
      </rPr>
      <t xml:space="preserve"> textbox, enter 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</si>
  <si>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Transhipper Bond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Alphanumeric value.
</t>
    </r>
    <r>
      <rPr>
        <b/>
        <sz val="11"/>
        <color theme="1"/>
        <rFont val="Calibri"/>
        <family val="2"/>
        <scheme val="minor"/>
      </rPr>
      <t>Example: ABC123, 123 XYZ, 12BVF3543 etc.</t>
    </r>
  </si>
  <si>
    <r>
      <t xml:space="preserve">1. Functionality is working as expected.
2. The </t>
    </r>
    <r>
      <rPr>
        <b/>
        <sz val="11"/>
        <color theme="1"/>
        <rFont val="Calibri"/>
        <family val="2"/>
        <scheme val="minor"/>
      </rPr>
      <t>Transhipper Bond Code</t>
    </r>
    <r>
      <rPr>
        <sz val="11"/>
        <color theme="1"/>
        <rFont val="Calibri"/>
        <family val="2"/>
        <scheme val="minor"/>
      </rPr>
      <t xml:space="preserve"> textbox is accepting valid data such as alphanumeric value.</t>
    </r>
  </si>
  <si>
    <t>CFS_Master_57</t>
  </si>
  <si>
    <r>
      <t xml:space="preserve">Validate the functionality of the </t>
    </r>
    <r>
      <rPr>
        <b/>
        <sz val="11"/>
        <color theme="1"/>
        <rFont val="Calibri"/>
        <family val="2"/>
        <scheme val="minor"/>
      </rPr>
      <t>Transhipper Bond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</si>
  <si>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Transhipper Bond Code</t>
    </r>
    <r>
      <rPr>
        <sz val="11"/>
        <color theme="1"/>
        <rFont val="Calibri"/>
        <family val="2"/>
        <scheme val="minor"/>
      </rPr>
      <t xml:space="preserve"> textbox, enter invalid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</si>
  <si>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Transhipper Bond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invalid data, such as a
special character value, Only space value and combination of character (alphabets, numeric and special character)</t>
    </r>
  </si>
  <si>
    <r>
      <t xml:space="preserve">1. Functionality is not working as expected.
2. The </t>
    </r>
    <r>
      <rPr>
        <b/>
        <sz val="11"/>
        <color theme="1"/>
        <rFont val="Calibri"/>
        <family val="2"/>
        <scheme val="minor"/>
      </rPr>
      <t>Transhipper Bond Code</t>
    </r>
    <r>
      <rPr>
        <sz val="11"/>
        <color theme="1"/>
        <rFont val="Calibri"/>
        <family val="2"/>
        <scheme val="minor"/>
      </rPr>
      <t xml:space="preserve"> textbox is accepting invalid data format.</t>
    </r>
  </si>
  <si>
    <t>CFS_Master_58</t>
  </si>
  <si>
    <r>
      <t xml:space="preserve">Validate the functionality of the </t>
    </r>
    <r>
      <rPr>
        <b/>
        <sz val="11"/>
        <color theme="1"/>
        <rFont val="Calibri"/>
        <family val="2"/>
        <scheme val="minor"/>
      </rPr>
      <t>Transhipper Bond Code</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</si>
  <si>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Validate the </t>
    </r>
    <r>
      <rPr>
        <b/>
        <sz val="11"/>
        <color theme="1"/>
        <rFont val="Calibri"/>
        <family val="2"/>
        <scheme val="minor"/>
      </rPr>
      <t xml:space="preserve">Transhipper Bond Code </t>
    </r>
    <r>
      <rPr>
        <sz val="11"/>
        <color theme="1"/>
        <rFont val="Calibri"/>
        <family val="2"/>
        <scheme val="minor"/>
      </rPr>
      <t>textbox limitation.</t>
    </r>
  </si>
  <si>
    <r>
      <t xml:space="preserve">Testbox - </t>
    </r>
    <r>
      <rPr>
        <b/>
        <sz val="11"/>
        <color theme="1"/>
        <rFont val="Calibri"/>
        <family val="2"/>
        <scheme val="minor"/>
      </rPr>
      <t xml:space="preserve">Transhipper Bond Code
</t>
    </r>
    <r>
      <rPr>
        <sz val="11"/>
        <color theme="1"/>
        <rFont val="Calibri"/>
        <family val="2"/>
        <scheme val="minor"/>
      </rPr>
      <t>Testing Data: Less than 100 and More than 100 Alphanumeric Value.</t>
    </r>
  </si>
  <si>
    <r>
      <t xml:space="preserve">As per the Use Case, </t>
    </r>
    <r>
      <rPr>
        <b/>
        <sz val="11"/>
        <color theme="1"/>
        <rFont val="Calibri"/>
        <family val="2"/>
        <scheme val="minor"/>
      </rPr>
      <t>Transhipper Bond Code</t>
    </r>
    <r>
      <rPr>
        <sz val="11"/>
        <color theme="1"/>
        <rFont val="Calibri"/>
        <family val="2"/>
        <scheme val="minor"/>
      </rPr>
      <t xml:space="preserve"> textbox must accept 100  alphanumeric character. 
2. It should not accept more than 100 character value.</t>
    </r>
  </si>
  <si>
    <r>
      <t xml:space="preserve">1. </t>
    </r>
    <r>
      <rPr>
        <b/>
        <sz val="11"/>
        <color theme="1"/>
        <rFont val="Calibri"/>
        <family val="2"/>
        <scheme val="minor"/>
      </rPr>
      <t>Transhipper Bond Code</t>
    </r>
    <r>
      <rPr>
        <sz val="11"/>
        <color theme="1"/>
        <rFont val="Calibri"/>
        <family val="2"/>
        <scheme val="minor"/>
      </rPr>
      <t xml:space="preserve"> textbox limitation not added properly.
2. It is accepting more than 100 characters value.</t>
    </r>
  </si>
  <si>
    <t>CFS_Master_59</t>
  </si>
  <si>
    <r>
      <t xml:space="preserve">Validate the functionality of the </t>
    </r>
    <r>
      <rPr>
        <b/>
        <sz val="11"/>
        <color theme="1"/>
        <rFont val="Calibri"/>
        <family val="2"/>
        <scheme val="minor"/>
      </rPr>
      <t>Road Transhipper Bond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</si>
  <si>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Road Transhipper Bond Code</t>
    </r>
    <r>
      <rPr>
        <sz val="11"/>
        <color theme="1"/>
        <rFont val="Calibri"/>
        <family val="2"/>
        <scheme val="minor"/>
      </rPr>
      <t xml:space="preserve"> textbox, enter 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</si>
  <si>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Road Transhipper Bond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Alphanumeric value.
</t>
    </r>
    <r>
      <rPr>
        <b/>
        <sz val="11"/>
        <color theme="1"/>
        <rFont val="Calibri"/>
        <family val="2"/>
        <scheme val="minor"/>
      </rPr>
      <t>Example: BFdS44324234, 32432SDFSF etc.</t>
    </r>
  </si>
  <si>
    <r>
      <t xml:space="preserve">1. Functionality is working as expected.
2. The </t>
    </r>
    <r>
      <rPr>
        <b/>
        <sz val="11"/>
        <color theme="1"/>
        <rFont val="Calibri"/>
        <family val="2"/>
        <scheme val="minor"/>
      </rPr>
      <t>Road Transhipper Bond Code</t>
    </r>
    <r>
      <rPr>
        <sz val="11"/>
        <color theme="1"/>
        <rFont val="Calibri"/>
        <family val="2"/>
        <scheme val="minor"/>
      </rPr>
      <t xml:space="preserve"> textbox is accepting valid data such as alphanumeric value.</t>
    </r>
  </si>
  <si>
    <t>CFS_Master_60</t>
  </si>
  <si>
    <r>
      <t xml:space="preserve">Validate the functionality of the </t>
    </r>
    <r>
      <rPr>
        <b/>
        <sz val="11"/>
        <color theme="1"/>
        <rFont val="Calibri"/>
        <family val="2"/>
        <scheme val="minor"/>
      </rPr>
      <t>Road Transhipper Bond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</si>
  <si>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Road Transhipper Bond Code</t>
    </r>
    <r>
      <rPr>
        <sz val="11"/>
        <color theme="1"/>
        <rFont val="Calibri"/>
        <family val="2"/>
        <scheme val="minor"/>
      </rPr>
      <t xml:space="preserve"> textbox, enter invalid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</si>
  <si>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Road Transhipper Bond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invalid data, such as a
special character value
Only space value
Combination of character (alphabets, numeric and special character)</t>
    </r>
  </si>
  <si>
    <r>
      <t xml:space="preserve">1. Functionality is not working as expected.
2. The </t>
    </r>
    <r>
      <rPr>
        <b/>
        <sz val="11"/>
        <color theme="1"/>
        <rFont val="Calibri"/>
        <family val="2"/>
        <scheme val="minor"/>
      </rPr>
      <t>Road Transhipper Bond Code</t>
    </r>
    <r>
      <rPr>
        <sz val="11"/>
        <color theme="1"/>
        <rFont val="Calibri"/>
        <family val="2"/>
        <scheme val="minor"/>
      </rPr>
      <t xml:space="preserve"> textbox is accepting invalid data format.</t>
    </r>
  </si>
  <si>
    <t>CFS_Master_61</t>
  </si>
  <si>
    <r>
      <t xml:space="preserve">Validate the functionality of the </t>
    </r>
    <r>
      <rPr>
        <b/>
        <sz val="11"/>
        <color theme="1"/>
        <rFont val="Calibri"/>
        <family val="2"/>
        <scheme val="minor"/>
      </rPr>
      <t>Road Transhipper Bond Code</t>
    </r>
    <r>
      <rPr>
        <sz val="11"/>
        <color theme="1"/>
        <rFont val="Calibri"/>
        <family val="2"/>
        <scheme val="minor"/>
      </rPr>
      <t xml:space="preserve"> 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</si>
  <si>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Validate the </t>
    </r>
    <r>
      <rPr>
        <b/>
        <sz val="11"/>
        <color theme="1"/>
        <rFont val="Calibri"/>
        <family val="2"/>
        <scheme val="minor"/>
      </rPr>
      <t xml:space="preserve">Road Transhipper Bond Code </t>
    </r>
    <r>
      <rPr>
        <sz val="11"/>
        <color theme="1"/>
        <rFont val="Calibri"/>
        <family val="2"/>
        <scheme val="minor"/>
      </rPr>
      <t>textbox limitation.</t>
    </r>
  </si>
  <si>
    <r>
      <t xml:space="preserve">Testbox - </t>
    </r>
    <r>
      <rPr>
        <b/>
        <sz val="11"/>
        <color theme="1"/>
        <rFont val="Calibri"/>
        <family val="2"/>
        <scheme val="minor"/>
      </rPr>
      <t xml:space="preserve">Road Transhipper Bond Code
</t>
    </r>
    <r>
      <rPr>
        <sz val="11"/>
        <color theme="1"/>
        <rFont val="Calibri"/>
        <family val="2"/>
        <scheme val="minor"/>
      </rPr>
      <t>Testing Data: Less than 100 and More than 100 Alphanumeric Value.</t>
    </r>
  </si>
  <si>
    <r>
      <t xml:space="preserve">As per the Use Case, </t>
    </r>
    <r>
      <rPr>
        <b/>
        <sz val="11"/>
        <color theme="1"/>
        <rFont val="Calibri"/>
        <family val="2"/>
        <scheme val="minor"/>
      </rPr>
      <t>Road Transhipper Bond Code</t>
    </r>
    <r>
      <rPr>
        <sz val="11"/>
        <color theme="1"/>
        <rFont val="Calibri"/>
        <family val="2"/>
        <scheme val="minor"/>
      </rPr>
      <t xml:space="preserve"> textbox must accept 100  alphanumeric character. 
2. It should not accept more than 100 character value.</t>
    </r>
  </si>
  <si>
    <r>
      <t xml:space="preserve">1. </t>
    </r>
    <r>
      <rPr>
        <b/>
        <sz val="11"/>
        <color theme="1"/>
        <rFont val="Calibri"/>
        <family val="2"/>
        <scheme val="minor"/>
      </rPr>
      <t>Road Transhipper Bond Code</t>
    </r>
    <r>
      <rPr>
        <sz val="11"/>
        <color theme="1"/>
        <rFont val="Calibri"/>
        <family val="2"/>
        <scheme val="minor"/>
      </rPr>
      <t xml:space="preserve"> textbox limitation not added properly.
2. It is accepting more than 100 characters value.</t>
    </r>
  </si>
  <si>
    <t>CFS_Master_62</t>
  </si>
  <si>
    <r>
      <t xml:space="preserve">Validate the functionality of the </t>
    </r>
    <r>
      <rPr>
        <b/>
        <sz val="11"/>
        <color theme="1"/>
        <rFont val="Calibri"/>
        <family val="2"/>
        <scheme val="minor"/>
      </rPr>
      <t>Delivery Hours Text</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</si>
  <si>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Delivery Hours Text</t>
    </r>
    <r>
      <rPr>
        <sz val="11"/>
        <color theme="1"/>
        <rFont val="Calibri"/>
        <family val="2"/>
        <scheme val="minor"/>
      </rPr>
      <t xml:space="preserve"> textbox, enter 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</si>
  <si>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Delivery Hours Text</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Alphanumeric value.
</t>
    </r>
    <r>
      <rPr>
        <b/>
        <sz val="11"/>
        <color theme="1"/>
        <rFont val="Calibri"/>
        <family val="2"/>
        <scheme val="minor"/>
      </rPr>
      <t>Example: BFdS44324234, 32432SDFSF etc.</t>
    </r>
  </si>
  <si>
    <r>
      <t xml:space="preserve">1. Functionality is working as expected.
2. The </t>
    </r>
    <r>
      <rPr>
        <b/>
        <sz val="11"/>
        <color theme="1"/>
        <rFont val="Calibri"/>
        <family val="2"/>
        <scheme val="minor"/>
      </rPr>
      <t>Delivery Hours Text</t>
    </r>
    <r>
      <rPr>
        <sz val="11"/>
        <color theme="1"/>
        <rFont val="Calibri"/>
        <family val="2"/>
        <scheme val="minor"/>
      </rPr>
      <t xml:space="preserve"> textbox is accepting valid data such as alphanumeric value.</t>
    </r>
  </si>
  <si>
    <t>CFS_Master_63</t>
  </si>
  <si>
    <r>
      <t xml:space="preserve">Validate the functionality of the </t>
    </r>
    <r>
      <rPr>
        <b/>
        <sz val="11"/>
        <color theme="1"/>
        <rFont val="Calibri"/>
        <family val="2"/>
        <scheme val="minor"/>
      </rPr>
      <t>Delivery Hours Text</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</si>
  <si>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Delivery Hours Text</t>
    </r>
    <r>
      <rPr>
        <sz val="11"/>
        <color theme="1"/>
        <rFont val="Calibri"/>
        <family val="2"/>
        <scheme val="minor"/>
      </rPr>
      <t xml:space="preserve"> textbox, enter invalid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</si>
  <si>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Delivery Hours Text</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invalid data, such as a
special character value
Only space value
Combination of character (alphabets, numeric and special character)</t>
    </r>
  </si>
  <si>
    <r>
      <t xml:space="preserve">1. Functionality is not working as expected.
2. The </t>
    </r>
    <r>
      <rPr>
        <b/>
        <sz val="11"/>
        <color theme="1"/>
        <rFont val="Calibri"/>
        <family val="2"/>
        <scheme val="minor"/>
      </rPr>
      <t>Delivery Hours Text</t>
    </r>
    <r>
      <rPr>
        <sz val="11"/>
        <color theme="1"/>
        <rFont val="Calibri"/>
        <family val="2"/>
        <scheme val="minor"/>
      </rPr>
      <t xml:space="preserve"> textbox is accepting invalid data format.</t>
    </r>
  </si>
  <si>
    <t>CFS_Master_64</t>
  </si>
  <si>
    <r>
      <t xml:space="preserve">Validate the functionality of the </t>
    </r>
    <r>
      <rPr>
        <b/>
        <sz val="11"/>
        <color theme="1"/>
        <rFont val="Calibri"/>
        <family val="2"/>
        <scheme val="minor"/>
      </rPr>
      <t xml:space="preserve">Delivery Hours Text </t>
    </r>
    <r>
      <rPr>
        <sz val="11"/>
        <color theme="1"/>
        <rFont val="Calibri"/>
        <family val="2"/>
        <scheme val="minor"/>
      </rPr>
      <t>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</si>
  <si>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Validate the </t>
    </r>
    <r>
      <rPr>
        <b/>
        <sz val="11"/>
        <color theme="1"/>
        <rFont val="Calibri"/>
        <family val="2"/>
        <scheme val="minor"/>
      </rPr>
      <t xml:space="preserve">Delivery Hours Text </t>
    </r>
    <r>
      <rPr>
        <sz val="11"/>
        <color theme="1"/>
        <rFont val="Calibri"/>
        <family val="2"/>
        <scheme val="minor"/>
      </rPr>
      <t>textbox limitation.</t>
    </r>
  </si>
  <si>
    <r>
      <t xml:space="preserve">Testbox - </t>
    </r>
    <r>
      <rPr>
        <b/>
        <sz val="11"/>
        <color theme="1"/>
        <rFont val="Calibri"/>
        <family val="2"/>
        <scheme val="minor"/>
      </rPr>
      <t xml:space="preserve">Delivery Hours Text 
</t>
    </r>
    <r>
      <rPr>
        <sz val="11"/>
        <color theme="1"/>
        <rFont val="Calibri"/>
        <family val="2"/>
        <scheme val="minor"/>
      </rPr>
      <t>Testing Data: Less than 100 and More than 100 Alphanumeric Value.</t>
    </r>
  </si>
  <si>
    <r>
      <t xml:space="preserve">As per the Use Case, </t>
    </r>
    <r>
      <rPr>
        <b/>
        <sz val="11"/>
        <color theme="1"/>
        <rFont val="Calibri"/>
        <family val="2"/>
        <scheme val="minor"/>
      </rPr>
      <t xml:space="preserve">Delivery Hours Text </t>
    </r>
    <r>
      <rPr>
        <sz val="11"/>
        <color theme="1"/>
        <rFont val="Calibri"/>
        <family val="2"/>
        <scheme val="minor"/>
      </rPr>
      <t>textbox must accept 100  alphanumeric character. 
2. It should not accept more than 100 character value.</t>
    </r>
  </si>
  <si>
    <r>
      <t xml:space="preserve">1. Functionality is  working as expected.
2. </t>
    </r>
    <r>
      <rPr>
        <b/>
        <sz val="11"/>
        <color theme="1"/>
        <rFont val="Calibri"/>
        <family val="2"/>
        <scheme val="minor"/>
      </rPr>
      <t xml:space="preserve">Delivery Hours Text </t>
    </r>
    <r>
      <rPr>
        <sz val="11"/>
        <color theme="1"/>
        <rFont val="Calibri"/>
        <family val="2"/>
        <scheme val="minor"/>
      </rPr>
      <t xml:space="preserve"> textbox is not accepting more than 100 characters value.</t>
    </r>
  </si>
  <si>
    <t>CFS_Master_65</t>
  </si>
  <si>
    <r>
      <t xml:space="preserve">Validate the functionality of the </t>
    </r>
    <r>
      <rPr>
        <b/>
        <sz val="11"/>
        <color theme="1"/>
        <rFont val="Calibri"/>
        <family val="2"/>
        <scheme val="minor"/>
      </rPr>
      <t>Segment Group Code</t>
    </r>
    <r>
      <rPr>
        <sz val="11"/>
        <color theme="1"/>
        <rFont val="Calibri"/>
        <family val="2"/>
        <scheme val="minor"/>
      </rPr>
      <t xml:space="preserve"> textbox with 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</si>
  <si>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Segment Group Code</t>
    </r>
    <r>
      <rPr>
        <sz val="11"/>
        <color theme="1"/>
        <rFont val="Calibri"/>
        <family val="2"/>
        <scheme val="minor"/>
      </rPr>
      <t xml:space="preserve"> textbox, enter 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</si>
  <si>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Segment Group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Alphanumeric value.
</t>
    </r>
    <r>
      <rPr>
        <b/>
        <sz val="11"/>
        <color theme="1"/>
        <rFont val="Calibri"/>
        <family val="2"/>
        <scheme val="minor"/>
      </rPr>
      <t>Example: BFdS44324234, 32432SDFSF etc.</t>
    </r>
  </si>
  <si>
    <r>
      <t xml:space="preserve">1. Functionality is working as expected.
2. The </t>
    </r>
    <r>
      <rPr>
        <b/>
        <sz val="11"/>
        <color theme="1"/>
        <rFont val="Calibri"/>
        <family val="2"/>
        <scheme val="minor"/>
      </rPr>
      <t>Segment Group Code</t>
    </r>
    <r>
      <rPr>
        <sz val="11"/>
        <color theme="1"/>
        <rFont val="Calibri"/>
        <family val="2"/>
        <scheme val="minor"/>
      </rPr>
      <t xml:space="preserve"> textbox is accepting valid data such as alphanumeric value.</t>
    </r>
  </si>
  <si>
    <t>CFS_Master_66</t>
  </si>
  <si>
    <r>
      <t xml:space="preserve">Validate the functionality of the </t>
    </r>
    <r>
      <rPr>
        <b/>
        <sz val="11"/>
        <color theme="1"/>
        <rFont val="Calibri"/>
        <family val="2"/>
        <scheme val="minor"/>
      </rPr>
      <t xml:space="preserve">Segment Group Code </t>
    </r>
    <r>
      <rPr>
        <sz val="11"/>
        <color theme="1"/>
        <rFont val="Calibri"/>
        <family val="2"/>
        <scheme val="minor"/>
      </rPr>
      <t>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</si>
  <si>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In the </t>
    </r>
    <r>
      <rPr>
        <b/>
        <sz val="11"/>
        <color theme="1"/>
        <rFont val="Calibri"/>
        <family val="2"/>
        <scheme val="minor"/>
      </rPr>
      <t>Segment Group Code</t>
    </r>
    <r>
      <rPr>
        <sz val="11"/>
        <color theme="1"/>
        <rFont val="Calibri"/>
        <family val="2"/>
        <scheme val="minor"/>
      </rPr>
      <t xml:space="preserve"> textbox, enter invalid data format and observe the system behaviour.</t>
    </r>
  </si>
  <si>
    <r>
      <rPr>
        <b/>
        <sz val="11"/>
        <color theme="1"/>
        <rFont val="Calibri"/>
        <family val="2"/>
        <scheme val="minor"/>
      </rPr>
      <t>Testbox</t>
    </r>
    <r>
      <rPr>
        <sz val="11"/>
        <color theme="1"/>
        <rFont val="Calibri"/>
        <family val="2"/>
        <scheme val="minor"/>
      </rPr>
      <t xml:space="preserve"> - </t>
    </r>
    <r>
      <rPr>
        <b/>
        <sz val="11"/>
        <color theme="1"/>
        <rFont val="Calibri"/>
        <family val="2"/>
        <scheme val="minor"/>
      </rPr>
      <t>Segment Group Code</t>
    </r>
    <r>
      <rPr>
        <sz val="11"/>
        <color theme="1"/>
        <rFont val="Calibri"/>
        <family val="2"/>
        <scheme val="minor"/>
      </rPr>
      <t xml:space="preserve">
</t>
    </r>
    <r>
      <rPr>
        <b/>
        <sz val="11"/>
        <color theme="1"/>
        <rFont val="Calibri"/>
        <family val="2"/>
        <scheme val="minor"/>
      </rPr>
      <t>Test Data</t>
    </r>
    <r>
      <rPr>
        <sz val="11"/>
        <color theme="1"/>
        <rFont val="Calibri"/>
        <family val="2"/>
        <scheme val="minor"/>
      </rPr>
      <t xml:space="preserve"> - invalid data, such as a
special character value
Only space value
Combination of character (alphabets, numeric and special character)</t>
    </r>
  </si>
  <si>
    <r>
      <t xml:space="preserve">1. Functionality is not working as expected.
2. The </t>
    </r>
    <r>
      <rPr>
        <b/>
        <sz val="11"/>
        <color theme="1"/>
        <rFont val="Calibri"/>
        <family val="2"/>
        <scheme val="minor"/>
      </rPr>
      <t>Segment Group Code</t>
    </r>
    <r>
      <rPr>
        <sz val="11"/>
        <color theme="1"/>
        <rFont val="Calibri"/>
        <family val="2"/>
        <scheme val="minor"/>
      </rPr>
      <t xml:space="preserve"> textbox is accepting invalid data format.</t>
    </r>
  </si>
  <si>
    <t>CFS_Master_67</t>
  </si>
  <si>
    <r>
      <t xml:space="preserve">Validate the functionality of the </t>
    </r>
    <r>
      <rPr>
        <b/>
        <sz val="11"/>
        <color theme="1"/>
        <rFont val="Calibri"/>
        <family val="2"/>
        <scheme val="minor"/>
      </rPr>
      <t xml:space="preserve">Segment Group Code </t>
    </r>
    <r>
      <rPr>
        <sz val="11"/>
        <color theme="1"/>
        <rFont val="Calibri"/>
        <family val="2"/>
        <scheme val="minor"/>
      </rPr>
      <t>textbox limitation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</si>
  <si>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xml:space="preserve">.
4. Validate the </t>
    </r>
    <r>
      <rPr>
        <b/>
        <sz val="11"/>
        <color theme="1"/>
        <rFont val="Calibri"/>
        <family val="2"/>
        <scheme val="minor"/>
      </rPr>
      <t xml:space="preserve">Segment Group Code </t>
    </r>
    <r>
      <rPr>
        <sz val="11"/>
        <color theme="1"/>
        <rFont val="Calibri"/>
        <family val="2"/>
        <scheme val="minor"/>
      </rPr>
      <t>textbox limitation.</t>
    </r>
  </si>
  <si>
    <r>
      <t xml:space="preserve">Testbox - </t>
    </r>
    <r>
      <rPr>
        <b/>
        <sz val="11"/>
        <color theme="1"/>
        <rFont val="Calibri"/>
        <family val="2"/>
        <scheme val="minor"/>
      </rPr>
      <t xml:space="preserve">Segment Group Code
</t>
    </r>
    <r>
      <rPr>
        <sz val="11"/>
        <color theme="1"/>
        <rFont val="Calibri"/>
        <family val="2"/>
        <scheme val="minor"/>
      </rPr>
      <t>Testing Data: Less than 100 and More than 100 Alphanumeric Value.</t>
    </r>
  </si>
  <si>
    <t>CFS_Master_68</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</si>
  <si>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valid details and observe data in Grid View Section.</t>
    </r>
  </si>
  <si>
    <r>
      <rPr>
        <b/>
        <sz val="11"/>
        <color theme="1"/>
        <rFont val="Calibri"/>
        <family val="2"/>
        <scheme val="minor"/>
      </rPr>
      <t xml:space="preserve">Test Data:
</t>
    </r>
    <r>
      <rPr>
        <sz val="11"/>
        <color theme="1"/>
        <rFont val="Calibri"/>
        <family val="2"/>
        <scheme val="minor"/>
      </rPr>
      <t>Enter valid data in all required fields of the CFS Master form.</t>
    </r>
  </si>
  <si>
    <t>1. All filled data should be displayed properly in the Grid View Section.
2. When selecting any record from the Grid View list, the corresponding details should be correctly displayed in the form fields.</t>
  </si>
  <si>
    <t>Functionality is working as expected and data is correctly displayed in the Grid View Section.</t>
  </si>
  <si>
    <t>CFS_Master_69</t>
  </si>
  <si>
    <r>
      <t xml:space="preserve">Validate the functionality of the </t>
    </r>
    <r>
      <rPr>
        <b/>
        <sz val="11"/>
        <color theme="1"/>
        <rFont val="Calibri"/>
        <family val="2"/>
        <scheme val="minor"/>
      </rPr>
      <t>Grid View Section</t>
    </r>
    <r>
      <rPr>
        <sz val="11"/>
        <color theme="1"/>
        <rFont val="Calibri"/>
        <family val="2"/>
        <scheme val="minor"/>
      </rPr>
      <t xml:space="preserve"> in CFS Master Page.</t>
    </r>
  </si>
  <si>
    <r>
      <t xml:space="preserve">Validate the functionality of the </t>
    </r>
    <r>
      <rPr>
        <b/>
        <sz val="11"/>
        <color theme="1"/>
        <rFont val="Calibri"/>
        <family val="2"/>
        <scheme val="minor"/>
      </rPr>
      <t>Modify</t>
    </r>
    <r>
      <rPr>
        <sz val="11"/>
        <color theme="1"/>
        <rFont val="Calibri"/>
        <family val="2"/>
        <scheme val="minor"/>
      </rPr>
      <t xml:space="preserve"> button in the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</si>
  <si>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From the left-side list, select a pre-existing record and modify one or more fields with new valid data.</t>
    </r>
  </si>
  <si>
    <t>Test Data:
1. Select any existing CFS Master record from the left-side list.</t>
  </si>
  <si>
    <t>1. Modify button should be enabled only when a record is selected and its data is loaded into the form.
2. On clicking Modify, the record should be updated with the new values.
3. The updated record should appear correctly in the left-side records list.
4. The user should be able to modify the same record multiple times.</t>
  </si>
  <si>
    <t>CFS_Master_70</t>
  </si>
  <si>
    <r>
      <t xml:space="preserve">Validate the functionality of the </t>
    </r>
    <r>
      <rPr>
        <b/>
        <sz val="11"/>
        <color theme="1"/>
        <rFont val="Calibri"/>
        <family val="2"/>
        <scheme val="minor"/>
      </rPr>
      <t>Clear</t>
    </r>
    <r>
      <rPr>
        <sz val="11"/>
        <color theme="1"/>
        <rFont val="Calibri"/>
        <family val="2"/>
        <scheme val="minor"/>
      </rPr>
      <t xml:space="preserve"> button in the CFS Master Page.</t>
    </r>
  </si>
  <si>
    <r>
      <t xml:space="preserve">Validate the functionality of </t>
    </r>
    <r>
      <rPr>
        <b/>
        <sz val="11"/>
        <color theme="1"/>
        <rFont val="Calibri"/>
        <family val="2"/>
        <scheme val="minor"/>
      </rPr>
      <t xml:space="preserve">Clear </t>
    </r>
    <r>
      <rPr>
        <sz val="11"/>
        <color theme="1"/>
        <rFont val="Calibri"/>
        <family val="2"/>
        <scheme val="minor"/>
      </rPr>
      <t xml:space="preserve">Button </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</si>
  <si>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values in all or some fields of the CFS Master form and click on the Clear button.</t>
    </r>
  </si>
  <si>
    <r>
      <t xml:space="preserve">1. On clicking Clear, the system should ask for confirmation before clearing the data (As per use case)
</t>
    </r>
    <r>
      <rPr>
        <b/>
        <sz val="11"/>
        <color theme="1"/>
        <rFont val="Calibri"/>
        <family val="2"/>
        <scheme val="minor"/>
      </rPr>
      <t>After confirming:</t>
    </r>
    <r>
      <rPr>
        <sz val="11"/>
        <color theme="1"/>
        <rFont val="Calibri"/>
        <family val="2"/>
        <scheme val="minor"/>
      </rPr>
      <t xml:space="preserve">
All textboxes should be cleared.
All dropdowns should reset to their default values.
</t>
    </r>
  </si>
  <si>
    <t>CFS_Master_71</t>
  </si>
  <si>
    <t>Validate the functionality of the Page Responsiveness of CFS Master Page.</t>
  </si>
  <si>
    <t>1. Open the application and log in 
2. Select Branch: AHMEDABAD, Export Type: Export Sea, FY 2025–2026, click OK.
3. Navigate to Masters → Party → CFS Master.
4. Observe the behavior of all elements on the CFS Master Page.</t>
  </si>
  <si>
    <t>1. All elements on the CFS Master page should remain visible across all screen sizes.
2. The page should remain usable on smaller screens (tablet/mobile) without layout issues.</t>
  </si>
  <si>
    <t>Validate the functionality of Keyword Action in the CFS Master Page. (TAB Button)</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</si>
  <si>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
6.  Use Tab button to fill the foam and check system.</t>
    </r>
  </si>
  <si>
    <r>
      <t xml:space="preserve">1. Open the application and log in 
2. Select Branch: AHMEDABAD, Export Type: Export Sea, FY 2025–2026, click OK.
3. Navigate to Masters → Party → CFS Master.
4. Use </t>
    </r>
    <r>
      <rPr>
        <b/>
        <sz val="11"/>
        <color theme="1"/>
        <rFont val="Calibri"/>
        <family val="2"/>
        <scheme val="minor"/>
      </rPr>
      <t xml:space="preserve">Tab </t>
    </r>
    <r>
      <rPr>
        <sz val="11"/>
        <color theme="1"/>
        <rFont val="Calibri"/>
        <family val="2"/>
        <scheme val="minor"/>
      </rPr>
      <t>button to fill the foam and observe the system behaviour.</t>
    </r>
  </si>
  <si>
    <t>The Keyword Action feature and TAB button navigation on the CFS Master page should function correctly .</t>
  </si>
  <si>
    <t>Functionality is working as expected.
Tab button and keyword action is working.</t>
  </si>
  <si>
    <t>CFS_Master_72</t>
  </si>
  <si>
    <t>Validate the functionality of Session timeout of CFS Master Page.</t>
  </si>
  <si>
    <t>1. Open the application and log in 
2. Select Branch: AHMEDABAD, Export Type: Export Sea, FY 2025–2026, click OK.
3. Navigate to Masters → Party → CFS Master.
4. Leave the CFS Master page idle for long time and observe the system behaviour.</t>
  </si>
  <si>
    <t xml:space="preserve">When the user remains idle for a long time, the application should:
Automatically log out and redirect to the login page </t>
  </si>
  <si>
    <t>Validate the functionality of  Success Pop-up and Error message Readibility in the CFS Master page.</t>
  </si>
  <si>
    <t>CFS_Master_73</t>
  </si>
  <si>
    <t>CFS_Master_74</t>
  </si>
  <si>
    <t>1. Open the application and log in 
2. Select Branch: AHMEDABAD, Export Type: Export Sea, FY 2025–2026, click OK.
3. Navigate to Masters → Party → CFS Master.
4. Observe the Success Pop-up and Error Pop-up Readibility.</t>
  </si>
  <si>
    <t>Success and Error pop-up should appear with Correct message text.</t>
  </si>
  <si>
    <t>BA-170</t>
  </si>
  <si>
    <t>Test Data: Valid FAX Number</t>
  </si>
  <si>
    <t>It should Accept Valida fax Number</t>
  </si>
  <si>
    <t>Functionality is working as expected</t>
  </si>
  <si>
    <t>Validate the functionality of the Port Code textbox with valid data in CFS Master Page.</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</si>
  <si>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Port Code from the backend-populated list and observe the system behaviour.</t>
    </r>
  </si>
  <si>
    <t>1. Port Code should only be selectable from backend values (auto-populated list).
2. User should not be able to enter any random value manually.
3. Valid Port Code should be accepted and saved successfully.</t>
  </si>
  <si>
    <t>1. Functionality is working as expected.
2. Port Code is auto-selected from backend values only.</t>
  </si>
  <si>
    <r>
      <t xml:space="preserve">Validate the functionality of the </t>
    </r>
    <r>
      <rPr>
        <b/>
        <sz val="11"/>
        <color theme="1"/>
        <rFont val="Calibri"/>
        <family val="2"/>
        <scheme val="minor"/>
      </rPr>
      <t>Port Code</t>
    </r>
    <r>
      <rPr>
        <sz val="11"/>
        <color theme="1"/>
        <rFont val="Calibri"/>
        <family val="2"/>
        <scheme val="minor"/>
      </rPr>
      <t xml:space="preserve"> textbox with invalid data in CFS Master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</si>
  <si>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invalid Port Code (randam value) and observe the system behaviour.</t>
    </r>
  </si>
  <si>
    <t xml:space="preserve">1. Port Code should NOT accept any manually entered value.
2. Only backend auto-populated valid Port Codes should be selectable.
3. If the user enters invalid data, system should Reject the input.
</t>
  </si>
  <si>
    <t>1. Functionality is working as expected.
2. It is not accepting any randam value.</t>
  </si>
  <si>
    <r>
      <rPr>
        <b/>
        <sz val="11"/>
        <color theme="1"/>
        <rFont val="Calibri"/>
        <family val="2"/>
        <scheme val="minor"/>
      </rPr>
      <t>Testbox - Port Code</t>
    </r>
    <r>
      <rPr>
        <sz val="11"/>
        <color theme="1"/>
        <rFont val="Calibri"/>
        <family val="2"/>
        <scheme val="minor"/>
      </rPr>
      <t xml:space="preserve">
 Select any data from Auto populated lest. </t>
    </r>
  </si>
  <si>
    <r>
      <t xml:space="preserve">Testbox - Port Code
</t>
    </r>
    <r>
      <rPr>
        <sz val="11"/>
        <color theme="1"/>
        <rFont val="Calibri"/>
        <family val="2"/>
        <scheme val="minor"/>
      </rPr>
      <t>Enter any ramdam value
Example: AC123, FDFDS, 23423 etc.</t>
    </r>
  </si>
  <si>
    <t>CFS_Master_75</t>
  </si>
  <si>
    <t>1. Open the application and log in 
2. Select Branch: AHMEDABAD, Export Type: Export Sea, FY 2025–2026, click OK.
3. Navigate to Masters → Party → CFS Master.
4. Validate the text Placeholder.</t>
  </si>
  <si>
    <t xml:space="preserve">1. The textbox should display the correct placeholder text such as:
“Enter  Name”
2. Placeholder text should be properly aligned, readable, and styled as per other foam (Bank BRO)
</t>
  </si>
  <si>
    <r>
      <t xml:space="preserve">Validate the functionality of </t>
    </r>
    <r>
      <rPr>
        <b/>
        <sz val="11"/>
        <color theme="1"/>
        <rFont val="Calibri"/>
        <family val="2"/>
        <scheme val="minor"/>
      </rPr>
      <t xml:space="preserve">Textbox Inner Text (Placeholder) </t>
    </r>
    <r>
      <rPr>
        <sz val="11"/>
        <color theme="1"/>
        <rFont val="Calibri"/>
        <family val="2"/>
        <scheme val="minor"/>
      </rPr>
      <t>in the CFS Master Page.</t>
    </r>
  </si>
  <si>
    <t>As Per the Use Case, The EDI Group Code textbox should not accept:
Only spaces
Only special characters
This testbox should accept only alphanumeric value with space and in special character such as Dot (.), Comma (,),  Hyphen (-), Percent (%), Backslash (\) , Right slash (/)</t>
  </si>
  <si>
    <t xml:space="preserve">1. Functionality is not working as expected.
2. The EDI Group Code textbox is accepting invalid data, including:
Only spaces
Only special characters
</t>
  </si>
  <si>
    <t>BA-176</t>
  </si>
  <si>
    <t>The Bond Value textbox should not accept:
Only spaces
Only special characters
This testbox should accept only alphanumeric value with space and in special character such as Dot (.), Comma (,),  Hyphen (-), Percent (%), Backslash (\) , Right slash (/)</t>
  </si>
  <si>
    <t>BA-177</t>
  </si>
  <si>
    <t xml:space="preserve">1. Functionality is not working as expected.
2. The Bond Value textbox is accepting invalid data, including:
Only spaces
Only special characters
</t>
  </si>
  <si>
    <t>BA-178</t>
  </si>
  <si>
    <t>This testbox should accept only alphanumeric value with space and in special character such as Dot (.), Comma (,),  Hyphen (-), Percent (%), Backslash (\) , Right slash (/)</t>
  </si>
  <si>
    <t>BA-179</t>
  </si>
  <si>
    <t>BA-180</t>
  </si>
  <si>
    <t xml:space="preserve"> The system should not accept invalid data format such as:
only special character value, 
Only space value
Combination of character (alphabets, numeric and special character)
This testbox should accept only alphanumeric value with space and in special character such as Dot (.), Comma (,),  Hyphen (-), Percent (%), Backslash (\) , Right slash (/)</t>
  </si>
  <si>
    <t>BA-181</t>
  </si>
  <si>
    <t>BA-182</t>
  </si>
  <si>
    <r>
      <t xml:space="preserve">As Per the Use Case, This textbox should accept only alphanumeric value. It should not be accpet 
</t>
    </r>
    <r>
      <rPr>
        <b/>
        <sz val="11"/>
        <color theme="1"/>
        <rFont val="Calibri"/>
        <family val="2"/>
        <scheme val="minor"/>
      </rPr>
      <t>only Space
Special Character Value
Combination of Character</t>
    </r>
    <r>
      <rPr>
        <sz val="11"/>
        <color theme="1"/>
        <rFont val="Calibri"/>
        <family val="2"/>
        <scheme val="minor"/>
      </rPr>
      <t xml:space="preserve"> (Alphabets, numeric and special character )
This testbox should accept only alphanumeric value with space and in special character such as Dot (.), Comma (,),  Hyphen (-), Percent (%), Backslash (\) , Right slash (/)</t>
    </r>
  </si>
  <si>
    <t>BA-183</t>
  </si>
  <si>
    <t>BA-185</t>
  </si>
  <si>
    <r>
      <t xml:space="preserve">As Per the Use Case, </t>
    </r>
    <r>
      <rPr>
        <b/>
        <sz val="11"/>
        <color theme="1"/>
        <rFont val="Calibri"/>
        <family val="2"/>
        <scheme val="minor"/>
      </rPr>
      <t xml:space="preserve">Road Transhipper Bond Code </t>
    </r>
    <r>
      <rPr>
        <sz val="11"/>
        <color theme="1"/>
        <rFont val="Calibri"/>
        <family val="2"/>
        <scheme val="minor"/>
      </rPr>
      <t xml:space="preserve">textbox should accept only alphanumeric value. It should not be accpet 
</t>
    </r>
    <r>
      <rPr>
        <b/>
        <sz val="11"/>
        <color theme="1"/>
        <rFont val="Calibri"/>
        <family val="2"/>
        <scheme val="minor"/>
      </rPr>
      <t>only Space
Special Character Value
Combination of Character</t>
    </r>
    <r>
      <rPr>
        <sz val="11"/>
        <color theme="1"/>
        <rFont val="Calibri"/>
        <family val="2"/>
        <scheme val="minor"/>
      </rPr>
      <t xml:space="preserve"> (Alphabets, numeric and special character )
This testbox should accept only alphanumeric value with space and in special character such as Dot (.), Comma (,),  Hyphen (-), Percent (%), Backslash (\) , Right slash (/)</t>
    </r>
  </si>
  <si>
    <t>BA-186</t>
  </si>
  <si>
    <t>BA-187</t>
  </si>
  <si>
    <r>
      <t xml:space="preserve">As Per the Use Case, </t>
    </r>
    <r>
      <rPr>
        <b/>
        <sz val="11"/>
        <color theme="1"/>
        <rFont val="Calibri"/>
        <family val="2"/>
        <scheme val="minor"/>
      </rPr>
      <t xml:space="preserve">Delivery Hours Text </t>
    </r>
    <r>
      <rPr>
        <sz val="11"/>
        <color theme="1"/>
        <rFont val="Calibri"/>
        <family val="2"/>
        <scheme val="minor"/>
      </rPr>
      <t xml:space="preserve">textbox should accept only alphanumeric value. It should not be accpet 
</t>
    </r>
    <r>
      <rPr>
        <b/>
        <sz val="11"/>
        <color theme="1"/>
        <rFont val="Calibri"/>
        <family val="2"/>
        <scheme val="minor"/>
      </rPr>
      <t>only Space
Special Character Value only.
Combination of Character</t>
    </r>
    <r>
      <rPr>
        <sz val="11"/>
        <color theme="1"/>
        <rFont val="Calibri"/>
        <family val="2"/>
        <scheme val="minor"/>
      </rPr>
      <t xml:space="preserve"> (Alphabets, numeric and special character )
This testbox should accept only alphanumeric value with space and in special character such as Dot (.), Comma (,),  Hyphen (-), Percent (%), Backslash (\) , Right slash (/)</t>
    </r>
  </si>
  <si>
    <t>BA-189</t>
  </si>
  <si>
    <r>
      <t xml:space="preserve">As Per the Use Case, </t>
    </r>
    <r>
      <rPr>
        <b/>
        <sz val="11"/>
        <color theme="1"/>
        <rFont val="Calibri"/>
        <family val="2"/>
        <scheme val="minor"/>
      </rPr>
      <t xml:space="preserve">Segment Group Code </t>
    </r>
    <r>
      <rPr>
        <sz val="11"/>
        <color theme="1"/>
        <rFont val="Calibri"/>
        <family val="2"/>
        <scheme val="minor"/>
      </rPr>
      <t xml:space="preserve">textbox should accept only alphanumeric value. It should not be accpet 
</t>
    </r>
    <r>
      <rPr>
        <b/>
        <sz val="11"/>
        <color theme="1"/>
        <rFont val="Calibri"/>
        <family val="2"/>
        <scheme val="minor"/>
      </rPr>
      <t>only Space
Special Character Value
Combination of Character</t>
    </r>
    <r>
      <rPr>
        <sz val="11"/>
        <color theme="1"/>
        <rFont val="Calibri"/>
        <family val="2"/>
        <scheme val="minor"/>
      </rPr>
      <t xml:space="preserve"> (Alphabets, numeric and special character )
This testbox should accept only alphanumeric value with space and in special character such as Dot (.), Comma (,),  Hyphen (-), Percent (%), Backslash (\) , Right slash (/)</t>
    </r>
  </si>
  <si>
    <t>BA-190</t>
  </si>
  <si>
    <r>
      <t xml:space="preserve">1. Functionality is  working as expected.
2. </t>
    </r>
    <r>
      <rPr>
        <b/>
        <sz val="11"/>
        <color theme="1"/>
        <rFont val="Calibri"/>
        <family val="2"/>
        <scheme val="minor"/>
      </rPr>
      <t xml:space="preserve">Segment Group Code </t>
    </r>
    <r>
      <rPr>
        <sz val="11"/>
        <color theme="1"/>
        <rFont val="Calibri"/>
        <family val="2"/>
        <scheme val="minor"/>
      </rPr>
      <t xml:space="preserve"> textbox is not accepting 50 characters value.</t>
    </r>
  </si>
  <si>
    <r>
      <t xml:space="preserve">As per the Use Case, </t>
    </r>
    <r>
      <rPr>
        <b/>
        <sz val="11"/>
        <color theme="1"/>
        <rFont val="Calibri"/>
        <family val="2"/>
        <scheme val="minor"/>
      </rPr>
      <t xml:space="preserve">Segment Group Code </t>
    </r>
    <r>
      <rPr>
        <sz val="11"/>
        <color theme="1"/>
        <rFont val="Calibri"/>
        <family val="2"/>
        <scheme val="minor"/>
      </rPr>
      <t xml:space="preserve">textbox must accept 100  alphanumeric character. 
2. </t>
    </r>
    <r>
      <rPr>
        <b/>
        <sz val="11"/>
        <color theme="1"/>
        <rFont val="Calibri"/>
        <family val="2"/>
        <scheme val="minor"/>
      </rPr>
      <t>As Per new changes, it should accept 50 character value.</t>
    </r>
  </si>
  <si>
    <r>
      <t xml:space="preserve">1. The system should not accept special-character-only input in the Bank Name field.
2. A validation pop-up or inline error message should appear:
</t>
    </r>
    <r>
      <rPr>
        <b/>
        <sz val="11"/>
        <color theme="1"/>
        <rFont val="Calibri"/>
        <family val="2"/>
        <scheme val="minor"/>
      </rPr>
      <t>“Please enter a valid Bank Name.”</t>
    </r>
    <r>
      <rPr>
        <sz val="11"/>
        <color theme="1"/>
        <rFont val="Calibri"/>
        <family val="2"/>
        <scheme val="minor"/>
      </rPr>
      <t xml:space="preserve">
3. Certain special characters may be allowed only when combined with alphabetic values (e.g., dot ., comma ,).
It should accept - Dot (.), Comma (,), Percent (%), Hyphen (-), Forward Slash (/), Backslash (\)</t>
    </r>
  </si>
  <si>
    <t>BA-194</t>
  </si>
  <si>
    <t>1. Functionality is not working as expected.
2. The Name textbox is currently accepting special characters.
In Special character it should accept  Dot (.), Comma (,), Percent (%), Hyphen (-), Forward Slash (/), Backslash (\) and (&amp;))</t>
  </si>
  <si>
    <t xml:space="preserve">1. Functionality is working as expected.
2. The Contact textbox is accepting valid data.
</t>
  </si>
  <si>
    <t>1. Functionality is not working as expected.
2. The Contact textbox is accepting invalid data.
It should accept alphanumeric value with following special character:
Dot (.), Comma (,), Percent (%), Hyphen (-)
Forward Slash (/), Backslash (\), And (&amp;)</t>
  </si>
  <si>
    <t>Currency_01</t>
  </si>
  <si>
    <t>EDI Master --&gt; Currency</t>
  </si>
  <si>
    <r>
      <t xml:space="preserve">Validate the functionality of </t>
    </r>
    <r>
      <rPr>
        <b/>
        <sz val="11"/>
        <color theme="1"/>
        <rFont val="Calibri"/>
        <family val="2"/>
        <scheme val="minor"/>
      </rPr>
      <t xml:space="preserve">'Currency'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Masters Module.  </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</si>
  <si>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sz val="11"/>
        <color theme="1"/>
        <rFont val="Calibri"/>
        <family val="2"/>
        <scheme val="minor"/>
      </rPr>
      <t xml:space="preserv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</si>
  <si>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Currency.</t>
    </r>
    <r>
      <rPr>
        <sz val="11"/>
        <color theme="1"/>
        <rFont val="Calibri"/>
        <family val="2"/>
        <scheme val="minor"/>
      </rPr>
      <t xml:space="preserve">
</t>
    </r>
  </si>
  <si>
    <r>
      <t xml:space="preserve">On Mouse Hovering action on </t>
    </r>
    <r>
      <rPr>
        <b/>
        <sz val="11"/>
        <color theme="1"/>
        <rFont val="Calibri"/>
        <family val="2"/>
        <scheme val="minor"/>
      </rPr>
      <t xml:space="preserve">Masters → EDI Master → Currency, </t>
    </r>
    <r>
      <rPr>
        <sz val="11"/>
        <color theme="1"/>
        <rFont val="Calibri"/>
        <family val="2"/>
        <scheme val="minor"/>
      </rPr>
      <t>Page should be visible properly and While opening the page, it should be open proerply without any debiation and delay</t>
    </r>
  </si>
  <si>
    <t>Functionality is working as expected and Currency Page is opening properly.</t>
  </si>
  <si>
    <t>Currency_02</t>
  </si>
  <si>
    <t>Radio Button - Curreny Code &amp; Curreny Disc.</t>
  </si>
  <si>
    <r>
      <t>Validate the functionality of ‘</t>
    </r>
    <r>
      <rPr>
        <b/>
        <sz val="11"/>
        <color theme="1"/>
        <rFont val="Calibri"/>
        <family val="2"/>
        <scheme val="minor"/>
      </rPr>
      <t>Currency Code</t>
    </r>
    <r>
      <rPr>
        <sz val="11"/>
        <color theme="1"/>
        <rFont val="Calibri"/>
        <family val="2"/>
        <scheme val="minor"/>
      </rPr>
      <t>’ and ‘</t>
    </r>
    <r>
      <rPr>
        <b/>
        <sz val="11"/>
        <color theme="1"/>
        <rFont val="Calibri"/>
        <family val="2"/>
        <scheme val="minor"/>
      </rPr>
      <t>Currency Desc.</t>
    </r>
    <r>
      <rPr>
        <sz val="11"/>
        <color theme="1"/>
        <rFont val="Calibri"/>
        <family val="2"/>
        <scheme val="minor"/>
      </rPr>
      <t>’ radio buttons in the left side panel of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</si>
  <si>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Click the Currency Code radio button and observe the behavior.
5. Click the Currency Desc. radio button and observe the behavior.
</t>
    </r>
  </si>
  <si>
    <r>
      <t xml:space="preserve">1. </t>
    </r>
    <r>
      <rPr>
        <b/>
        <sz val="11"/>
        <color theme="1"/>
        <rFont val="Calibri"/>
        <family val="2"/>
        <scheme val="minor"/>
      </rPr>
      <t xml:space="preserve">Currency Code </t>
    </r>
    <r>
      <rPr>
        <sz val="11"/>
        <color theme="1"/>
        <rFont val="Calibri"/>
        <family val="2"/>
        <scheme val="minor"/>
      </rPr>
      <t xml:space="preserve">radio button should be selectable. 
2. </t>
    </r>
    <r>
      <rPr>
        <b/>
        <sz val="11"/>
        <color theme="1"/>
        <rFont val="Calibri"/>
        <family val="2"/>
        <scheme val="minor"/>
      </rPr>
      <t>Currency Desc.</t>
    </r>
    <r>
      <rPr>
        <sz val="11"/>
        <color theme="1"/>
        <rFont val="Calibri"/>
        <family val="2"/>
        <scheme val="minor"/>
      </rPr>
      <t xml:space="preserve"> radio button should be selectable 
3. Only one radio button (Currency Code or Currency Desc.) should remain selected at a time.</t>
    </r>
  </si>
  <si>
    <t>Functionality is working as expected and Both Radio Button ( Currency Code &amp; Currency Disc.) is Selectable.</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</si>
  <si>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Select Currency Code Radio button
5. Enter different Currency Code values in the Search Currency field and validate the output results.
</t>
    </r>
  </si>
  <si>
    <r>
      <t xml:space="preserve">1. Select Currency Code Radio Button
</t>
    </r>
    <r>
      <rPr>
        <b/>
        <sz val="11"/>
        <color theme="1"/>
        <rFont val="Calibri"/>
        <family val="2"/>
        <scheme val="minor"/>
      </rPr>
      <t xml:space="preserve">
Valid  Data - INR, ADP, AFA
Invalid Data - 123, @@#, ABC, a1@ </t>
    </r>
  </si>
  <si>
    <t>1. When the Currency Code radio button is selected, the Search field must work  based on Currency Code values only.
2. The system must display only valid and correctly matching records when a valid currency code is entered.
3. Invalid inputs should return no results.</t>
  </si>
  <si>
    <t>Currency_03</t>
  </si>
  <si>
    <t>Currency_04</t>
  </si>
  <si>
    <r>
      <t xml:space="preserve">Validate the functionality of </t>
    </r>
    <r>
      <rPr>
        <b/>
        <sz val="11"/>
        <color theme="1"/>
        <rFont val="Calibri"/>
        <family val="2"/>
        <scheme val="minor"/>
      </rPr>
      <t xml:space="preserve">Search Currency </t>
    </r>
    <r>
      <rPr>
        <sz val="11"/>
        <color theme="1"/>
        <rFont val="Calibri"/>
        <family val="2"/>
        <scheme val="minor"/>
      </rPr>
      <t>field, when the</t>
    </r>
    <r>
      <rPr>
        <b/>
        <sz val="11"/>
        <color theme="1"/>
        <rFont val="Calibri"/>
        <family val="2"/>
        <scheme val="minor"/>
      </rPr>
      <t xml:space="preserve"> Currency Code</t>
    </r>
    <r>
      <rPr>
        <sz val="11"/>
        <color theme="1"/>
        <rFont val="Calibri"/>
        <family val="2"/>
        <scheme val="minor"/>
      </rPr>
      <t xml:space="preserve"> radio button is selected in Currency Page.</t>
    </r>
  </si>
  <si>
    <r>
      <t xml:space="preserve">Validate the functionality of </t>
    </r>
    <r>
      <rPr>
        <b/>
        <sz val="11"/>
        <color theme="1"/>
        <rFont val="Calibri"/>
        <family val="2"/>
        <scheme val="minor"/>
      </rPr>
      <t xml:space="preserve">Search Currency </t>
    </r>
    <r>
      <rPr>
        <sz val="11"/>
        <color theme="1"/>
        <rFont val="Calibri"/>
        <family val="2"/>
        <scheme val="minor"/>
      </rPr>
      <t>field, when the</t>
    </r>
    <r>
      <rPr>
        <b/>
        <sz val="11"/>
        <color theme="1"/>
        <rFont val="Calibri"/>
        <family val="2"/>
        <scheme val="minor"/>
      </rPr>
      <t xml:space="preserve"> Currency Disc. </t>
    </r>
    <r>
      <rPr>
        <sz val="11"/>
        <color theme="1"/>
        <rFont val="Calibri"/>
        <family val="2"/>
        <scheme val="minor"/>
      </rPr>
      <t xml:space="preserve"> radio button is selected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</si>
  <si>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Select Currency Disc.  Radio button
5. Enter different Currency Description values in the Search Currency field and validate the result grid.
</t>
    </r>
  </si>
  <si>
    <r>
      <t xml:space="preserve">1. When the </t>
    </r>
    <r>
      <rPr>
        <b/>
        <sz val="11"/>
        <color theme="1"/>
        <rFont val="Calibri"/>
        <family val="2"/>
        <scheme val="minor"/>
      </rPr>
      <t>Currency Desc.</t>
    </r>
    <r>
      <rPr>
        <sz val="11"/>
        <color theme="1"/>
        <rFont val="Calibri"/>
        <family val="2"/>
        <scheme val="minor"/>
      </rPr>
      <t xml:space="preserve"> radio button is selected, the search field must work  based on Currency Desc. values.
2. The system must display only valid, matching records based on the desc. entered.
3. Invalid inputs such as numbers, special characters, and mixed characters should return no results.
4.The Search field should support, </t>
    </r>
    <r>
      <rPr>
        <b/>
        <sz val="11"/>
        <color theme="1"/>
        <rFont val="Calibri"/>
        <family val="2"/>
        <scheme val="minor"/>
      </rPr>
      <t>Full match search</t>
    </r>
    <r>
      <rPr>
        <sz val="11"/>
        <color theme="1"/>
        <rFont val="Calibri"/>
        <family val="2"/>
        <scheme val="minor"/>
      </rPr>
      <t xml:space="preserve"> and </t>
    </r>
    <r>
      <rPr>
        <b/>
        <sz val="11"/>
        <color theme="1"/>
        <rFont val="Calibri"/>
        <family val="2"/>
        <scheme val="minor"/>
      </rPr>
      <t>Partial match search</t>
    </r>
    <r>
      <rPr>
        <sz val="11"/>
        <color theme="1"/>
        <rFont val="Calibri"/>
        <family val="2"/>
        <scheme val="minor"/>
      </rPr>
      <t xml:space="preserve">.
</t>
    </r>
  </si>
  <si>
    <r>
      <t xml:space="preserve">1. Search Currency field is functional, but it only returns records when the search term matches the first word of the currency description.
</t>
    </r>
    <r>
      <rPr>
        <b/>
        <sz val="11"/>
        <color theme="1"/>
        <rFont val="Calibri"/>
        <family val="2"/>
        <scheme val="minor"/>
      </rPr>
      <t>Example:</t>
    </r>
    <r>
      <rPr>
        <sz val="11"/>
        <color theme="1"/>
        <rFont val="Calibri"/>
        <family val="2"/>
        <scheme val="minor"/>
      </rPr>
      <t xml:space="preserve"> '</t>
    </r>
    <r>
      <rPr>
        <b/>
        <sz val="11"/>
        <color theme="1"/>
        <rFont val="Calibri"/>
        <family val="2"/>
        <scheme val="minor"/>
      </rPr>
      <t>INDIAN RUPEE</t>
    </r>
    <r>
      <rPr>
        <sz val="11"/>
        <color theme="1"/>
        <rFont val="Calibri"/>
        <family val="2"/>
        <scheme val="minor"/>
      </rPr>
      <t xml:space="preserve">' is present in the list.
Searching for </t>
    </r>
    <r>
      <rPr>
        <b/>
        <sz val="11"/>
        <color theme="1"/>
        <rFont val="Calibri"/>
        <family val="2"/>
        <scheme val="minor"/>
      </rPr>
      <t>'INDIAN'</t>
    </r>
    <r>
      <rPr>
        <sz val="11"/>
        <color theme="1"/>
        <rFont val="Calibri"/>
        <family val="2"/>
        <scheme val="minor"/>
      </rPr>
      <t xml:space="preserve"> → Record appears.
Searching for </t>
    </r>
    <r>
      <rPr>
        <b/>
        <sz val="11"/>
        <color theme="1"/>
        <rFont val="Calibri"/>
        <family val="2"/>
        <scheme val="minor"/>
      </rPr>
      <t>'RUPEE'</t>
    </r>
    <r>
      <rPr>
        <sz val="11"/>
        <color theme="1"/>
        <rFont val="Calibri"/>
        <family val="2"/>
        <scheme val="minor"/>
      </rPr>
      <t xml:space="preserve"> → No results returned.
3. Partial search does not work if the keyword is not the first word in the description.
4. For invalid data inputs, the system correctly returns a blank list.</t>
    </r>
  </si>
  <si>
    <t>Currency_05</t>
  </si>
  <si>
    <r>
      <t>Validate the character length limitation of the</t>
    </r>
    <r>
      <rPr>
        <b/>
        <sz val="11"/>
        <color theme="1"/>
        <rFont val="Calibri"/>
        <family val="2"/>
        <scheme val="minor"/>
      </rPr>
      <t xml:space="preserve"> Search Currency</t>
    </r>
    <r>
      <rPr>
        <sz val="11"/>
        <color theme="1"/>
        <rFont val="Calibri"/>
        <family val="2"/>
        <scheme val="minor"/>
      </rPr>
      <t xml:space="preserve"> Field in the left-side panel of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</si>
  <si>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Enter different character length values in Search Currency Field.
</t>
    </r>
  </si>
  <si>
    <t xml:space="preserve">Enter less than 100 characters
Enter more than 100 characters
</t>
  </si>
  <si>
    <t>1. The Search Currency field must have a maximum character length limit (50 or 100 characters)
2. The field should not accept more characters beyond the defined limit.</t>
  </si>
  <si>
    <t>Currency_06</t>
  </si>
  <si>
    <r>
      <t xml:space="preserve">Validate </t>
    </r>
    <r>
      <rPr>
        <b/>
        <sz val="11"/>
        <color theme="1"/>
        <rFont val="Calibri"/>
        <family val="2"/>
        <scheme val="minor"/>
      </rPr>
      <t>Sort Ascending / Sort Descending</t>
    </r>
    <r>
      <rPr>
        <sz val="11"/>
        <color theme="1"/>
        <rFont val="Calibri"/>
        <family val="2"/>
        <scheme val="minor"/>
      </rPr>
      <t xml:space="preserve"> and </t>
    </r>
    <r>
      <rPr>
        <b/>
        <sz val="11"/>
        <color theme="1"/>
        <rFont val="Calibri"/>
        <family val="2"/>
        <scheme val="minor"/>
      </rPr>
      <t>Column</t>
    </r>
    <r>
      <rPr>
        <sz val="11"/>
        <color theme="1"/>
        <rFont val="Calibri"/>
        <family val="2"/>
        <scheme val="minor"/>
      </rPr>
      <t xml:space="preserve"> Selection Checkbox Behavior for Currency Details (Left Panel) of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</si>
  <si>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different character length values in Search Currency Field.
5. On the left panel, Click 
 -&gt; Sort Ascending and verify list order.
 -&gt; Click Sort Descending and verify list order.
 -&gt; Checkboxes: select all checkboxes all columns visible
 - &gt; deselect all - all columns hidden.</t>
    </r>
  </si>
  <si>
    <r>
      <t xml:space="preserve">1. </t>
    </r>
    <r>
      <rPr>
        <b/>
        <sz val="11"/>
        <color theme="1"/>
        <rFont val="Calibri"/>
        <family val="2"/>
        <scheme val="minor"/>
      </rPr>
      <t>Sorting:</t>
    </r>
    <r>
      <rPr>
        <sz val="11"/>
        <color theme="1"/>
        <rFont val="Calibri"/>
        <family val="2"/>
        <scheme val="minor"/>
      </rPr>
      <t xml:space="preserve"> Currency Details list should sort correctly in both ascending and descending order.
</t>
    </r>
    <r>
      <rPr>
        <b/>
        <sz val="11"/>
        <color theme="1"/>
        <rFont val="Calibri"/>
        <family val="2"/>
        <scheme val="minor"/>
      </rPr>
      <t>Column Selection:</t>
    </r>
    <r>
      <rPr>
        <sz val="11"/>
        <color theme="1"/>
        <rFont val="Calibri"/>
        <family val="2"/>
        <scheme val="minor"/>
      </rPr>
      <t xml:space="preserve">
- &gt; When all column checkboxes are selected →</t>
    </r>
    <r>
      <rPr>
        <b/>
        <sz val="11"/>
        <color theme="1"/>
        <rFont val="Calibri"/>
        <family val="2"/>
        <scheme val="minor"/>
      </rPr>
      <t xml:space="preserve"> All columns should be displayed.</t>
    </r>
    <r>
      <rPr>
        <sz val="11"/>
        <color theme="1"/>
        <rFont val="Calibri"/>
        <family val="2"/>
        <scheme val="minor"/>
      </rPr>
      <t xml:space="preserve">
- &gt; When all checkboxes are deselected → </t>
    </r>
    <r>
      <rPr>
        <b/>
        <sz val="11"/>
        <color theme="1"/>
        <rFont val="Calibri"/>
        <family val="2"/>
        <scheme val="minor"/>
      </rPr>
      <t>All columns should be hidden.</t>
    </r>
  </si>
  <si>
    <r>
      <t xml:space="preserve">1. </t>
    </r>
    <r>
      <rPr>
        <b/>
        <sz val="11"/>
        <color theme="1"/>
        <rFont val="Calibri"/>
        <family val="2"/>
        <scheme val="minor"/>
      </rPr>
      <t>Sorting:</t>
    </r>
    <r>
      <rPr>
        <sz val="11"/>
        <color theme="1"/>
        <rFont val="Calibri"/>
        <family val="2"/>
        <scheme val="minor"/>
      </rPr>
      <t xml:space="preserve"> Currency Details list sorts correctly in both ascending and descending order.
2. </t>
    </r>
    <r>
      <rPr>
        <b/>
        <sz val="11"/>
        <color theme="1"/>
        <rFont val="Calibri"/>
        <family val="2"/>
        <scheme val="minor"/>
      </rPr>
      <t xml:space="preserve">Column Selection: 
</t>
    </r>
    <r>
      <rPr>
        <sz val="11"/>
        <color theme="1"/>
        <rFont val="Calibri"/>
        <family val="2"/>
        <scheme val="minor"/>
      </rPr>
      <t xml:space="preserve"> -&gt; When all checkboxes are selected, all columns display correctly.
 -&gt; However, when all checkboxes are deselected, one column remains visible.</t>
    </r>
  </si>
  <si>
    <t>Currency_07</t>
  </si>
  <si>
    <r>
      <t>Validate whether the selected</t>
    </r>
    <r>
      <rPr>
        <b/>
        <sz val="11"/>
        <color theme="1"/>
        <rFont val="Calibri"/>
        <family val="2"/>
        <scheme val="minor"/>
      </rPr>
      <t xml:space="preserve"> Currency Details</t>
    </r>
    <r>
      <rPr>
        <sz val="11"/>
        <color theme="1"/>
        <rFont val="Calibri"/>
        <family val="2"/>
        <scheme val="minor"/>
      </rPr>
      <t xml:space="preserve"> from the left-panel list are correctly reflected in the corresponding textboxes on the </t>
    </r>
    <r>
      <rPr>
        <b/>
        <sz val="11"/>
        <color theme="1"/>
        <rFont val="Calibri"/>
        <family val="2"/>
        <scheme val="minor"/>
      </rPr>
      <t>Currency Master</t>
    </r>
    <r>
      <rPr>
        <sz val="11"/>
        <color theme="1"/>
        <rFont val="Calibri"/>
        <family val="2"/>
        <scheme val="minor"/>
      </rPr>
      <t xml:space="preserve"> Page (Main Page).</t>
    </r>
  </si>
  <si>
    <t xml:space="preserve">1. The Currency Details selected from the left panel must be displayed correctly in the corresponding textboxes on the Currency Master Page.
2. When another currency record is selected, Details should be refresh with new record.
</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</si>
  <si>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From the left-panel Currency Details list, select any currency record and observe.
5. Now click another record from the left panel and verify that the data in all textboxes updates accordingly.</t>
    </r>
  </si>
  <si>
    <r>
      <t xml:space="preserve">1. Select </t>
    </r>
    <r>
      <rPr>
        <b/>
        <sz val="11"/>
        <color theme="1"/>
        <rFont val="Calibri"/>
        <family val="2"/>
        <scheme val="minor"/>
      </rPr>
      <t>Currency Disc.</t>
    </r>
    <r>
      <rPr>
        <sz val="11"/>
        <color theme="1"/>
        <rFont val="Calibri"/>
        <family val="2"/>
        <scheme val="minor"/>
      </rPr>
      <t xml:space="preserve"> Radio Button
</t>
    </r>
    <r>
      <rPr>
        <b/>
        <sz val="11"/>
        <color theme="1"/>
        <rFont val="Calibri"/>
        <family val="2"/>
        <scheme val="minor"/>
      </rPr>
      <t xml:space="preserve">
</t>
    </r>
    <r>
      <rPr>
        <sz val="11"/>
        <color theme="1"/>
        <rFont val="Calibri"/>
        <family val="2"/>
        <scheme val="minor"/>
      </rPr>
      <t>Valid  Data</t>
    </r>
    <r>
      <rPr>
        <b/>
        <sz val="11"/>
        <color theme="1"/>
        <rFont val="Calibri"/>
        <family val="2"/>
        <scheme val="minor"/>
      </rPr>
      <t xml:space="preserve"> - indian Rupee, dobra, cfa franc
</t>
    </r>
    <r>
      <rPr>
        <sz val="11"/>
        <color theme="1"/>
        <rFont val="Calibri"/>
        <family val="2"/>
        <scheme val="minor"/>
      </rPr>
      <t>Invalid Data</t>
    </r>
    <r>
      <rPr>
        <b/>
        <sz val="11"/>
        <color theme="1"/>
        <rFont val="Calibri"/>
        <family val="2"/>
        <scheme val="minor"/>
      </rPr>
      <t xml:space="preserve"> - 123, @@#, ABC, a1@</t>
    </r>
  </si>
  <si>
    <t>Currency_08</t>
  </si>
  <si>
    <r>
      <t xml:space="preserve">Textbox - </t>
    </r>
    <r>
      <rPr>
        <b/>
        <sz val="11"/>
        <color theme="1"/>
        <rFont val="Calibri"/>
        <family val="2"/>
        <scheme val="minor"/>
      </rPr>
      <t>Currency Code</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USD, INR, BHD etc.
</t>
    </r>
    <r>
      <rPr>
        <b/>
        <sz val="11"/>
        <color theme="1"/>
        <rFont val="Calibri"/>
        <family val="2"/>
        <scheme val="minor"/>
      </rPr>
      <t>Invalid Data</t>
    </r>
    <r>
      <rPr>
        <sz val="11"/>
        <color theme="1"/>
        <rFont val="Calibri"/>
        <family val="2"/>
        <scheme val="minor"/>
      </rPr>
      <t xml:space="preserve"> - 123, @#$, A1@, 1B3, #C1, Only Space, More than 3 character value etc.</t>
    </r>
  </si>
  <si>
    <t>Currency_09</t>
  </si>
  <si>
    <r>
      <t xml:space="preserve">Validate the functionality of </t>
    </r>
    <r>
      <rPr>
        <b/>
        <sz val="11"/>
        <color theme="1"/>
        <rFont val="Calibri"/>
        <family val="2"/>
        <scheme val="minor"/>
      </rPr>
      <t>Currency Name</t>
    </r>
    <r>
      <rPr>
        <sz val="11"/>
        <color theme="1"/>
        <rFont val="Calibri"/>
        <family val="2"/>
        <scheme val="minor"/>
      </rPr>
      <t xml:space="preserve"> textbox with valid and invalid data in Currency Page.</t>
    </r>
  </si>
  <si>
    <r>
      <t xml:space="preserve">Validate the functionality of </t>
    </r>
    <r>
      <rPr>
        <b/>
        <sz val="11"/>
        <color theme="1"/>
        <rFont val="Calibri"/>
        <family val="2"/>
        <scheme val="minor"/>
      </rPr>
      <t>Currency Code</t>
    </r>
    <r>
      <rPr>
        <sz val="11"/>
        <color theme="1"/>
        <rFont val="Calibri"/>
        <family val="2"/>
        <scheme val="minor"/>
      </rPr>
      <t xml:space="preserve"> textbox with valid and invalid data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</si>
  <si>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In the </t>
    </r>
    <r>
      <rPr>
        <b/>
        <sz val="11"/>
        <color theme="1"/>
        <rFont val="Calibri"/>
        <family val="2"/>
        <scheme val="minor"/>
      </rPr>
      <t>Currency Code</t>
    </r>
    <r>
      <rPr>
        <sz val="11"/>
        <color theme="1"/>
        <rFont val="Calibri"/>
        <family val="2"/>
        <scheme val="minor"/>
      </rPr>
      <t xml:space="preserve"> textbox, enter various valid and invalid values and observe the system behavior.</t>
    </r>
  </si>
  <si>
    <r>
      <t xml:space="preserve">1. As per the Use Case, The </t>
    </r>
    <r>
      <rPr>
        <b/>
        <sz val="11"/>
        <color theme="1"/>
        <rFont val="Calibri"/>
        <family val="2"/>
        <scheme val="minor"/>
      </rPr>
      <t>Currency Code</t>
    </r>
    <r>
      <rPr>
        <sz val="11"/>
        <color theme="1"/>
        <rFont val="Calibri"/>
        <family val="2"/>
        <scheme val="minor"/>
      </rPr>
      <t xml:space="preserve"> textbox should accept only 3-digit alphabetic values (A–Z).
2. The textbox should not accept:
-&gt; Numeric values
-&gt; Special characters
-&gt; Alpha-numeric values
-&gt; Only spaces
3. The textbox should a maximum length of 3 characters and should not allow more than 3 characters.</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</si>
  <si>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In the </t>
    </r>
    <r>
      <rPr>
        <b/>
        <sz val="11"/>
        <color theme="1"/>
        <rFont val="Calibri"/>
        <family val="2"/>
        <scheme val="minor"/>
      </rPr>
      <t xml:space="preserve">Currency Name </t>
    </r>
    <r>
      <rPr>
        <sz val="11"/>
        <color theme="1"/>
        <rFont val="Calibri"/>
        <family val="2"/>
        <scheme val="minor"/>
      </rPr>
      <t xml:space="preserve"> textbox, enter various valid and invalid values and observe the system behavior.</t>
    </r>
  </si>
  <si>
    <r>
      <t xml:space="preserve">Textbox - </t>
    </r>
    <r>
      <rPr>
        <b/>
        <sz val="11"/>
        <color theme="1"/>
        <rFont val="Calibri"/>
        <family val="2"/>
        <scheme val="minor"/>
      </rPr>
      <t>Currency Name</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Indian Rupees, US Dollar , Canadian Dollar, Any alphabetic name with space between words.
</t>
    </r>
    <r>
      <rPr>
        <b/>
        <sz val="11"/>
        <color theme="1"/>
        <rFont val="Calibri"/>
        <family val="2"/>
        <scheme val="minor"/>
      </rPr>
      <t>Invalid Data</t>
    </r>
    <r>
      <rPr>
        <sz val="11"/>
        <color theme="1"/>
        <rFont val="Calibri"/>
        <family val="2"/>
        <scheme val="minor"/>
      </rPr>
      <t xml:space="preserve"> - Only Space value, Special Character Value, Numeric Value etc. 
Maximum length up to 20 characters.</t>
    </r>
  </si>
  <si>
    <r>
      <t xml:space="preserve">1. As per use Case, Currency Name textbox should accept only </t>
    </r>
    <r>
      <rPr>
        <b/>
        <sz val="11"/>
        <color theme="1"/>
        <rFont val="Calibri"/>
        <family val="2"/>
        <scheme val="minor"/>
      </rPr>
      <t>alphabetic</t>
    </r>
    <r>
      <rPr>
        <sz val="11"/>
        <color theme="1"/>
        <rFont val="Calibri"/>
        <family val="2"/>
        <scheme val="minor"/>
      </rPr>
      <t xml:space="preserve"> characters (A–Z) and space between words.
2. It should not accept:
-&gt; Numeric values
-&gt; Special characters
-&gt; Alphanumeric values
-&gt; Only spaces
4. Spaces in the middle (e.g., Indian Rupee) should be allowed.
5. The textbox should a maximum limit of 20 characters and should not allow more than 20 characters.</t>
    </r>
  </si>
  <si>
    <t>1. Functionality is not working as expected.
2. The textbox is not accepting space between words.
Example: Indian Rupee - space is not allowed between "Indian" and "Rupee".
3. The 20-character limit is correctly implemented.
4. Invalid data restrictions are working correctly.</t>
  </si>
  <si>
    <t>Currency_10</t>
  </si>
  <si>
    <r>
      <t xml:space="preserve">Validate the functionality of </t>
    </r>
    <r>
      <rPr>
        <b/>
        <sz val="11"/>
        <color theme="1"/>
        <rFont val="Calibri"/>
        <family val="2"/>
        <scheme val="minor"/>
      </rPr>
      <t>Unit in Rs.</t>
    </r>
    <r>
      <rPr>
        <sz val="11"/>
        <color theme="1"/>
        <rFont val="Calibri"/>
        <family val="2"/>
        <scheme val="minor"/>
      </rPr>
      <t xml:space="preserve"> textbox with valid and invalid data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</si>
  <si>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Enter valid and invalid values in the </t>
    </r>
    <r>
      <rPr>
        <b/>
        <sz val="11"/>
        <color theme="1"/>
        <rFont val="Calibri"/>
        <family val="2"/>
        <scheme val="minor"/>
      </rPr>
      <t xml:space="preserve">Unit in Rs. </t>
    </r>
    <r>
      <rPr>
        <sz val="11"/>
        <color theme="1"/>
        <rFont val="Calibri"/>
        <family val="2"/>
        <scheme val="minor"/>
      </rPr>
      <t>textbox and observe the system behavior.</t>
    </r>
  </si>
  <si>
    <t>Currency_11</t>
  </si>
  <si>
    <r>
      <t xml:space="preserve">Validate the functionality of </t>
    </r>
    <r>
      <rPr>
        <b/>
        <sz val="11"/>
        <color theme="1"/>
        <rFont val="Calibri"/>
        <family val="2"/>
        <scheme val="minor"/>
      </rPr>
      <t>Export Rate</t>
    </r>
    <r>
      <rPr>
        <sz val="11"/>
        <color theme="1"/>
        <rFont val="Calibri"/>
        <family val="2"/>
        <scheme val="minor"/>
      </rPr>
      <t xml:space="preserve"> textbox with valid and invalid data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</si>
  <si>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Enter valid and invalid values in the </t>
    </r>
    <r>
      <rPr>
        <b/>
        <sz val="11"/>
        <color theme="1"/>
        <rFont val="Calibri"/>
        <family val="2"/>
        <scheme val="minor"/>
      </rPr>
      <t>Export Rate</t>
    </r>
    <r>
      <rPr>
        <sz val="11"/>
        <color theme="1"/>
        <rFont val="Calibri"/>
        <family val="2"/>
        <scheme val="minor"/>
      </rPr>
      <t xml:space="preserve"> textbox and observe the system behavior.</t>
    </r>
  </si>
  <si>
    <t>Currency_12</t>
  </si>
  <si>
    <r>
      <t xml:space="preserve">Textbox - </t>
    </r>
    <r>
      <rPr>
        <b/>
        <sz val="11"/>
        <color theme="1"/>
        <rFont val="Calibri"/>
        <family val="2"/>
        <scheme val="minor"/>
      </rPr>
      <t>Unit in Rs.</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10.5, 40, 50, 1 , 10
</t>
    </r>
    <r>
      <rPr>
        <b/>
        <sz val="11"/>
        <color theme="1"/>
        <rFont val="Calibri"/>
        <family val="2"/>
        <scheme val="minor"/>
      </rPr>
      <t>Invalid Data</t>
    </r>
    <r>
      <rPr>
        <sz val="11"/>
        <color theme="1"/>
        <rFont val="Calibri"/>
        <family val="2"/>
        <scheme val="minor"/>
      </rPr>
      <t xml:space="preserve"> - only space value, Special Character value, Alphabets value, Multiple dots (10..5, .50.75), Leading dot(.40) etc.</t>
    </r>
  </si>
  <si>
    <r>
      <t xml:space="preserve">1. As per use Case, The </t>
    </r>
    <r>
      <rPr>
        <b/>
        <sz val="11"/>
        <color theme="1"/>
        <rFont val="Calibri"/>
        <family val="2"/>
        <scheme val="minor"/>
      </rPr>
      <t>Unit in Rs.</t>
    </r>
    <r>
      <rPr>
        <sz val="11"/>
        <color theme="1"/>
        <rFont val="Calibri"/>
        <family val="2"/>
        <scheme val="minor"/>
      </rPr>
      <t xml:space="preserve"> textbox should accept Numeric values (10).
2. The textbox should NOT accept:
-&gt; Alphabetic values
-&gt; Special characters 
-&gt; Alphanumeric combinations
-&gt; Only spaces
-&gt; Leading or trailing spaces
3. The textbox should a maximum length of 9 characters (e.g., 123456.78)
</t>
    </r>
  </si>
  <si>
    <r>
      <t xml:space="preserve">Textbox - </t>
    </r>
    <r>
      <rPr>
        <b/>
        <sz val="11"/>
        <color theme="1"/>
        <rFont val="Calibri"/>
        <family val="2"/>
        <scheme val="minor"/>
      </rPr>
      <t>Export Rate</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10.5, 40, 50, 80.25, 1234.5 etc.
</t>
    </r>
    <r>
      <rPr>
        <b/>
        <sz val="11"/>
        <color theme="1"/>
        <rFont val="Calibri"/>
        <family val="2"/>
        <scheme val="minor"/>
      </rPr>
      <t>Invalid Data</t>
    </r>
    <r>
      <rPr>
        <sz val="11"/>
        <color theme="1"/>
        <rFont val="Calibri"/>
        <family val="2"/>
        <scheme val="minor"/>
      </rPr>
      <t xml:space="preserve"> - only space value, Special Character value, Alphabets value, Multiple dots (10..5) etc.</t>
    </r>
  </si>
  <si>
    <r>
      <t xml:space="preserve">Validate the functionality of </t>
    </r>
    <r>
      <rPr>
        <b/>
        <sz val="11"/>
        <color theme="1"/>
        <rFont val="Calibri"/>
        <family val="2"/>
        <scheme val="minor"/>
      </rPr>
      <t>Import Rate</t>
    </r>
    <r>
      <rPr>
        <sz val="11"/>
        <color theme="1"/>
        <rFont val="Calibri"/>
        <family val="2"/>
        <scheme val="minor"/>
      </rPr>
      <t xml:space="preserve"> textbox with valid and invalid data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</si>
  <si>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Enter valid and invalid values in the </t>
    </r>
    <r>
      <rPr>
        <b/>
        <sz val="11"/>
        <color theme="1"/>
        <rFont val="Calibri"/>
        <family val="2"/>
        <scheme val="minor"/>
      </rPr>
      <t>Import Rate</t>
    </r>
    <r>
      <rPr>
        <sz val="11"/>
        <color theme="1"/>
        <rFont val="Calibri"/>
        <family val="2"/>
        <scheme val="minor"/>
      </rPr>
      <t xml:space="preserve"> textbox and observe the system behavior.</t>
    </r>
  </si>
  <si>
    <r>
      <t xml:space="preserve">Textbox - </t>
    </r>
    <r>
      <rPr>
        <b/>
        <sz val="11"/>
        <color theme="1"/>
        <rFont val="Calibri"/>
        <family val="2"/>
        <scheme val="minor"/>
      </rPr>
      <t>Import Rate</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10.5, 40, 50, 80.25, 1234.5 etc.
</t>
    </r>
    <r>
      <rPr>
        <b/>
        <sz val="11"/>
        <color theme="1"/>
        <rFont val="Calibri"/>
        <family val="2"/>
        <scheme val="minor"/>
      </rPr>
      <t>Invalid Data</t>
    </r>
    <r>
      <rPr>
        <sz val="11"/>
        <color theme="1"/>
        <rFont val="Calibri"/>
        <family val="2"/>
        <scheme val="minor"/>
      </rPr>
      <t xml:space="preserve"> - only space value, Special Character value, Alphabets value, Multiple dots (10..5) etc.</t>
    </r>
  </si>
  <si>
    <r>
      <t xml:space="preserve">1. As per use Case, The </t>
    </r>
    <r>
      <rPr>
        <b/>
        <sz val="11"/>
        <color theme="1"/>
        <rFont val="Calibri"/>
        <family val="2"/>
        <scheme val="minor"/>
      </rPr>
      <t>Export Rate</t>
    </r>
    <r>
      <rPr>
        <sz val="11"/>
        <color theme="1"/>
        <rFont val="Calibri"/>
        <family val="2"/>
        <scheme val="minor"/>
      </rPr>
      <t xml:space="preserve"> textbox should accept Numeric values and Float/decimal values with a single dot (80, 10.5, 80.25).
2. The textbox should NOT accept:
-&gt; Alphabetic values
-&gt; Special characters (except a single . dot)
-&gt; Alphanumeric combinations
-&gt; Only spaces
-&gt; Multiple dot characters
 -&gt; Leading dot (.40) and Trailing dot (40.)
3. The textbox should a maximum length of 5 characters (e.g., 123456)
4. Dot (.) should be allowed Only once and  between numeric digits.</t>
    </r>
  </si>
  <si>
    <r>
      <t xml:space="preserve">1. The </t>
    </r>
    <r>
      <rPr>
        <b/>
        <sz val="11"/>
        <color theme="1"/>
        <rFont val="Calibri"/>
        <family val="2"/>
        <scheme val="minor"/>
      </rPr>
      <t>Import Rate</t>
    </r>
    <r>
      <rPr>
        <sz val="11"/>
        <color theme="1"/>
        <rFont val="Calibri"/>
        <family val="2"/>
        <scheme val="minor"/>
      </rPr>
      <t xml:space="preserve"> textbox should accept Numeric values and Float/decimal values with a single dot (50, 10.5, 80.25).
2. The textbox should NOT accept:
-&gt; Alphabetic values
-&gt; Special characters (except a single . dot)
-&gt; Alphanumeric combinations
-&gt; Only spaces
-&gt; Multiple dot characters
 -&gt; Leading dot (.40) and Trailing dot (40.)
3. The textbox should a maximum length of 5 characters (e.g., 123456)
4. Dot (.) should be allowed Only once and  between numeric digits.</t>
    </r>
  </si>
  <si>
    <t>Currency_13</t>
  </si>
  <si>
    <r>
      <t xml:space="preserve">Validate the functionality of </t>
    </r>
    <r>
      <rPr>
        <b/>
        <sz val="11"/>
        <color theme="1"/>
        <rFont val="Calibri"/>
        <family val="2"/>
        <scheme val="minor"/>
      </rPr>
      <t>Whether Standard</t>
    </r>
    <r>
      <rPr>
        <sz val="11"/>
        <color theme="1"/>
        <rFont val="Calibri"/>
        <family val="2"/>
        <scheme val="minor"/>
      </rPr>
      <t xml:space="preserve"> Radio button in Currency Page.</t>
    </r>
  </si>
  <si>
    <r>
      <t xml:space="preserve">Radio Button - </t>
    </r>
    <r>
      <rPr>
        <b/>
        <sz val="11"/>
        <color theme="1"/>
        <rFont val="Calibri"/>
        <family val="2"/>
        <scheme val="minor"/>
      </rPr>
      <t>Whether Standard</t>
    </r>
    <r>
      <rPr>
        <sz val="11"/>
        <color theme="1"/>
        <rFont val="Calibri"/>
        <family val="2"/>
        <scheme val="minor"/>
      </rPr>
      <t xml:space="preserv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</si>
  <si>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Click the </t>
    </r>
    <r>
      <rPr>
        <b/>
        <sz val="11"/>
        <color theme="1"/>
        <rFont val="Calibri"/>
        <family val="2"/>
        <scheme val="minor"/>
      </rPr>
      <t>Whether Standard</t>
    </r>
    <r>
      <rPr>
        <sz val="11"/>
        <color theme="1"/>
        <rFont val="Calibri"/>
        <family val="2"/>
        <scheme val="minor"/>
      </rPr>
      <t xml:space="preserve"> radio button and observe the system behavior.</t>
    </r>
  </si>
  <si>
    <t>1. The Whether Standard radio button should be selectable.
2. Only one option should be selectable at a time.</t>
  </si>
  <si>
    <t>Functionality is working as Expected.</t>
  </si>
  <si>
    <t>Currency_14</t>
  </si>
  <si>
    <r>
      <t xml:space="preserve">Validate the functionality of </t>
    </r>
    <r>
      <rPr>
        <b/>
        <sz val="11"/>
        <color theme="1"/>
        <rFont val="Calibri"/>
        <family val="2"/>
        <scheme val="minor"/>
      </rPr>
      <t>Effective Date</t>
    </r>
    <r>
      <rPr>
        <sz val="11"/>
        <color theme="1"/>
        <rFont val="Calibri"/>
        <family val="2"/>
        <scheme val="minor"/>
      </rPr>
      <t xml:space="preserve"> textbox with valid and invalid data in Currency Page.</t>
    </r>
  </si>
  <si>
    <r>
      <t xml:space="preserve">Textbox - </t>
    </r>
    <r>
      <rPr>
        <b/>
        <sz val="11"/>
        <color theme="1"/>
        <rFont val="Calibri"/>
        <family val="2"/>
        <scheme val="minor"/>
      </rPr>
      <t xml:space="preserve">Effective Date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</si>
  <si>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Select a date in the </t>
    </r>
    <r>
      <rPr>
        <b/>
        <sz val="11"/>
        <color theme="1"/>
        <rFont val="Calibri"/>
        <family val="2"/>
        <scheme val="minor"/>
      </rPr>
      <t>Effective Date</t>
    </r>
    <r>
      <rPr>
        <sz val="11"/>
        <color theme="1"/>
        <rFont val="Calibri"/>
        <family val="2"/>
        <scheme val="minor"/>
      </rPr>
      <t xml:space="preserve"> textbox and observe the system behavior.</t>
    </r>
  </si>
  <si>
    <r>
      <t xml:space="preserve">1. The date should be selected properly.
2. The date format should strictly follow </t>
    </r>
    <r>
      <rPr>
        <b/>
        <sz val="11"/>
        <color theme="1"/>
        <rFont val="Calibri"/>
        <family val="2"/>
        <scheme val="minor"/>
      </rPr>
      <t xml:space="preserve">DD-MM-YYYY.
</t>
    </r>
    <r>
      <rPr>
        <sz val="11"/>
        <color theme="1"/>
        <rFont val="Calibri"/>
        <family val="2"/>
        <scheme val="minor"/>
      </rPr>
      <t>3. Invalid date or value should not be submitted.</t>
    </r>
  </si>
  <si>
    <t>Currency_15</t>
  </si>
  <si>
    <r>
      <t xml:space="preserve">Validate the functionality of </t>
    </r>
    <r>
      <rPr>
        <b/>
        <sz val="11"/>
        <color theme="1"/>
        <rFont val="Calibri"/>
        <family val="2"/>
        <scheme val="minor"/>
      </rPr>
      <t>Notification No</t>
    </r>
    <r>
      <rPr>
        <sz val="11"/>
        <color theme="1"/>
        <rFont val="Calibri"/>
        <family val="2"/>
        <scheme val="minor"/>
      </rPr>
      <t xml:space="preserve"> textbox with valid and invalid data in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</si>
  <si>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Enter Valid and Invalid value in </t>
    </r>
    <r>
      <rPr>
        <b/>
        <sz val="11"/>
        <color theme="1"/>
        <rFont val="Calibri"/>
        <family val="2"/>
        <scheme val="minor"/>
      </rPr>
      <t>Notification No</t>
    </r>
    <r>
      <rPr>
        <sz val="11"/>
        <color theme="1"/>
        <rFont val="Calibri"/>
        <family val="2"/>
        <scheme val="minor"/>
      </rPr>
      <t xml:space="preserve"> textbox and observe the system behaviour.</t>
    </r>
  </si>
  <si>
    <r>
      <t xml:space="preserve">Textbox - </t>
    </r>
    <r>
      <rPr>
        <b/>
        <sz val="11"/>
        <color theme="1"/>
        <rFont val="Calibri"/>
        <family val="2"/>
        <scheme val="minor"/>
      </rPr>
      <t xml:space="preserve">Notification No
Valid Data -  </t>
    </r>
    <r>
      <rPr>
        <sz val="11"/>
        <color theme="1"/>
        <rFont val="Calibri"/>
        <family val="2"/>
        <scheme val="minor"/>
      </rPr>
      <t>Alphabets value, Numeric Value and Alphanumeric Value.</t>
    </r>
    <r>
      <rPr>
        <b/>
        <sz val="11"/>
        <color theme="1"/>
        <rFont val="Calibri"/>
        <family val="2"/>
        <scheme val="minor"/>
      </rPr>
      <t xml:space="preserve">
Invalid Data - </t>
    </r>
    <r>
      <rPr>
        <sz val="11"/>
        <color theme="1"/>
        <rFont val="Calibri"/>
        <family val="2"/>
        <scheme val="minor"/>
      </rPr>
      <t>only space value, Special Character value.</t>
    </r>
  </si>
  <si>
    <r>
      <t xml:space="preserve">1. As per the Use Case, The textbox should accept alphanumeric values with a maximum limit of 100 characters.
2. Based on previously stored data, the textbox should also accept the following special characters:
</t>
    </r>
    <r>
      <rPr>
        <b/>
        <sz val="11"/>
        <color theme="1"/>
        <rFont val="Calibri"/>
        <family val="2"/>
        <scheme val="minor"/>
      </rPr>
      <t>[Dot (.), Comma (,), Percent (%), Hyphen (-), Forward Slash (/), Backslash (\), Ampersand (&amp;), Underscore (_)]</t>
    </r>
    <r>
      <rPr>
        <sz val="11"/>
        <color theme="1"/>
        <rFont val="Calibri"/>
        <family val="2"/>
        <scheme val="minor"/>
      </rPr>
      <t xml:space="preserve">
3. Any other special characters and space-only input should not be accepted.
4. Total input length should not exceed 100 characters.</t>
    </r>
  </si>
  <si>
    <t>Currency_16</t>
  </si>
  <si>
    <r>
      <rPr>
        <b/>
        <sz val="11"/>
        <color theme="1"/>
        <rFont val="Calibri"/>
        <family val="2"/>
        <scheme val="minor"/>
      </rPr>
      <t xml:space="preserve">1. </t>
    </r>
    <r>
      <rPr>
        <sz val="11"/>
        <color theme="1"/>
        <rFont val="Calibri"/>
        <family val="2"/>
        <scheme val="minor"/>
      </rPr>
      <t xml:space="preserve">Fill valid data in all textbox and click on save button.
</t>
    </r>
    <r>
      <rPr>
        <b/>
        <sz val="11"/>
        <color theme="1"/>
        <rFont val="Calibri"/>
        <family val="2"/>
        <scheme val="minor"/>
      </rPr>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</si>
  <si>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valid data in all fields and click the Save button and observe the system behavior.</t>
    </r>
  </si>
  <si>
    <t xml:space="preserve">1. The system should successfully save the record and display a confirmation pop-up message (e.g., “Record saved successfully”).
2. The saved record should be added to the Currency Details list on the left panel.
3. The newly saved record should be searchable using the search box.
</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</si>
  <si>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 xml:space="preserve">Mandatory </t>
    </r>
    <r>
      <rPr>
        <sz val="11"/>
        <color theme="1"/>
        <rFont val="Calibri"/>
        <family val="2"/>
        <scheme val="minor"/>
      </rPr>
      <t>fields are Filled in the Currency Page.</t>
    </r>
  </si>
  <si>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Are Filled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</si>
  <si>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valid data in all mandatory fields and click the Save button and observe the system behavior.</t>
    </r>
  </si>
  <si>
    <r>
      <rPr>
        <b/>
        <sz val="11"/>
        <color theme="1"/>
        <rFont val="Calibri"/>
        <family val="2"/>
        <scheme val="minor"/>
      </rPr>
      <t xml:space="preserve">1. </t>
    </r>
    <r>
      <rPr>
        <sz val="11"/>
        <color theme="1"/>
        <rFont val="Calibri"/>
        <family val="2"/>
        <scheme val="minor"/>
      </rPr>
      <t xml:space="preserve">Fill valid data in all mandatroy textbox and click on save button.
</t>
    </r>
    <r>
      <rPr>
        <b/>
        <sz val="11"/>
        <color theme="1"/>
        <rFont val="Calibri"/>
        <family val="2"/>
        <scheme val="minor"/>
      </rPr>
      <t/>
    </r>
  </si>
  <si>
    <t>Currency_17</t>
  </si>
  <si>
    <t xml:space="preserve">1. Left one or two mandatory field blank, Rest All mandatory field are filled.
</t>
  </si>
  <si>
    <r>
      <t xml:space="preserve">Validate the functionality of the </t>
    </r>
    <r>
      <rPr>
        <b/>
        <sz val="11"/>
        <color theme="1"/>
        <rFont val="Calibri"/>
        <family val="2"/>
        <scheme val="minor"/>
      </rPr>
      <t>Save</t>
    </r>
    <r>
      <rPr>
        <sz val="11"/>
        <color theme="1"/>
        <rFont val="Calibri"/>
        <family val="2"/>
        <scheme val="minor"/>
      </rPr>
      <t xml:space="preserve"> button when one or more mandatory fields are left blank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</si>
  <si>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Leave one or more mandatory fields blank and click on save button and observe the system behaviour.</t>
    </r>
  </si>
  <si>
    <t>1. The system should not allow saving when any mandatory field is left blank.
2. Proper validation messages should be displayed for each missing mandatory field.
3. The Save operation should only succeed once all mandatory fields are filled correctly.</t>
  </si>
  <si>
    <t>Currency_18</t>
  </si>
  <si>
    <r>
      <t xml:space="preserve">Validate the functionality of </t>
    </r>
    <r>
      <rPr>
        <b/>
        <sz val="11"/>
        <color theme="1"/>
        <rFont val="Calibri"/>
        <family val="2"/>
        <scheme val="minor"/>
      </rPr>
      <t>Modify</t>
    </r>
    <r>
      <rPr>
        <sz val="11"/>
        <color theme="1"/>
        <rFont val="Calibri"/>
        <family val="2"/>
        <scheme val="minor"/>
      </rPr>
      <t xml:space="preserve"> button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</si>
  <si>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From the left-side list, select a pre-existing record and modify one or more fields with new valid data.</t>
    </r>
  </si>
  <si>
    <r>
      <t xml:space="preserve">
Select any existing </t>
    </r>
    <r>
      <rPr>
        <b/>
        <sz val="11"/>
        <color theme="1"/>
        <rFont val="Calibri"/>
        <family val="2"/>
        <scheme val="minor"/>
      </rPr>
      <t>Currency details</t>
    </r>
    <r>
      <rPr>
        <sz val="11"/>
        <color theme="1"/>
        <rFont val="Calibri"/>
        <family val="2"/>
        <scheme val="minor"/>
      </rPr>
      <t xml:space="preserve"> record from the left-side list.</t>
    </r>
  </si>
  <si>
    <t>1. Modify button should be enabled only when a record is selected and its data is loaded into the co-responding textbox.
2. On clicking Modify, the record should be updated with the new values.
3. The updated record should appear correctly in the left-side records list.
4. The user should be able to modify the same record multiple times.</t>
  </si>
  <si>
    <t>Currency_19</t>
  </si>
  <si>
    <r>
      <t xml:space="preserve">Validate the functionality of </t>
    </r>
    <r>
      <rPr>
        <b/>
        <sz val="11"/>
        <color theme="1"/>
        <rFont val="Calibri"/>
        <family val="2"/>
        <scheme val="minor"/>
      </rPr>
      <t>Delete</t>
    </r>
    <r>
      <rPr>
        <sz val="11"/>
        <color theme="1"/>
        <rFont val="Calibri"/>
        <family val="2"/>
        <scheme val="minor"/>
      </rPr>
      <t xml:space="preserve"> button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</si>
  <si>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From the left-side Currency Details list, select any existing record.
5. Verify that the corresponding record details are populated in the input fields.
6. Click on the Delete button and observe the system behavior.</t>
    </r>
  </si>
  <si>
    <r>
      <t xml:space="preserve">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left-side Currency list.
If the user selects No →
The deletion process should be cancelled.
The record should remain unchanged.</t>
    </r>
  </si>
  <si>
    <t>Currency_20</t>
  </si>
  <si>
    <r>
      <t xml:space="preserve">Validate the functionality of </t>
    </r>
    <r>
      <rPr>
        <b/>
        <sz val="11"/>
        <color theme="1"/>
        <rFont val="Calibri"/>
        <family val="2"/>
        <scheme val="minor"/>
      </rPr>
      <t>Clear</t>
    </r>
    <r>
      <rPr>
        <sz val="11"/>
        <color theme="1"/>
        <rFont val="Calibri"/>
        <family val="2"/>
        <scheme val="minor"/>
      </rPr>
      <t xml:space="preserve"> button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</si>
  <si>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values in all or few input fields.
5. Click the Clear button and observe the system behavior.</t>
    </r>
  </si>
  <si>
    <t>Enter any valid or random values in any/all fields.</t>
  </si>
  <si>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All fields in the form should be cleared/reset to blank.
</t>
    </r>
    <r>
      <rPr>
        <b/>
        <sz val="11"/>
        <color theme="1"/>
        <rFont val="Calibri"/>
        <family val="2"/>
        <scheme val="minor"/>
      </rPr>
      <t>If the user clicks No:</t>
    </r>
    <r>
      <rPr>
        <sz val="11"/>
        <color theme="1"/>
        <rFont val="Calibri"/>
        <family val="2"/>
        <scheme val="minor"/>
      </rPr>
      <t xml:space="preserve">
All entered values should remain unchanged.
</t>
    </r>
    <r>
      <rPr>
        <b/>
        <sz val="11"/>
        <color theme="1"/>
        <rFont val="Calibri"/>
        <family val="2"/>
        <scheme val="minor"/>
      </rPr>
      <t/>
    </r>
  </si>
  <si>
    <t>Currency_21</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</si>
  <si>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</si>
  <si>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valid data in all required input fields and click Save.
5. From the left-side Currency Details list, select the recently saved record.
6. Observe the value displayed in the Entered By textbox.</t>
    </r>
  </si>
  <si>
    <r>
      <t xml:space="preserve">The </t>
    </r>
    <r>
      <rPr>
        <b/>
        <sz val="11"/>
        <color theme="1"/>
        <rFont val="Calibri"/>
        <family val="2"/>
        <scheme val="minor"/>
      </rPr>
      <t>Entered By</t>
    </r>
    <r>
      <rPr>
        <sz val="11"/>
        <color theme="1"/>
        <rFont val="Calibri"/>
        <family val="2"/>
        <scheme val="minor"/>
      </rPr>
      <t xml:space="preserve"> textbox should be auto-populated with the username of the user who saved the record.</t>
    </r>
  </si>
  <si>
    <t>Currency_22</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</si>
  <si>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</si>
  <si>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Enter valid data in all required input fields and click Save.
5. From the left-side Currency Details list, select the recently saved record.
6. Observe the value displayed in the Entered Date textbox.</t>
    </r>
  </si>
  <si>
    <r>
      <t xml:space="preserve">1. </t>
    </r>
    <r>
      <rPr>
        <b/>
        <sz val="11"/>
        <color theme="1"/>
        <rFont val="Calibri"/>
        <family val="2"/>
        <scheme val="minor"/>
      </rPr>
      <t>Entered Date</t>
    </r>
    <r>
      <rPr>
        <sz val="11"/>
        <color theme="1"/>
        <rFont val="Calibri"/>
        <family val="2"/>
        <scheme val="minor"/>
      </rPr>
      <t xml:space="preserve"> textbox should be auto-populated with the date when the record was saved.
2. The date format should match the application’s  date format (e.g., DD-MM-YYYY).</t>
    </r>
  </si>
  <si>
    <t>Currency_23</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</si>
  <si>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in the Currency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</si>
  <si>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Modify any field value and Click the modify button.
5. Re-select the same record from the left-side list and observe the value displayed in the Modified By textbox.</t>
    </r>
  </si>
  <si>
    <r>
      <t xml:space="preserve">1. For a record that has never been modified, the </t>
    </r>
    <r>
      <rPr>
        <b/>
        <sz val="11"/>
        <color theme="1"/>
        <rFont val="Calibri"/>
        <family val="2"/>
        <scheme val="minor"/>
      </rPr>
      <t>Modified By</t>
    </r>
    <r>
      <rPr>
        <sz val="11"/>
        <color theme="1"/>
        <rFont val="Calibri"/>
        <family val="2"/>
        <scheme val="minor"/>
      </rPr>
      <t xml:space="preserve"> textbox should remain blank.
2. After modifying and saving the record, The Modified By textbox should display the username of the user who performed the modification.
3. The Modified By value should update only when the record is modified—not during initial creation.</t>
    </r>
  </si>
  <si>
    <t>Currency_24</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</si>
  <si>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in the Currency Page.</t>
    </r>
  </si>
  <si>
    <t>The City textbox currently accepts invalid data (special characters, and spaces). No validation or error message appears.
 it should accept alphanumeric value only
Note: As per the Use Case, City field limitation should be 30 characters but currently is  accepting 35 characters.</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</si>
  <si>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 xml:space="preserve">4. Modify any field value and Click the modify button.
5. Re-select the same record from the left-side list and observe the date displayed in the </t>
    </r>
    <r>
      <rPr>
        <b/>
        <sz val="11"/>
        <color theme="1"/>
        <rFont val="Calibri"/>
        <family val="2"/>
        <scheme val="minor"/>
      </rPr>
      <t>Modified Date</t>
    </r>
    <r>
      <rPr>
        <sz val="11"/>
        <color theme="1"/>
        <rFont val="Calibri"/>
        <family val="2"/>
        <scheme val="minor"/>
      </rPr>
      <t xml:space="preserve"> textbox.</t>
    </r>
  </si>
  <si>
    <t>1. For a record that has never been modified, the Modified Date textbox must remain blank.
2. After modifying and saving the record, the Modified Date textbox must show the date when the modification was performed.
3. The Modified Date must update only when the record is changed, not during the initial creation of the record.</t>
  </si>
  <si>
    <t>Currency_25</t>
  </si>
  <si>
    <t>Currency_26</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</si>
  <si>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Resize the browser to multiple resolutions and observe the system behaviour.</t>
    </r>
  </si>
  <si>
    <t>1. All elements on the Currency page should remain visible across all supported screen sizes.
2. The page must remain usable and properly readable on smaller screen resolutions.
3. The page must behave as a fully responsive interface.</t>
  </si>
  <si>
    <t>Page is not responsive properly on different screen sizes.</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</si>
  <si>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Use keyword button to fill the foam and observe the system behaviour.</t>
    </r>
  </si>
  <si>
    <t>The Keyword Action feature and TAB button navigation on the Currency page should function correctly .</t>
  </si>
  <si>
    <t>Currency_27</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</si>
  <si>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Leave the Currency page idle for long time and observe the system behaviour.</t>
    </r>
  </si>
  <si>
    <t xml:space="preserve">When the user remains idle for a long time, the application should:
 -&gt; Automatically log out and redirect to the login page </t>
  </si>
  <si>
    <t>Currency_28</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</si>
  <si>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Currency.
</t>
    </r>
    <r>
      <rPr>
        <sz val="11"/>
        <color theme="1"/>
        <rFont val="Calibri"/>
        <family val="2"/>
        <scheme val="minor"/>
      </rPr>
      <t>4. Observe the Success Pop-up and Error Pop-up Readibility.</t>
    </r>
  </si>
  <si>
    <t>Currency_29</t>
  </si>
  <si>
    <r>
      <t xml:space="preserve">Validate the functionality of the </t>
    </r>
    <r>
      <rPr>
        <b/>
        <sz val="11"/>
        <color theme="1"/>
        <rFont val="Calibri"/>
        <family val="2"/>
        <scheme val="minor"/>
      </rPr>
      <t>Email</t>
    </r>
    <r>
      <rPr>
        <sz val="11"/>
        <color theme="1"/>
        <rFont val="Calibri"/>
        <family val="2"/>
        <scheme val="minor"/>
      </rPr>
      <t xml:space="preserve"> textbox with valid data in CFS Master Page.</t>
    </r>
  </si>
  <si>
    <r>
      <t xml:space="preserve">Validate the functionality of  </t>
    </r>
    <r>
      <rPr>
        <b/>
        <sz val="11"/>
        <color theme="1"/>
        <rFont val="Calibri"/>
        <family val="2"/>
        <scheme val="minor"/>
      </rPr>
      <t>Success Pop-up and Error message</t>
    </r>
    <r>
      <rPr>
        <sz val="11"/>
        <color theme="1"/>
        <rFont val="Calibri"/>
        <family val="2"/>
        <scheme val="minor"/>
      </rPr>
      <t xml:space="preserve"> Readibility in the Currency page.</t>
    </r>
  </si>
  <si>
    <r>
      <t>Validate the functionality of</t>
    </r>
    <r>
      <rPr>
        <b/>
        <sz val="11"/>
        <color theme="1"/>
        <rFont val="Calibri"/>
        <family val="2"/>
        <scheme val="minor"/>
      </rPr>
      <t xml:space="preserve"> Session timeout</t>
    </r>
    <r>
      <rPr>
        <sz val="11"/>
        <color theme="1"/>
        <rFont val="Calibri"/>
        <family val="2"/>
        <scheme val="minor"/>
      </rPr>
      <t xml:space="preserve"> of Currency Page.</t>
    </r>
  </si>
  <si>
    <r>
      <t xml:space="preserve">Validate the functionality of </t>
    </r>
    <r>
      <rPr>
        <b/>
        <sz val="11"/>
        <color theme="1"/>
        <rFont val="Calibri"/>
        <family val="2"/>
        <scheme val="minor"/>
      </rPr>
      <t xml:space="preserve">Keyword Action </t>
    </r>
    <r>
      <rPr>
        <sz val="11"/>
        <color theme="1"/>
        <rFont val="Calibri"/>
        <family val="2"/>
        <scheme val="minor"/>
      </rPr>
      <t>in the Currency Page. (TAB Button)</t>
    </r>
  </si>
  <si>
    <r>
      <t xml:space="preserve">Validate the functionality of the </t>
    </r>
    <r>
      <rPr>
        <b/>
        <sz val="11"/>
        <color theme="1"/>
        <rFont val="Calibri"/>
        <family val="2"/>
        <scheme val="minor"/>
      </rPr>
      <t>Page Responsiveness</t>
    </r>
    <r>
      <rPr>
        <sz val="11"/>
        <color theme="1"/>
        <rFont val="Calibri"/>
        <family val="2"/>
        <scheme val="minor"/>
      </rPr>
      <t xml:space="preserve"> of Currency Page.</t>
    </r>
  </si>
  <si>
    <t>RITC_01</t>
  </si>
  <si>
    <t>EDI Master --&gt; RITC</t>
  </si>
  <si>
    <r>
      <t xml:space="preserve">Validate the functionality of </t>
    </r>
    <r>
      <rPr>
        <b/>
        <sz val="11"/>
        <color theme="1"/>
        <rFont val="Calibri"/>
        <family val="2"/>
        <scheme val="minor"/>
      </rPr>
      <t xml:space="preserve">RITC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Masters Module.  </t>
    </r>
  </si>
  <si>
    <r>
      <t xml:space="preserve">On Mouse Hovering action on </t>
    </r>
    <r>
      <rPr>
        <b/>
        <sz val="11"/>
        <color theme="1"/>
        <rFont val="Calibri"/>
        <family val="2"/>
        <scheme val="minor"/>
      </rPr>
      <t xml:space="preserve">Masters → EDI Master → RITC 
</t>
    </r>
    <r>
      <rPr>
        <sz val="11"/>
        <color theme="1"/>
        <rFont val="Calibri"/>
        <family val="2"/>
        <scheme val="minor"/>
      </rPr>
      <t>Page should be visible properly and While opening the page, it should be open proerply without any debiation and delay</t>
    </r>
  </si>
  <si>
    <t>Functionality is working as expected and RITC Page is opening properly.</t>
  </si>
  <si>
    <t>RITC_02</t>
  </si>
  <si>
    <r>
      <t>1. The user must be logged into the application with valid credentials.
2. After successful login, the user should select “</t>
    </r>
    <r>
      <rPr>
        <b/>
        <sz val="11"/>
        <color theme="1"/>
        <rFont val="Calibri"/>
        <family val="2"/>
        <scheme val="minor"/>
      </rPr>
      <t>AHMEDABAD</t>
    </r>
    <r>
      <rPr>
        <sz val="11"/>
        <color theme="1"/>
        <rFont val="Calibri"/>
        <family val="2"/>
        <scheme val="minor"/>
      </rPr>
      <t>” as the branch, “</t>
    </r>
    <r>
      <rPr>
        <b/>
        <sz val="11"/>
        <color theme="1"/>
        <rFont val="Calibri"/>
        <family val="2"/>
        <scheme val="minor"/>
      </rPr>
      <t>Export Sea</t>
    </r>
    <r>
      <rPr>
        <sz val="11"/>
        <color theme="1"/>
        <rFont val="Calibri"/>
        <family val="2"/>
        <scheme val="minor"/>
      </rPr>
      <t xml:space="preserve">” as the radio button option, and Financial Year: </t>
    </r>
    <r>
      <rPr>
        <b/>
        <sz val="11"/>
        <color theme="1"/>
        <rFont val="Calibri"/>
        <family val="2"/>
        <scheme val="minor"/>
      </rPr>
      <t>2025–2026</t>
    </r>
    <r>
      <rPr>
        <sz val="11"/>
        <color theme="1"/>
        <rFont val="Calibri"/>
        <family val="2"/>
        <scheme val="minor"/>
      </rPr>
      <t>.</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</si>
  <si>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t>
    </r>
    <r>
      <rPr>
        <sz val="11"/>
        <color theme="1"/>
        <rFont val="Calibri"/>
        <family val="2"/>
        <scheme val="minor"/>
      </rPr>
      <t xml:space="preserve">
</t>
    </r>
  </si>
  <si>
    <r>
      <rPr>
        <b/>
        <sz val="10"/>
        <color rgb="FF444746"/>
        <rFont val="Segoe UI"/>
        <family val="2"/>
      </rPr>
      <t>Google Chrome</t>
    </r>
    <r>
      <rPr>
        <sz val="10"/>
        <color rgb="FF444746"/>
        <rFont val="Segoe UI"/>
        <family val="2"/>
      </rPr>
      <t xml:space="preserve"> - Version 141.0.7390.125 (Official Build) (64-bit)
</t>
    </r>
    <r>
      <rPr>
        <b/>
        <sz val="10"/>
        <color rgb="FF444746"/>
        <rFont val="Segoe UI"/>
        <family val="2"/>
      </rPr>
      <t>Microsoft Edge -</t>
    </r>
    <r>
      <rPr>
        <sz val="10"/>
        <color rgb="FF444746"/>
        <rFont val="Segoe UI"/>
        <family val="2"/>
      </rPr>
      <t xml:space="preserve"> Version 142.0.3595.53 (Official build) (64-bit)</t>
    </r>
  </si>
  <si>
    <r>
      <t xml:space="preserve">Radio Button - </t>
    </r>
    <r>
      <rPr>
        <b/>
        <sz val="11"/>
        <color theme="1"/>
        <rFont val="Calibri"/>
        <family val="2"/>
        <scheme val="minor"/>
      </rPr>
      <t>Code &amp; Description</t>
    </r>
  </si>
  <si>
    <r>
      <t xml:space="preserve">Validate the functionality of </t>
    </r>
    <r>
      <rPr>
        <b/>
        <sz val="11"/>
        <color theme="1"/>
        <rFont val="Calibri"/>
        <family val="2"/>
        <scheme val="minor"/>
      </rPr>
      <t>Code</t>
    </r>
    <r>
      <rPr>
        <sz val="11"/>
        <color theme="1"/>
        <rFont val="Calibri"/>
        <family val="2"/>
        <scheme val="minor"/>
      </rPr>
      <t xml:space="preserve"> &amp; </t>
    </r>
    <r>
      <rPr>
        <b/>
        <sz val="11"/>
        <color theme="1"/>
        <rFont val="Calibri"/>
        <family val="2"/>
        <scheme val="minor"/>
      </rPr>
      <t>Description</t>
    </r>
    <r>
      <rPr>
        <sz val="11"/>
        <color theme="1"/>
        <rFont val="Calibri"/>
        <family val="2"/>
        <scheme val="minor"/>
      </rPr>
      <t xml:space="preserve"> radio buttons in the left-side Select RITC panel in the RITC Page.</t>
    </r>
  </si>
  <si>
    <t>1. When Code radio button is selected -  the system must display the RITC Code list.
2. When Description radio button is selected - the system must display the RITC Description list.
3. Both radio buttons should be selectable and switchable and only one radio button should be selected at a time</t>
  </si>
  <si>
    <t>1. Code-based search is working correctly - results appear based on first-matched values.
2. Description-based search is NOT working properly:
 -&gt; Search only matches first words,
 -&gt; Does not match partial or mid-word text.
3. For non-matching inputs, no records are displayed.</t>
  </si>
  <si>
    <t>RITC_03</t>
  </si>
  <si>
    <t>RITC_04</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</si>
  <si>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On the left panel, Click 
 -&gt; Sort Ascending and verify list order.
 -&gt; Click Sort Descending and verify list order.
 -&gt; Checkboxes: select all checkboxes all columns visible
 - &gt; deselect all - all columns hidden.</t>
    </r>
  </si>
  <si>
    <r>
      <t xml:space="preserve">1. </t>
    </r>
    <r>
      <rPr>
        <b/>
        <sz val="11"/>
        <color theme="1"/>
        <rFont val="Calibri"/>
        <family val="2"/>
        <scheme val="minor"/>
      </rPr>
      <t>Sorting:</t>
    </r>
    <r>
      <rPr>
        <sz val="11"/>
        <color theme="1"/>
        <rFont val="Calibri"/>
        <family val="2"/>
        <scheme val="minor"/>
      </rPr>
      <t xml:space="preserve"> RITC Code &amp; Description list sorts correctly in both ascending and descending order.
2. </t>
    </r>
    <r>
      <rPr>
        <b/>
        <sz val="11"/>
        <color theme="1"/>
        <rFont val="Calibri"/>
        <family val="2"/>
        <scheme val="minor"/>
      </rPr>
      <t xml:space="preserve">Column Selection: 
</t>
    </r>
    <r>
      <rPr>
        <sz val="11"/>
        <color theme="1"/>
        <rFont val="Calibri"/>
        <family val="2"/>
        <scheme val="minor"/>
      </rPr>
      <t xml:space="preserve"> -&gt; When all checkboxes are selected, all columns display correctly.
 -&gt; However, when all checkboxes are deselected, one column remains visible.</t>
    </r>
  </si>
  <si>
    <r>
      <t xml:space="preserve">1. </t>
    </r>
    <r>
      <rPr>
        <b/>
        <sz val="11"/>
        <color theme="1"/>
        <rFont val="Calibri"/>
        <family val="2"/>
        <scheme val="minor"/>
      </rPr>
      <t>Sorting:</t>
    </r>
    <r>
      <rPr>
        <sz val="11"/>
        <color theme="1"/>
        <rFont val="Calibri"/>
        <family val="2"/>
        <scheme val="minor"/>
      </rPr>
      <t xml:space="preserve"> RITC Code &amp; Description list should sort correctly in both ascending and descending order. (Based on Both Radio button)
</t>
    </r>
    <r>
      <rPr>
        <b/>
        <sz val="11"/>
        <color theme="1"/>
        <rFont val="Calibri"/>
        <family val="2"/>
        <scheme val="minor"/>
      </rPr>
      <t>Column Selection:</t>
    </r>
    <r>
      <rPr>
        <sz val="11"/>
        <color theme="1"/>
        <rFont val="Calibri"/>
        <family val="2"/>
        <scheme val="minor"/>
      </rPr>
      <t xml:space="preserve">
- &gt; When all column checkboxes are selected →</t>
    </r>
    <r>
      <rPr>
        <b/>
        <sz val="11"/>
        <color theme="1"/>
        <rFont val="Calibri"/>
        <family val="2"/>
        <scheme val="minor"/>
      </rPr>
      <t xml:space="preserve"> All columns should be displayed.</t>
    </r>
    <r>
      <rPr>
        <sz val="11"/>
        <color theme="1"/>
        <rFont val="Calibri"/>
        <family val="2"/>
        <scheme val="minor"/>
      </rPr>
      <t xml:space="preserve">
- &gt; When all checkboxes are deselected → </t>
    </r>
    <r>
      <rPr>
        <b/>
        <sz val="11"/>
        <color theme="1"/>
        <rFont val="Calibri"/>
        <family val="2"/>
        <scheme val="minor"/>
      </rPr>
      <t>All columns should be hidden.</t>
    </r>
  </si>
  <si>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Column Selection Checkbox behavior for the RITC Details list (Left Panel) of RITC Page.</t>
    </r>
  </si>
  <si>
    <t>RITC_05</t>
  </si>
  <si>
    <r>
      <t>Validate the functionality of</t>
    </r>
    <r>
      <rPr>
        <b/>
        <sz val="11"/>
        <color theme="1"/>
        <rFont val="Calibri"/>
        <family val="2"/>
        <scheme val="minor"/>
      </rPr>
      <t xml:space="preserve"> RITC Radio Buttons</t>
    </r>
    <r>
      <rPr>
        <sz val="11"/>
        <color theme="1"/>
        <rFont val="Calibri"/>
        <family val="2"/>
        <scheme val="minor"/>
      </rPr>
      <t xml:space="preserve"> (0–9)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</si>
  <si>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On the RITC page, select radio buttons one by one from 0,1,2,3,4,5,6,7,8,9.
5. Observe the RITC Code list displayed on the left panel after each selection.</t>
    </r>
  </si>
  <si>
    <t>RITC_06</t>
  </si>
  <si>
    <r>
      <rPr>
        <b/>
        <sz val="11"/>
        <color theme="1"/>
        <rFont val="Calibri"/>
        <family val="2"/>
        <scheme val="minor"/>
      </rPr>
      <t>Radio button</t>
    </r>
    <r>
      <rPr>
        <sz val="11"/>
        <color theme="1"/>
        <rFont val="Calibri"/>
        <family val="2"/>
        <scheme val="minor"/>
      </rPr>
      <t xml:space="preserve"> - 0, 1, 2, 3, 4, 5, 6, 7, 8, 9 </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</si>
  <si>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different types of values in the RITC Code Textbox and observe system behavior.</t>
    </r>
  </si>
  <si>
    <r>
      <t xml:space="preserve">Textbox - </t>
    </r>
    <r>
      <rPr>
        <b/>
        <sz val="11"/>
        <color theme="1"/>
        <rFont val="Calibri"/>
        <family val="2"/>
        <scheme val="minor"/>
      </rPr>
      <t xml:space="preserve">RITC Code </t>
    </r>
    <r>
      <rPr>
        <sz val="11"/>
        <color theme="1"/>
        <rFont val="Calibri"/>
        <family val="2"/>
        <scheme val="minor"/>
      </rPr>
      <t xml:space="preserve">
 -&gt; Numeric value
 -&gt; Alphabet value
 -&gt; Only space
 -&gt; Special characters
 -&gt; Combination of characters
 -&gt; Value length greater than 8 characters</t>
    </r>
  </si>
  <si>
    <t>1. As Per the Use Case and Previous entered data- this textbox should accept only numeric values.
2. It should not accept alphabets, special characters, only spaces, or any character combination.
3. The textbox should enforce a maximum length limit of 8 characters.</t>
  </si>
  <si>
    <t>RITC_07</t>
  </si>
  <si>
    <r>
      <t xml:space="preserve">Validate the functionality of the </t>
    </r>
    <r>
      <rPr>
        <b/>
        <sz val="11"/>
        <color theme="1"/>
        <rFont val="Calibri"/>
        <family val="2"/>
        <scheme val="minor"/>
      </rPr>
      <t xml:space="preserve">RITC Code </t>
    </r>
    <r>
      <rPr>
        <sz val="11"/>
        <color theme="1"/>
        <rFont val="Calibri"/>
        <family val="2"/>
        <scheme val="minor"/>
      </rPr>
      <t>Textbox on the RITC Page.</t>
    </r>
  </si>
  <si>
    <r>
      <t xml:space="preserve">Validate the functionality of the </t>
    </r>
    <r>
      <rPr>
        <b/>
        <sz val="11"/>
        <color theme="1"/>
        <rFont val="Calibri"/>
        <family val="2"/>
        <scheme val="minor"/>
      </rPr>
      <t>Discription</t>
    </r>
    <r>
      <rPr>
        <sz val="11"/>
        <color theme="1"/>
        <rFont val="Calibri"/>
        <family val="2"/>
        <scheme val="minor"/>
      </rPr>
      <t xml:space="preserve"> textbox on the RITC Page.</t>
    </r>
  </si>
  <si>
    <r>
      <t xml:space="preserve">Textbox - </t>
    </r>
    <r>
      <rPr>
        <b/>
        <sz val="11"/>
        <color theme="1"/>
        <rFont val="Calibri"/>
        <family val="2"/>
        <scheme val="minor"/>
      </rPr>
      <t xml:space="preserve">Description
</t>
    </r>
    <r>
      <rPr>
        <sz val="11"/>
        <color theme="1"/>
        <rFont val="Calibri"/>
        <family val="2"/>
        <scheme val="minor"/>
      </rPr>
      <t>Value - Alphanumeric value.</t>
    </r>
  </si>
  <si>
    <t>1. The Description textbox should accept alphanumeric values.
2. As per requirements, the textbox should also accept special characters.
3. The textbox should allow a maximum of 250 characters and should not accept more than the limit.</t>
  </si>
  <si>
    <t>RITC_08</t>
  </si>
  <si>
    <r>
      <t xml:space="preserve">Validate the functionality of the </t>
    </r>
    <r>
      <rPr>
        <b/>
        <sz val="11"/>
        <color theme="1"/>
        <rFont val="Calibri"/>
        <family val="2"/>
        <scheme val="minor"/>
      </rPr>
      <t>Policy Condition</t>
    </r>
    <r>
      <rPr>
        <sz val="11"/>
        <color theme="1"/>
        <rFont val="Calibri"/>
        <family val="2"/>
        <scheme val="minor"/>
      </rPr>
      <t xml:space="preserve"> 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</si>
  <si>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different types of values in </t>
    </r>
    <r>
      <rPr>
        <b/>
        <sz val="11"/>
        <color theme="1"/>
        <rFont val="Calibri"/>
        <family val="2"/>
        <scheme val="minor"/>
      </rPr>
      <t>Description</t>
    </r>
    <r>
      <rPr>
        <sz val="11"/>
        <color theme="1"/>
        <rFont val="Calibri"/>
        <family val="2"/>
        <scheme val="minor"/>
      </rPr>
      <t xml:space="preserve"> textbox and observe system behavior.</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</si>
  <si>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different types of values in </t>
    </r>
    <r>
      <rPr>
        <b/>
        <sz val="11"/>
        <color theme="1"/>
        <rFont val="Calibri"/>
        <family val="2"/>
        <scheme val="minor"/>
      </rPr>
      <t>Policy Condition</t>
    </r>
    <r>
      <rPr>
        <sz val="11"/>
        <color theme="1"/>
        <rFont val="Calibri"/>
        <family val="2"/>
        <scheme val="minor"/>
      </rPr>
      <t xml:space="preserve"> and observe system behavior.</t>
    </r>
  </si>
  <si>
    <r>
      <t xml:space="preserve">Textbox - </t>
    </r>
    <r>
      <rPr>
        <b/>
        <sz val="11"/>
        <color theme="1"/>
        <rFont val="Calibri"/>
        <family val="2"/>
        <scheme val="minor"/>
      </rPr>
      <t xml:space="preserve">Policy Condition
</t>
    </r>
    <r>
      <rPr>
        <sz val="11"/>
        <color theme="1"/>
        <rFont val="Calibri"/>
        <family val="2"/>
        <scheme val="minor"/>
      </rPr>
      <t>Value - Alphanumeric value.</t>
    </r>
  </si>
  <si>
    <t>1. The Policy Condition textbox should accept alphanumeric values.
2. As per requirements, the textbox should also accept special characters.
3. The textbox should allow a maximum of 250 characters and should not accept more than the limit.</t>
  </si>
  <si>
    <r>
      <t xml:space="preserve">1. Functionality is working as expected.
2. The Policy Condition textbox accepts alphanumeric values and special characters successfully.
3. Maximum character length restriction (250 characters) is implemented correctly.
</t>
    </r>
    <r>
      <rPr>
        <b/>
        <sz val="11"/>
        <color theme="1"/>
        <rFont val="Calibri"/>
        <family val="2"/>
        <scheme val="minor"/>
      </rPr>
      <t>Observation</t>
    </r>
    <r>
      <rPr>
        <sz val="11"/>
        <color theme="1"/>
        <rFont val="Calibri"/>
        <family val="2"/>
        <scheme val="minor"/>
      </rPr>
      <t xml:space="preserve"> - Spacing between the words '</t>
    </r>
    <r>
      <rPr>
        <b/>
        <sz val="11"/>
        <color theme="1"/>
        <rFont val="Calibri"/>
        <family val="2"/>
        <scheme val="minor"/>
      </rPr>
      <t>Policy</t>
    </r>
    <r>
      <rPr>
        <sz val="11"/>
        <color theme="1"/>
        <rFont val="Calibri"/>
        <family val="2"/>
        <scheme val="minor"/>
      </rPr>
      <t>' and '</t>
    </r>
    <r>
      <rPr>
        <b/>
        <sz val="11"/>
        <color theme="1"/>
        <rFont val="Calibri"/>
        <family val="2"/>
        <scheme val="minor"/>
      </rPr>
      <t>Condition</t>
    </r>
    <r>
      <rPr>
        <sz val="11"/>
        <color theme="1"/>
        <rFont val="Calibri"/>
        <family val="2"/>
        <scheme val="minor"/>
      </rPr>
      <t>' is more than the standard single space.</t>
    </r>
  </si>
  <si>
    <t>RITC_09</t>
  </si>
  <si>
    <r>
      <t xml:space="preserve">Validate the functionality of the </t>
    </r>
    <r>
      <rPr>
        <b/>
        <sz val="11"/>
        <color theme="1"/>
        <rFont val="Calibri"/>
        <family val="2"/>
        <scheme val="minor"/>
      </rPr>
      <t xml:space="preserve"> Can Flag, Min Exp. Price, PR Flag, Licence, Inspection, Doc Req, Quota, Valid </t>
    </r>
    <r>
      <rPr>
        <sz val="11"/>
        <color theme="1"/>
        <rFont val="Calibri"/>
        <family val="2"/>
        <scheme val="minor"/>
      </rPr>
      <t>checkbox on the RITC Page.</t>
    </r>
  </si>
  <si>
    <r>
      <t xml:space="preserve">Checkbox - 
</t>
    </r>
    <r>
      <rPr>
        <b/>
        <sz val="11"/>
        <color theme="1"/>
        <rFont val="Calibri"/>
        <family val="2"/>
        <scheme val="minor"/>
      </rPr>
      <t>Can Flag, Min Exp. Price, PR Flag, Licence, Inspection, Doc Req, Quota, Valid</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</si>
  <si>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Select all checkboxes together and Deselect all checkboxes.
5. Select checkbox one by one and deselect one by one and observe the system behaviour.</t>
    </r>
  </si>
  <si>
    <r>
      <t xml:space="preserve">1. All checkboxes should be selectable and deselectable individually.
2. </t>
    </r>
    <r>
      <rPr>
        <b/>
        <sz val="11"/>
        <color theme="1"/>
        <rFont val="Calibri"/>
        <family val="2"/>
        <scheme val="minor"/>
      </rPr>
      <t>User should be able to:</t>
    </r>
    <r>
      <rPr>
        <sz val="11"/>
        <color theme="1"/>
        <rFont val="Calibri"/>
        <family val="2"/>
        <scheme val="minor"/>
      </rPr>
      <t xml:space="preserve">
 -&gt; Select any combination of checkboxes.
 -&gt; Select all checkboxes at once.
 -&gt; Deselect any checkbox.
 -&gt; Deselect all checkboxes.</t>
    </r>
  </si>
  <si>
    <t>1. Functionality is working as expected, All checkboxes are selectable and deselectable as expected.
2. User can select individual checkboxes, multiple checkboxes, all checkboxes, and can deselect them successfully.</t>
  </si>
  <si>
    <t>1. Functionality is working as expected.
2. In the Special character, It is accepting dot(.).
3. Any other invalid data such as a: ablphabets, only space not accpeting.
Observation - This is a mandatory field, Mark mandatory as per other textbox.</t>
  </si>
  <si>
    <t>RITC_10</t>
  </si>
  <si>
    <r>
      <t xml:space="preserve">Validate the functionality of the </t>
    </r>
    <r>
      <rPr>
        <b/>
        <sz val="11"/>
        <color theme="1"/>
        <rFont val="Calibri"/>
        <family val="2"/>
        <scheme val="minor"/>
      </rPr>
      <t xml:space="preserve">Item Unit(UQC)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</si>
  <si>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select a value from the Autosuggest dropdown list and oberve the system behaviour.</t>
    </r>
  </si>
  <si>
    <r>
      <t>1. The</t>
    </r>
    <r>
      <rPr>
        <b/>
        <sz val="11"/>
        <color theme="1"/>
        <rFont val="Calibri"/>
        <family val="2"/>
        <scheme val="minor"/>
      </rPr>
      <t xml:space="preserve"> Item Unit (UQC) </t>
    </r>
    <r>
      <rPr>
        <sz val="11"/>
        <color theme="1"/>
        <rFont val="Calibri"/>
        <family val="2"/>
        <scheme val="minor"/>
      </rPr>
      <t>textbox should not accept any manual input.
2. User must be able to select values only from the autosuggest list.
3. If the user types any invalid value or characters, the textbox should auto-clear the input.</t>
    </r>
  </si>
  <si>
    <t>RITC_11</t>
  </si>
  <si>
    <r>
      <t xml:space="preserve">Validate the functionality of the </t>
    </r>
    <r>
      <rPr>
        <b/>
        <sz val="11"/>
        <color theme="1"/>
        <rFont val="Calibri"/>
        <family val="2"/>
        <scheme val="minor"/>
      </rPr>
      <t xml:space="preserve">Min Exp. Price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</si>
  <si>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valid and invalid data in </t>
    </r>
    <r>
      <rPr>
        <b/>
        <sz val="11"/>
        <color theme="1"/>
        <rFont val="Calibri"/>
        <family val="2"/>
        <scheme val="minor"/>
      </rPr>
      <t xml:space="preserve">Min Exp. Price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</si>
  <si>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 Min Exp. Price</t>
    </r>
    <r>
      <rPr>
        <b/>
        <sz val="11"/>
        <color theme="1"/>
        <rFont val="Calibri"/>
        <family val="2"/>
        <scheme val="minor"/>
      </rPr>
      <t xml:space="preserve">
Valid Value</t>
    </r>
    <r>
      <rPr>
        <sz val="11"/>
        <color theme="1"/>
        <rFont val="Calibri"/>
        <family val="2"/>
        <scheme val="minor"/>
      </rPr>
      <t xml:space="preserve">  - Numeric and float value (10, 20, 50.12, 60.025 etc)
</t>
    </r>
    <r>
      <rPr>
        <b/>
        <sz val="11"/>
        <color theme="1"/>
        <rFont val="Calibri"/>
        <family val="2"/>
        <scheme val="minor"/>
      </rPr>
      <t xml:space="preserve">Invalid Value - </t>
    </r>
    <r>
      <rPr>
        <sz val="11"/>
        <color theme="1"/>
        <rFont val="Calibri"/>
        <family val="2"/>
        <scheme val="minor"/>
      </rPr>
      <t>Only Space value, any special character (except dot(.) and alphabets value)</t>
    </r>
  </si>
  <si>
    <t>1. The Min Exp. Price textbox should accept only numeric and decimal/float values.
2. The textbox should not accept invalid values such as:
 -&gt; Only spaces
 -&gt; Any special characters (except dot .)
 -&gt; Alphabetic characters
3. The textbox should allow a maximum of 8 characters and should not exceed the limit.</t>
  </si>
  <si>
    <t>1. Functionality is working as expected.
2. The textbox accepts valid numeric and float inputs.
3. Maximum character length restriction (8 characters) is implemented correctly.</t>
  </si>
  <si>
    <t>RITC_12</t>
  </si>
  <si>
    <r>
      <t xml:space="preserve">Validate the functionality of the </t>
    </r>
    <r>
      <rPr>
        <b/>
        <sz val="11"/>
        <color theme="1"/>
        <rFont val="Calibri"/>
        <family val="2"/>
        <scheme val="minor"/>
      </rPr>
      <t xml:space="preserve">Cess Item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</si>
  <si>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valid and invalid data in </t>
    </r>
    <r>
      <rPr>
        <b/>
        <sz val="11"/>
        <color theme="1"/>
        <rFont val="Calibri"/>
        <family val="2"/>
        <scheme val="minor"/>
      </rPr>
      <t xml:space="preserve">Cess Item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</si>
  <si>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 Cess Item</t>
    </r>
    <r>
      <rPr>
        <b/>
        <sz val="11"/>
        <color theme="1"/>
        <rFont val="Calibri"/>
        <family val="2"/>
        <scheme val="minor"/>
      </rPr>
      <t xml:space="preserve">
Valid Value</t>
    </r>
    <r>
      <rPr>
        <sz val="11"/>
        <color theme="1"/>
        <rFont val="Calibri"/>
        <family val="2"/>
        <scheme val="minor"/>
      </rPr>
      <t xml:space="preserve">  - Numeric and float value (10, 20, 50.12, 60.025 etc)
</t>
    </r>
    <r>
      <rPr>
        <b/>
        <sz val="11"/>
        <color theme="1"/>
        <rFont val="Calibri"/>
        <family val="2"/>
        <scheme val="minor"/>
      </rPr>
      <t xml:space="preserve">Invalid Value - </t>
    </r>
    <r>
      <rPr>
        <sz val="11"/>
        <color theme="1"/>
        <rFont val="Calibri"/>
        <family val="2"/>
        <scheme val="minor"/>
      </rPr>
      <t>Only Space value, any special character (except dot(.) and alphabets value)</t>
    </r>
  </si>
  <si>
    <r>
      <t xml:space="preserve">1. The </t>
    </r>
    <r>
      <rPr>
        <b/>
        <sz val="11"/>
        <color theme="1"/>
        <rFont val="Calibri"/>
        <family val="2"/>
        <scheme val="minor"/>
      </rPr>
      <t>Cess Item</t>
    </r>
    <r>
      <rPr>
        <sz val="11"/>
        <color theme="1"/>
        <rFont val="Calibri"/>
        <family val="2"/>
        <scheme val="minor"/>
      </rPr>
      <t xml:space="preserve"> textbox should accept only numeric and decimal/float values.
2. The textbox should not accept invalid values such as:
 -&gt; Only spaces
 -&gt; Any special characters (except dot .)
 -&gt; Alphabetic characters
3. The textbox should allow a maximum of 5 characters and should not exceed the limit.</t>
    </r>
  </si>
  <si>
    <t>1. Functionality is working as expected.
2. The textbox accepts valid numeric and float inputs.
3. Maximum character length restriction (5 characters) is implemented correctly.</t>
  </si>
  <si>
    <t>RITC_13</t>
  </si>
  <si>
    <r>
      <t xml:space="preserve">Validate the functionality of the </t>
    </r>
    <r>
      <rPr>
        <b/>
        <sz val="11"/>
        <color theme="1"/>
        <rFont val="Calibri"/>
        <family val="2"/>
        <scheme val="minor"/>
      </rPr>
      <t xml:space="preserve">Duty Item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</si>
  <si>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valid and invalid data in </t>
    </r>
    <r>
      <rPr>
        <b/>
        <sz val="11"/>
        <color theme="1"/>
        <rFont val="Calibri"/>
        <family val="2"/>
        <scheme val="minor"/>
      </rPr>
      <t xml:space="preserve">Duty Item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</si>
  <si>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 Duty Item</t>
    </r>
    <r>
      <rPr>
        <b/>
        <sz val="11"/>
        <color theme="1"/>
        <rFont val="Calibri"/>
        <family val="2"/>
        <scheme val="minor"/>
      </rPr>
      <t xml:space="preserve">
Valid Value</t>
    </r>
    <r>
      <rPr>
        <sz val="11"/>
        <color theme="1"/>
        <rFont val="Calibri"/>
        <family val="2"/>
        <scheme val="minor"/>
      </rPr>
      <t xml:space="preserve">  - Numeric and float value (10, 20, 50.12, 60.025 etc)
</t>
    </r>
    <r>
      <rPr>
        <b/>
        <sz val="11"/>
        <color theme="1"/>
        <rFont val="Calibri"/>
        <family val="2"/>
        <scheme val="minor"/>
      </rPr>
      <t xml:space="preserve">Invalid Value - </t>
    </r>
    <r>
      <rPr>
        <sz val="11"/>
        <color theme="1"/>
        <rFont val="Calibri"/>
        <family val="2"/>
        <scheme val="minor"/>
      </rPr>
      <t>Only Space value, any special character (except dot(.) and alphabets value)</t>
    </r>
  </si>
  <si>
    <r>
      <t xml:space="preserve">1. The </t>
    </r>
    <r>
      <rPr>
        <b/>
        <sz val="11"/>
        <color theme="1"/>
        <rFont val="Calibri"/>
        <family val="2"/>
        <scheme val="minor"/>
      </rPr>
      <t>Duty Item</t>
    </r>
    <r>
      <rPr>
        <sz val="11"/>
        <color theme="1"/>
        <rFont val="Calibri"/>
        <family val="2"/>
        <scheme val="minor"/>
      </rPr>
      <t xml:space="preserve"> textbox should accept only numeric and decimal/float values.
2. The textbox should not accept invalid values such as:
 -&gt; Only spaces
 -&gt; Any special characters (except dot .)
 -&gt; Alphabetic characters
3. The textbox should allow a maximum of 8 characters and should not exceed the limit.</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</si>
  <si>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</si>
  <si>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Select Code radio button and observe the displayed list.
5. Now Select Description radio button and observe the list displayed.</t>
    </r>
  </si>
  <si>
    <t>RITC_14</t>
  </si>
  <si>
    <r>
      <t xml:space="preserve">Validate the functionality of the </t>
    </r>
    <r>
      <rPr>
        <b/>
        <sz val="11"/>
        <color theme="1"/>
        <rFont val="Calibri"/>
        <family val="2"/>
        <scheme val="minor"/>
      </rPr>
      <t xml:space="preserve">Agency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</si>
  <si>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valid and invalid data in </t>
    </r>
    <r>
      <rPr>
        <b/>
        <sz val="11"/>
        <color theme="1"/>
        <rFont val="Calibri"/>
        <family val="2"/>
        <scheme val="minor"/>
      </rPr>
      <t xml:space="preserve">Agency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</si>
  <si>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 Agency</t>
    </r>
    <r>
      <rPr>
        <b/>
        <sz val="11"/>
        <color theme="1"/>
        <rFont val="Calibri"/>
        <family val="2"/>
        <scheme val="minor"/>
      </rPr>
      <t xml:space="preserve">
Valid Value</t>
    </r>
    <r>
      <rPr>
        <sz val="11"/>
        <color theme="1"/>
        <rFont val="Calibri"/>
        <family val="2"/>
        <scheme val="minor"/>
      </rPr>
      <t xml:space="preserve">  - Alphanumeric value
</t>
    </r>
    <r>
      <rPr>
        <b/>
        <sz val="11"/>
        <color theme="1"/>
        <rFont val="Calibri"/>
        <family val="2"/>
        <scheme val="minor"/>
      </rPr>
      <t xml:space="preserve">Invalid Value - </t>
    </r>
    <r>
      <rPr>
        <sz val="11"/>
        <color theme="1"/>
        <rFont val="Calibri"/>
        <family val="2"/>
        <scheme val="minor"/>
      </rPr>
      <t>Only Space value, any special character  etc.</t>
    </r>
  </si>
  <si>
    <t>1. As per the use case, The Agency textbox should accept only alphanumeric values.
2. The Agency textbox should not accept:
 -&gt; Only special characters
-&gt; Only space
3. The textbox should allow a maximum of 1 character and should not allow more than the limit.</t>
  </si>
  <si>
    <t>RITC_15</t>
  </si>
  <si>
    <r>
      <t xml:space="preserve">Validate the functionality of the </t>
    </r>
    <r>
      <rPr>
        <b/>
        <sz val="11"/>
        <color theme="1"/>
        <rFont val="Calibri"/>
        <family val="2"/>
        <scheme val="minor"/>
      </rPr>
      <t>Other</t>
    </r>
    <r>
      <rPr>
        <sz val="11"/>
        <color theme="1"/>
        <rFont val="Calibri"/>
        <family val="2"/>
        <scheme val="minor"/>
      </rPr>
      <t xml:space="preserve"> </t>
    </r>
    <r>
      <rPr>
        <b/>
        <sz val="11"/>
        <color theme="1"/>
        <rFont val="Calibri"/>
        <family val="2"/>
        <scheme val="minor"/>
      </rPr>
      <t xml:space="preserve">Agency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</si>
  <si>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RITC.</t>
    </r>
    <r>
      <rPr>
        <sz val="11"/>
        <color theme="1"/>
        <rFont val="Calibri"/>
        <family val="2"/>
        <scheme val="minor"/>
      </rPr>
      <t xml:space="preserve">
4. Enter valid and invalid data in </t>
    </r>
    <r>
      <rPr>
        <b/>
        <sz val="11"/>
        <color theme="1"/>
        <rFont val="Calibri"/>
        <family val="2"/>
        <scheme val="minor"/>
      </rPr>
      <t xml:space="preserve">Other Agency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</si>
  <si>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 Other Agency</t>
    </r>
    <r>
      <rPr>
        <b/>
        <sz val="11"/>
        <color theme="1"/>
        <rFont val="Calibri"/>
        <family val="2"/>
        <scheme val="minor"/>
      </rPr>
      <t xml:space="preserve">
Valid Value</t>
    </r>
    <r>
      <rPr>
        <sz val="11"/>
        <color theme="1"/>
        <rFont val="Calibri"/>
        <family val="2"/>
        <scheme val="minor"/>
      </rPr>
      <t xml:space="preserve">  - Alphanumeric value
</t>
    </r>
    <r>
      <rPr>
        <b/>
        <sz val="11"/>
        <color theme="1"/>
        <rFont val="Calibri"/>
        <family val="2"/>
        <scheme val="minor"/>
      </rPr>
      <t xml:space="preserve">Invalid Value - </t>
    </r>
    <r>
      <rPr>
        <sz val="11"/>
        <color theme="1"/>
        <rFont val="Calibri"/>
        <family val="2"/>
        <scheme val="minor"/>
      </rPr>
      <t>Only Space value, any special character  etc.</t>
    </r>
  </si>
  <si>
    <r>
      <t xml:space="preserve">1. Functionality is working as expected.
2. The textbox accepts only alphanumeric values </t>
    </r>
    <r>
      <rPr>
        <b/>
        <sz val="11"/>
        <color theme="1"/>
        <rFont val="Calibri"/>
        <family val="2"/>
        <scheme val="minor"/>
      </rPr>
      <t>(but the ` special character accepted ).</t>
    </r>
    <r>
      <rPr>
        <sz val="11"/>
        <color theme="1"/>
        <rFont val="Calibri"/>
        <family val="2"/>
        <scheme val="minor"/>
      </rPr>
      <t xml:space="preserve">
3. Maximum character limit (1 character) is implemented correctly.</t>
    </r>
  </si>
  <si>
    <r>
      <t xml:space="preserve">1. As per the use case, </t>
    </r>
    <r>
      <rPr>
        <b/>
        <sz val="11"/>
        <color theme="1"/>
        <rFont val="Calibri"/>
        <family val="2"/>
        <scheme val="minor"/>
      </rPr>
      <t xml:space="preserve">Other Agency </t>
    </r>
    <r>
      <rPr>
        <sz val="11"/>
        <color theme="1"/>
        <rFont val="Calibri"/>
        <family val="2"/>
        <scheme val="minor"/>
      </rPr>
      <t xml:space="preserve">textbox should accept only alphanumeric values.
2. </t>
    </r>
    <r>
      <rPr>
        <b/>
        <sz val="11"/>
        <color theme="1"/>
        <rFont val="Calibri"/>
        <family val="2"/>
        <scheme val="minor"/>
      </rPr>
      <t xml:space="preserve">Other Agency </t>
    </r>
    <r>
      <rPr>
        <sz val="11"/>
        <color theme="1"/>
        <rFont val="Calibri"/>
        <family val="2"/>
        <scheme val="minor"/>
      </rPr>
      <t>textbox should not accept:
 -&gt; Only special characters
-&gt; Only space
3. The textbox should allow a maximum of 1 character and should not allow more than the limit.</t>
    </r>
  </si>
  <si>
    <r>
      <t xml:space="preserve">1. Functionality is working as expected.
2. The Description textbox accepts alphanumeric values and special characters successfully.
3. Maximum character length restriction (250 characters) is implemented correctly.
</t>
    </r>
    <r>
      <rPr>
        <b/>
        <sz val="11"/>
        <color theme="1"/>
        <rFont val="Calibri"/>
        <family val="2"/>
        <scheme val="minor"/>
      </rPr>
      <t>Observation - This is a mandatory field, Mark mandatory as per other textbox.</t>
    </r>
  </si>
  <si>
    <t>RITC_16</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</si>
  <si>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Enter valid data in all fields and click the Save button and observe the system behavior.</t>
    </r>
  </si>
  <si>
    <t xml:space="preserve">1. The system should successfully save the record and display a confirmation pop-up message (e.g., “Record saved successfully”).
2. The saved record should be added on the left panel list.
3. The newly saved record should be searchable using the search box.
</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</si>
  <si>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Enter valid data in all mandatory fields and click the Save button and observe the system behavior.</t>
    </r>
  </si>
  <si>
    <t>RITC_17</t>
  </si>
  <si>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are Filled on the RITC Page.</t>
    </r>
  </si>
  <si>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 xml:space="preserve">Mandatory </t>
    </r>
    <r>
      <rPr>
        <sz val="11"/>
        <color theme="1"/>
        <rFont val="Calibri"/>
        <family val="2"/>
        <scheme val="minor"/>
      </rPr>
      <t>fields are Filled on the RITC Page.</t>
    </r>
  </si>
  <si>
    <r>
      <t xml:space="preserve">1. Fill only mandatory fields with valid data.
2. Leave all non-mandatory fields blank.
</t>
    </r>
    <r>
      <rPr>
        <b/>
        <sz val="11"/>
        <color theme="1"/>
        <rFont val="Calibri"/>
        <family val="2"/>
        <scheme val="minor"/>
      </rPr>
      <t/>
    </r>
  </si>
  <si>
    <r>
      <t xml:space="preserve">1. Functionality is not working as expected.
2. On the RITC Page, </t>
    </r>
    <r>
      <rPr>
        <b/>
        <sz val="11"/>
        <color theme="1"/>
        <rFont val="Calibri"/>
        <family val="2"/>
        <scheme val="minor"/>
      </rPr>
      <t>RITC Code</t>
    </r>
    <r>
      <rPr>
        <sz val="11"/>
        <color theme="1"/>
        <rFont val="Calibri"/>
        <family val="2"/>
        <scheme val="minor"/>
      </rPr>
      <t xml:space="preserve"> and </t>
    </r>
    <r>
      <rPr>
        <b/>
        <sz val="11"/>
        <color theme="1"/>
        <rFont val="Calibri"/>
        <family val="2"/>
        <scheme val="minor"/>
      </rPr>
      <t>Description</t>
    </r>
    <r>
      <rPr>
        <sz val="11"/>
        <color theme="1"/>
        <rFont val="Calibri"/>
        <family val="2"/>
        <scheme val="minor"/>
      </rPr>
      <t xml:space="preserve"> are mandatory fields (user cannot save without them), but the mandatory field indicators (red color) are missing for both textboxes.</t>
    </r>
  </si>
  <si>
    <t>RITC_18</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</si>
  <si>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Leave one or more mandatory fields blank and click on save button and observe the system behaviour.</t>
    </r>
  </si>
  <si>
    <t xml:space="preserve">1. Left one both mandatory field blank, Rest All Non mandatory field are filled.
</t>
  </si>
  <si>
    <t>RITC_19</t>
  </si>
  <si>
    <r>
      <t xml:space="preserve">Validate the functionality of the </t>
    </r>
    <r>
      <rPr>
        <b/>
        <sz val="11"/>
        <color theme="1"/>
        <rFont val="Calibri"/>
        <family val="2"/>
        <scheme val="minor"/>
      </rPr>
      <t>Save</t>
    </r>
    <r>
      <rPr>
        <sz val="11"/>
        <color theme="1"/>
        <rFont val="Calibri"/>
        <family val="2"/>
        <scheme val="minor"/>
      </rPr>
      <t xml:space="preserve"> button when one or more mandatory fields are left blank on the RITC Page.</t>
    </r>
  </si>
  <si>
    <r>
      <t xml:space="preserve">Validate the functionality of </t>
    </r>
    <r>
      <rPr>
        <b/>
        <sz val="11"/>
        <color theme="1"/>
        <rFont val="Calibri"/>
        <family val="2"/>
        <scheme val="minor"/>
      </rPr>
      <t>Modify</t>
    </r>
    <r>
      <rPr>
        <sz val="11"/>
        <color theme="1"/>
        <rFont val="Calibri"/>
        <family val="2"/>
        <scheme val="minor"/>
      </rPr>
      <t xml:space="preserve"> button on the RITC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</si>
  <si>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From the left-side list, select a pre-existing record and modify one or more fields with new valid data.</t>
    </r>
  </si>
  <si>
    <r>
      <t xml:space="preserve">
Select any existing</t>
    </r>
    <r>
      <rPr>
        <sz val="11"/>
        <color theme="1"/>
        <rFont val="Calibri"/>
        <family val="2"/>
        <scheme val="minor"/>
      </rPr>
      <t xml:space="preserve"> record from the left-side list.</t>
    </r>
  </si>
  <si>
    <r>
      <t xml:space="preserve">Textbox - </t>
    </r>
    <r>
      <rPr>
        <b/>
        <sz val="11"/>
        <color theme="1"/>
        <rFont val="Calibri"/>
        <family val="2"/>
        <scheme val="minor"/>
      </rPr>
      <t>Item Unit(UQC)
Manual Inputs:</t>
    </r>
    <r>
      <rPr>
        <sz val="11"/>
        <color theme="1"/>
        <rFont val="Calibri"/>
        <family val="2"/>
        <scheme val="minor"/>
      </rPr>
      <t xml:space="preserve">
Space, special characters, numeric values, alphabets
</t>
    </r>
    <r>
      <rPr>
        <b/>
        <sz val="11"/>
        <color theme="1"/>
        <rFont val="Calibri"/>
        <family val="2"/>
        <scheme val="minor"/>
      </rPr>
      <t>Autosuggest Inputs:</t>
    </r>
    <r>
      <rPr>
        <sz val="11"/>
        <color theme="1"/>
        <rFont val="Calibri"/>
        <family val="2"/>
        <scheme val="minor"/>
      </rPr>
      <t xml:space="preserve">
Values such as: 4444, 1234, etc.</t>
    </r>
  </si>
  <si>
    <t>RITC_20</t>
  </si>
  <si>
    <r>
      <t xml:space="preserve">Validate the functionality of </t>
    </r>
    <r>
      <rPr>
        <b/>
        <sz val="11"/>
        <color theme="1"/>
        <rFont val="Calibri"/>
        <family val="2"/>
        <scheme val="minor"/>
      </rPr>
      <t>Delete</t>
    </r>
    <r>
      <rPr>
        <sz val="11"/>
        <color theme="1"/>
        <rFont val="Calibri"/>
        <family val="2"/>
        <scheme val="minor"/>
      </rPr>
      <t xml:space="preserve"> button on the RITC Page.</t>
    </r>
  </si>
  <si>
    <t xml:space="preserve">
Select any existing RITC record from the left-side list.</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</si>
  <si>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RITC.
</t>
    </r>
    <r>
      <rPr>
        <sz val="11"/>
        <color theme="1"/>
        <rFont val="Calibri"/>
        <family val="2"/>
        <scheme val="minor"/>
      </rPr>
      <t>4. From the left-side RITC list, select any existing record.
5. Verify that the corresponding record details are populated in the input fields.
6. Click on the Delete button and observe the system behavior.</t>
    </r>
  </si>
  <si>
    <r>
      <t>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left-side list.
If the user selects No -The deletion process should be cancelled amd the record should remain unchanged.</t>
    </r>
  </si>
  <si>
    <t xml:space="preserve">1. Functionality is not working as expected.
2. When deleting a record, the system does not display any confirmation message (e.g., “Are you sure you want to delete this record?”).
</t>
  </si>
  <si>
    <t>RITC_21</t>
  </si>
  <si>
    <r>
      <t xml:space="preserve">Validate the functionality of </t>
    </r>
    <r>
      <rPr>
        <b/>
        <sz val="11"/>
        <color theme="1"/>
        <rFont val="Calibri"/>
        <family val="2"/>
        <scheme val="minor"/>
      </rPr>
      <t>Clear</t>
    </r>
    <r>
      <rPr>
        <sz val="11"/>
        <color theme="1"/>
        <rFont val="Calibri"/>
        <family val="2"/>
        <scheme val="minor"/>
      </rPr>
      <t xml:space="preserve"> button on the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</si>
  <si>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Enter values in all or few input fields.
5. Click the Clear button and observe the system behavior.</t>
    </r>
  </si>
  <si>
    <r>
      <t xml:space="preserve">Functionality is not working as Expected.
</t>
    </r>
    <r>
      <rPr>
        <b/>
        <sz val="11"/>
        <color theme="1"/>
        <rFont val="Calibri"/>
        <family val="2"/>
        <scheme val="minor"/>
      </rPr>
      <t>Observation - The system is not asking for confirmation before clearing the page.</t>
    </r>
  </si>
  <si>
    <t>RITC_22</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</si>
  <si>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on the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</si>
  <si>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Enter valid data in all required input fields and click Save.
5. From the left-side RITC list, select the recently saved record.
6. Observe the value displayed in the Entered By textbox.</t>
    </r>
  </si>
  <si>
    <t>Any valid data  to create an RITC record.</t>
  </si>
  <si>
    <t>1. Functionality is not working as expected.
2. The Entered By textbox is not auto-populating after saving and selecting the record.</t>
  </si>
  <si>
    <t>RITC_23</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</si>
  <si>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on the RITC Page.</t>
    </r>
  </si>
  <si>
    <r>
      <t xml:space="preserve">1. Open the application and log in 
2. Select Branch: AHMEDABAD, Export Type: Export Sea, FY 2025–2026, click OK.
3. Navigate to </t>
    </r>
    <r>
      <rPr>
        <b/>
        <sz val="11"/>
        <color theme="1"/>
        <rFont val="Calibri"/>
        <family val="2"/>
        <scheme val="minor"/>
      </rPr>
      <t>Masters - EDI Master - RITC</t>
    </r>
    <r>
      <rPr>
        <sz val="11"/>
        <color theme="1"/>
        <rFont val="Calibri"/>
        <family val="2"/>
        <scheme val="minor"/>
      </rPr>
      <t>.</t>
    </r>
    <r>
      <rPr>
        <b/>
        <sz val="11"/>
        <color theme="1"/>
        <rFont val="Calibri"/>
        <family val="2"/>
        <scheme val="minor"/>
      </rPr>
      <t xml:space="preserve">
</t>
    </r>
    <r>
      <rPr>
        <sz val="11"/>
        <color theme="1"/>
        <rFont val="Calibri"/>
        <family val="2"/>
        <scheme val="minor"/>
      </rPr>
      <t>4. Enter valid data in all required input fields and click Save.
5. From the left-side RITC list, select the recently saved record.
6. Observe the value displayed in the Entered Date textbox.</t>
    </r>
  </si>
  <si>
    <r>
      <t xml:space="preserve">1. </t>
    </r>
    <r>
      <rPr>
        <b/>
        <sz val="11"/>
        <color theme="1"/>
        <rFont val="Calibri"/>
        <family val="2"/>
        <scheme val="minor"/>
      </rPr>
      <t>Entered Date</t>
    </r>
    <r>
      <rPr>
        <sz val="11"/>
        <color theme="1"/>
        <rFont val="Calibri"/>
        <family val="2"/>
        <scheme val="minor"/>
      </rPr>
      <t xml:space="preserve"> textbox should be auto-populated with the date when the record was saved.
2. The date format should match the application’s  date format (DD-MM-YYYY).</t>
    </r>
  </si>
  <si>
    <t>1. Functionality is not working as expected.
2. The Entered Date textbox is not auto-populating after saving and selecting the record.</t>
  </si>
  <si>
    <t>RITC_24</t>
  </si>
  <si>
    <r>
      <t xml:space="preserve">Validate the functionality of </t>
    </r>
    <r>
      <rPr>
        <b/>
        <sz val="11"/>
        <color theme="1"/>
        <rFont val="Calibri"/>
        <family val="2"/>
        <scheme val="minor"/>
      </rPr>
      <t xml:space="preserve">Modified By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</si>
  <si>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Modify any field value and Click the modify button.
5. Re-select the same record from the left-side list and observe the value displayed in the Modified By textbox.</t>
    </r>
  </si>
  <si>
    <r>
      <t xml:space="preserve">1. For a record that has never been modified, the </t>
    </r>
    <r>
      <rPr>
        <b/>
        <sz val="11"/>
        <color theme="1"/>
        <rFont val="Calibri"/>
        <family val="2"/>
        <scheme val="minor"/>
      </rPr>
      <t>Modified By</t>
    </r>
    <r>
      <rPr>
        <sz val="11"/>
        <color theme="1"/>
        <rFont val="Calibri"/>
        <family val="2"/>
        <scheme val="minor"/>
      </rPr>
      <t xml:space="preserve"> textbox should remain blank.
2. After modifying and saving the record, The Modified By textbox should display the username of the user who performed the modification.
3. The Modified By value should update only when the record is modified - not during initial creation.</t>
    </r>
  </si>
  <si>
    <r>
      <t xml:space="preserve">1. Functionality is not working as expected.
2. The </t>
    </r>
    <r>
      <rPr>
        <b/>
        <sz val="11"/>
        <color theme="1"/>
        <rFont val="Calibri"/>
        <family val="2"/>
        <scheme val="minor"/>
      </rPr>
      <t>Modified By</t>
    </r>
    <r>
      <rPr>
        <sz val="11"/>
        <color theme="1"/>
        <rFont val="Calibri"/>
        <family val="2"/>
        <scheme val="minor"/>
      </rPr>
      <t xml:space="preserve"> textbox is not auto-populating after modifying the record.</t>
    </r>
  </si>
  <si>
    <t>RITC_25</t>
  </si>
  <si>
    <r>
      <t xml:space="preserve">Validate the functionality of </t>
    </r>
    <r>
      <rPr>
        <b/>
        <sz val="11"/>
        <color theme="1"/>
        <rFont val="Calibri"/>
        <family val="2"/>
        <scheme val="minor"/>
      </rPr>
      <t xml:space="preserve">Modified Date </t>
    </r>
    <r>
      <rPr>
        <sz val="11"/>
        <color theme="1"/>
        <rFont val="Calibri"/>
        <family val="2"/>
        <scheme val="minor"/>
      </rPr>
      <t>textbox on the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</si>
  <si>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Modify any field value and Click the modify button.
5. Re-select the same record from the left-side list and observe the value displayed in the Modified Date textbox.</t>
    </r>
  </si>
  <si>
    <r>
      <t xml:space="preserve">1. Functionality is not working as expected.
2. The </t>
    </r>
    <r>
      <rPr>
        <b/>
        <sz val="11"/>
        <color theme="1"/>
        <rFont val="Calibri"/>
        <family val="2"/>
        <scheme val="minor"/>
      </rPr>
      <t>Modified Date</t>
    </r>
    <r>
      <rPr>
        <sz val="11"/>
        <color theme="1"/>
        <rFont val="Calibri"/>
        <family val="2"/>
        <scheme val="minor"/>
      </rPr>
      <t xml:space="preserve"> textbox is not auto-populating after modifying the record.</t>
    </r>
  </si>
  <si>
    <t>RITC_26</t>
  </si>
  <si>
    <r>
      <t xml:space="preserve">Validate the functionality of the </t>
    </r>
    <r>
      <rPr>
        <b/>
        <sz val="11"/>
        <color theme="1"/>
        <rFont val="Calibri"/>
        <family val="2"/>
        <scheme val="minor"/>
      </rPr>
      <t xml:space="preserve">Page Responsiveness </t>
    </r>
    <r>
      <rPr>
        <sz val="11"/>
        <color theme="1"/>
        <rFont val="Calibri"/>
        <family val="2"/>
        <scheme val="minor"/>
      </rPr>
      <t>on the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</si>
  <si>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Resize the browser to multiple resolutions and observe the system behaviour.</t>
    </r>
  </si>
  <si>
    <t>1. All elements on the RITC page should remain visible across all supported screen sizes.
2. The page must remain usable and properly readable on smaller screen resolutions.
3. The page must behave as a fully responsive interface.</t>
  </si>
  <si>
    <t>RITC_27</t>
  </si>
  <si>
    <r>
      <t xml:space="preserve">Validate the functionality of </t>
    </r>
    <r>
      <rPr>
        <b/>
        <sz val="11"/>
        <color theme="1"/>
        <rFont val="Calibri"/>
        <family val="2"/>
        <scheme val="minor"/>
      </rPr>
      <t>Keyword Action</t>
    </r>
    <r>
      <rPr>
        <sz val="11"/>
        <color theme="1"/>
        <rFont val="Calibri"/>
        <family val="2"/>
        <scheme val="minor"/>
      </rPr>
      <t xml:space="preserve"> on the RITC Page. (TAB Button)</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</si>
  <si>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Use keyword button to fill the foam and select checkboxes and observe the system behaviour.</t>
    </r>
  </si>
  <si>
    <t>1. The Keyboard Action (TAB key) feature should function correctly across all fields.
 -&gt; Textboxes
 -&gt; Dropdown/Autosuggest fields
 -&gt; Radio buttons
 -&gt; Checkboxes</t>
  </si>
  <si>
    <r>
      <t xml:space="preserve">1. Functionality is not working as expected.
Observation: </t>
    </r>
    <r>
      <rPr>
        <b/>
        <sz val="11"/>
        <color theme="1"/>
        <rFont val="Calibri"/>
        <family val="2"/>
        <scheme val="minor"/>
      </rPr>
      <t>Keyboard action (TAB key) is not working on radio buttons or checkboxes.</t>
    </r>
    <r>
      <rPr>
        <sz val="11"/>
        <color theme="1"/>
        <rFont val="Calibri"/>
        <family val="2"/>
        <scheme val="minor"/>
      </rPr>
      <t xml:space="preserve">
</t>
    </r>
  </si>
  <si>
    <t>RITC_28</t>
  </si>
  <si>
    <r>
      <t>Validate the functionality of</t>
    </r>
    <r>
      <rPr>
        <b/>
        <sz val="11"/>
        <color theme="1"/>
        <rFont val="Calibri"/>
        <family val="2"/>
        <scheme val="minor"/>
      </rPr>
      <t xml:space="preserve"> Session timeout</t>
    </r>
    <r>
      <rPr>
        <sz val="11"/>
        <color theme="1"/>
        <rFont val="Calibri"/>
        <family val="2"/>
        <scheme val="minor"/>
      </rPr>
      <t xml:space="preserve"> of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</si>
  <si>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Leave the Currency page idle for long time and observe the system behaviour.</t>
    </r>
  </si>
  <si>
    <t>RITC_29</t>
  </si>
  <si>
    <r>
      <t xml:space="preserve">Validate the functionality of  </t>
    </r>
    <r>
      <rPr>
        <b/>
        <sz val="11"/>
        <color theme="1"/>
        <rFont val="Calibri"/>
        <family val="2"/>
        <scheme val="minor"/>
      </rPr>
      <t>Success Pop-up and Error message</t>
    </r>
    <r>
      <rPr>
        <sz val="11"/>
        <color theme="1"/>
        <rFont val="Calibri"/>
        <family val="2"/>
        <scheme val="minor"/>
      </rPr>
      <t xml:space="preserve"> Readibility of RITC Page..</t>
    </r>
  </si>
  <si>
    <r>
      <t xml:space="preserve">1. Open the application and log in 
2. Select Branch: AHMEDABAD, Export Type: Export Sea, FY 2025–2026, click OK.
3. Navigate to </t>
    </r>
    <r>
      <rPr>
        <b/>
        <sz val="11"/>
        <color theme="1"/>
        <rFont val="Calibri"/>
        <family val="2"/>
        <scheme val="minor"/>
      </rPr>
      <t xml:space="preserve">Masters - EDI Master - RITC.
</t>
    </r>
    <r>
      <rPr>
        <sz val="11"/>
        <color theme="1"/>
        <rFont val="Calibri"/>
        <family val="2"/>
        <scheme val="minor"/>
      </rPr>
      <t>4. Observe the Success Pop-up and Error Pop-up Readibility.</t>
    </r>
  </si>
  <si>
    <t>Port_01</t>
  </si>
  <si>
    <t>EDI Master --&gt; Port</t>
  </si>
  <si>
    <r>
      <t>Validate the functionality of Port</t>
    </r>
    <r>
      <rPr>
        <b/>
        <sz val="11"/>
        <color theme="1"/>
        <rFont val="Calibri"/>
        <family val="2"/>
        <scheme val="minor"/>
      </rPr>
      <t xml:space="preserve">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Masters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</si>
  <si>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PORT.</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</si>
  <si>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t>
    </r>
    <r>
      <rPr>
        <sz val="11"/>
        <color theme="1"/>
        <rFont val="Calibri"/>
        <family val="2"/>
        <scheme val="minor"/>
      </rPr>
      <t xml:space="preserve">
</t>
    </r>
  </si>
  <si>
    <r>
      <t xml:space="preserve">On Mouse Hovering action on </t>
    </r>
    <r>
      <rPr>
        <b/>
        <sz val="11"/>
        <color theme="1"/>
        <rFont val="Calibri"/>
        <family val="2"/>
        <scheme val="minor"/>
      </rPr>
      <t xml:space="preserve">Masters → EDI Master → RITC 
</t>
    </r>
    <r>
      <rPr>
        <sz val="11"/>
        <color theme="1"/>
        <rFont val="Calibri"/>
        <family val="2"/>
        <scheme val="minor"/>
      </rPr>
      <t>Page should be visible properly and While opening the page, it should be open proerply.</t>
    </r>
  </si>
  <si>
    <t>Functionality is working as expected and PORT Page is opening properly.</t>
  </si>
  <si>
    <t>Port_02</t>
  </si>
  <si>
    <r>
      <t xml:space="preserve">Validate the functionality of </t>
    </r>
    <r>
      <rPr>
        <b/>
        <sz val="11"/>
        <color theme="1"/>
        <rFont val="Calibri"/>
        <family val="2"/>
        <scheme val="minor"/>
      </rPr>
      <t>Port Code</t>
    </r>
    <r>
      <rPr>
        <sz val="11"/>
        <color theme="1"/>
        <rFont val="Calibri"/>
        <family val="2"/>
        <scheme val="minor"/>
      </rPr>
      <t xml:space="preserve"> &amp; </t>
    </r>
    <r>
      <rPr>
        <b/>
        <sz val="11"/>
        <color theme="1"/>
        <rFont val="Calibri"/>
        <family val="2"/>
        <scheme val="minor"/>
      </rPr>
      <t>Port Name</t>
    </r>
    <r>
      <rPr>
        <sz val="11"/>
        <color theme="1"/>
        <rFont val="Calibri"/>
        <family val="2"/>
        <scheme val="minor"/>
      </rPr>
      <t xml:space="preserve"> radio buttons in the left-side panel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</si>
  <si>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Click the Port Code radio button and observe the system behavior.
5. Click the Port Name radio button and observe the system behavior.</t>
    </r>
  </si>
  <si>
    <r>
      <t xml:space="preserve">Radio Button:
 -&gt; </t>
    </r>
    <r>
      <rPr>
        <b/>
        <sz val="11"/>
        <color theme="1"/>
        <rFont val="Calibri"/>
        <family val="2"/>
        <scheme val="minor"/>
      </rPr>
      <t>Port</t>
    </r>
    <r>
      <rPr>
        <sz val="11"/>
        <color theme="1"/>
        <rFont val="Calibri"/>
        <family val="2"/>
        <scheme val="minor"/>
      </rPr>
      <t xml:space="preserve"> </t>
    </r>
    <r>
      <rPr>
        <b/>
        <sz val="11"/>
        <color theme="1"/>
        <rFont val="Calibri"/>
        <family val="2"/>
        <scheme val="minor"/>
      </rPr>
      <t xml:space="preserve">Code
 </t>
    </r>
    <r>
      <rPr>
        <sz val="11"/>
        <color theme="1"/>
        <rFont val="Calibri"/>
        <family val="2"/>
        <scheme val="minor"/>
      </rPr>
      <t>-&gt;</t>
    </r>
    <r>
      <rPr>
        <b/>
        <sz val="11"/>
        <color theme="1"/>
        <rFont val="Calibri"/>
        <family val="2"/>
        <scheme val="minor"/>
      </rPr>
      <t xml:space="preserve"> Port Name</t>
    </r>
  </si>
  <si>
    <t>1. Both radio buttons (Port Code &amp; Port Name) should be selectable.
2. The user should be able to switch between the two options as required.</t>
  </si>
  <si>
    <t>Port_03</t>
  </si>
  <si>
    <r>
      <rPr>
        <b/>
        <sz val="11"/>
        <color theme="1"/>
        <rFont val="Calibri"/>
        <family val="2"/>
        <scheme val="minor"/>
      </rPr>
      <t xml:space="preserve">Search data </t>
    </r>
    <r>
      <rPr>
        <sz val="11"/>
        <color theme="1"/>
        <rFont val="Calibri"/>
        <family val="2"/>
        <scheme val="minor"/>
      </rPr>
      <t xml:space="preserve">- 
 -&gt; JPAIK
 -&gt; ESAQG
 -&gt; USAVJ
 -&gt; 1234
 -&gt; AB12
 -&gt; @#$%
 -&gt; A12$
 -&gt; Only Space </t>
    </r>
  </si>
  <si>
    <r>
      <t xml:space="preserve">Validate the functionality of </t>
    </r>
    <r>
      <rPr>
        <b/>
        <sz val="11"/>
        <color theme="1"/>
        <rFont val="Calibri"/>
        <family val="2"/>
        <scheme val="minor"/>
      </rPr>
      <t>Search Port</t>
    </r>
    <r>
      <rPr>
        <sz val="11"/>
        <color theme="1"/>
        <rFont val="Calibri"/>
        <family val="2"/>
        <scheme val="minor"/>
      </rPr>
      <t xml:space="preserve"> when </t>
    </r>
    <r>
      <rPr>
        <b/>
        <sz val="11"/>
        <color theme="1"/>
        <rFont val="Calibri"/>
        <family val="2"/>
        <scheme val="minor"/>
      </rPr>
      <t>Port Code</t>
    </r>
    <r>
      <rPr>
        <sz val="11"/>
        <color theme="1"/>
        <rFont val="Calibri"/>
        <family val="2"/>
        <scheme val="minor"/>
      </rPr>
      <t xml:space="preserve"> radio button is selected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</si>
  <si>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Select the Port Code radio button.
5. Enter valid and invalid values in the Search Port field and observe the system behavior.</t>
    </r>
  </si>
  <si>
    <t>1. The Search Port field should filter based on Port Code values (when Port Code radio button is selected).
2. If the entered value matches any Port Code, the corresponding list should appear.
3. If the entered value does not match any existing Port Code, then the list should be blank or show no data.</t>
  </si>
  <si>
    <t>Port_04</t>
  </si>
  <si>
    <r>
      <t xml:space="preserve">Validate the functionality of </t>
    </r>
    <r>
      <rPr>
        <b/>
        <sz val="11"/>
        <color theme="1"/>
        <rFont val="Calibri"/>
        <family val="2"/>
        <scheme val="minor"/>
      </rPr>
      <t>Search Port</t>
    </r>
    <r>
      <rPr>
        <sz val="11"/>
        <color theme="1"/>
        <rFont val="Calibri"/>
        <family val="2"/>
        <scheme val="minor"/>
      </rPr>
      <t xml:space="preserve"> when </t>
    </r>
    <r>
      <rPr>
        <b/>
        <sz val="11"/>
        <color theme="1"/>
        <rFont val="Calibri"/>
        <family val="2"/>
        <scheme val="minor"/>
      </rPr>
      <t>Port Name</t>
    </r>
    <r>
      <rPr>
        <sz val="11"/>
        <color theme="1"/>
        <rFont val="Calibri"/>
        <family val="2"/>
        <scheme val="minor"/>
      </rPr>
      <t xml:space="preserve"> radio button is selected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</si>
  <si>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Select the Port Name radio button.
5. Enter valid and invalid values in the Search Port field and observe the system behavior.</t>
    </r>
  </si>
  <si>
    <r>
      <rPr>
        <b/>
        <sz val="11"/>
        <color theme="1"/>
        <rFont val="Calibri"/>
        <family val="2"/>
        <scheme val="minor"/>
      </rPr>
      <t xml:space="preserve">Search data </t>
    </r>
    <r>
      <rPr>
        <sz val="11"/>
        <color theme="1"/>
        <rFont val="Calibri"/>
        <family val="2"/>
        <scheme val="minor"/>
      </rPr>
      <t xml:space="preserve">- 
 -&gt;  ARTHURS TOWN
 -&gt; TOWN MOUNT ROYAL
 -&gt; ABCD1234
 -&gt; 1234
 -&gt; AB12@#$
 -&gt; @#$% 
 -&gt; Only Space </t>
    </r>
  </si>
  <si>
    <r>
      <t xml:space="preserve">1. The </t>
    </r>
    <r>
      <rPr>
        <b/>
        <sz val="11"/>
        <color theme="1"/>
        <rFont val="Calibri"/>
        <family val="2"/>
        <scheme val="minor"/>
      </rPr>
      <t>Search Port</t>
    </r>
    <r>
      <rPr>
        <sz val="11"/>
        <color theme="1"/>
        <rFont val="Calibri"/>
        <family val="2"/>
        <scheme val="minor"/>
      </rPr>
      <t xml:space="preserve"> field should filter records based on Port Name values when the </t>
    </r>
    <r>
      <rPr>
        <b/>
        <sz val="11"/>
        <color theme="1"/>
        <rFont val="Calibri"/>
        <family val="2"/>
        <scheme val="minor"/>
      </rPr>
      <t xml:space="preserve">Port Name </t>
    </r>
    <r>
      <rPr>
        <sz val="11"/>
        <color theme="1"/>
        <rFont val="Calibri"/>
        <family val="2"/>
        <scheme val="minor"/>
      </rPr>
      <t>radio button is selected.
2. If the entered value matches any full or partial Port Name, the corresponding list should appear.
3. If the entered value does not match any Port Name, the list should show blank or No Data.</t>
    </r>
  </si>
  <si>
    <r>
      <t xml:space="preserve">1. Functionality is not working as expected.
2. Port Name search works only on the first word, not on partial matches inside the name.
</t>
    </r>
    <r>
      <rPr>
        <b/>
        <sz val="11"/>
        <color theme="1"/>
        <rFont val="Calibri"/>
        <family val="2"/>
        <scheme val="minor"/>
      </rPr>
      <t>Example: Port "TOWN MOUNT ROYAL" exists,
Searching “TOWN” → result appears 
Searching “ROYAL” → no result</t>
    </r>
  </si>
  <si>
    <t>Port_05</t>
  </si>
  <si>
    <r>
      <rPr>
        <b/>
        <sz val="11"/>
        <color theme="1"/>
        <rFont val="Calibri"/>
        <family val="2"/>
        <scheme val="minor"/>
      </rPr>
      <t>When Port Code Radio button selected.</t>
    </r>
    <r>
      <rPr>
        <sz val="11"/>
        <color theme="1"/>
        <rFont val="Calibri"/>
        <family val="2"/>
        <scheme val="minor"/>
      </rPr>
      <t xml:space="preserve">
-&gt;  ARTHURS TOWN
 -&gt; TOWN MOUNT ROYAL
 -&gt; ABCD1234
</t>
    </r>
    <r>
      <rPr>
        <b/>
        <sz val="11"/>
        <color theme="1"/>
        <rFont val="Calibri"/>
        <family val="2"/>
        <scheme val="minor"/>
      </rPr>
      <t xml:space="preserve"> When Port Name Radio button selected.
</t>
    </r>
    <r>
      <rPr>
        <sz val="11"/>
        <color theme="1"/>
        <rFont val="Calibri"/>
        <family val="2"/>
        <scheme val="minor"/>
      </rPr>
      <t xml:space="preserve"> -&gt; JPAIK
 -&gt; ESAQG
 -&gt; USAVJ
 -&gt; 1234</t>
    </r>
  </si>
  <si>
    <r>
      <t>Validate Reversed</t>
    </r>
    <r>
      <rPr>
        <b/>
        <sz val="11"/>
        <color theme="1"/>
        <rFont val="Calibri"/>
        <family val="2"/>
        <scheme val="minor"/>
      </rPr>
      <t xml:space="preserve"> Search Port </t>
    </r>
    <r>
      <rPr>
        <sz val="11"/>
        <color theme="1"/>
        <rFont val="Calibri"/>
        <family val="2"/>
        <scheme val="minor"/>
      </rPr>
      <t xml:space="preserve">Functionality when </t>
    </r>
    <r>
      <rPr>
        <b/>
        <sz val="11"/>
        <color theme="1"/>
        <rFont val="Calibri"/>
        <family val="2"/>
        <scheme val="minor"/>
      </rPr>
      <t>Port Code &amp; Port Name</t>
    </r>
    <r>
      <rPr>
        <sz val="11"/>
        <color theme="1"/>
        <rFont val="Calibri"/>
        <family val="2"/>
        <scheme val="minor"/>
      </rPr>
      <t xml:space="preserve"> Radio Buttons Are Selected</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</si>
  <si>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Select the Port Code radio button and Search Port Name value is search field.
5. Select the Port Name radio button and Search Port Code value is search field.
5. Observe the search results for each input.</t>
    </r>
  </si>
  <si>
    <r>
      <t xml:space="preserve">1. </t>
    </r>
    <r>
      <rPr>
        <b/>
        <sz val="11"/>
        <color theme="1"/>
        <rFont val="Calibri"/>
        <family val="2"/>
        <scheme val="minor"/>
      </rPr>
      <t>When Port Code radio button is selected.</t>
    </r>
    <r>
      <rPr>
        <sz val="11"/>
        <color theme="1"/>
        <rFont val="Calibri"/>
        <family val="2"/>
        <scheme val="minor"/>
      </rPr>
      <t xml:space="preserve">
 -&gt; The system should filter only by Port Code.
-&gt; If the user enters Port Name values into the Search field, No matching record should be displayed.
2. </t>
    </r>
    <r>
      <rPr>
        <b/>
        <sz val="11"/>
        <color theme="1"/>
        <rFont val="Calibri"/>
        <family val="2"/>
        <scheme val="minor"/>
      </rPr>
      <t>When Port Name radio button is selected.</t>
    </r>
    <r>
      <rPr>
        <sz val="11"/>
        <color theme="1"/>
        <rFont val="Calibri"/>
        <family val="2"/>
        <scheme val="minor"/>
      </rPr>
      <t xml:space="preserve">
 -&gt; The system should filter only by Port Name.
 -&gt; If the user enters Port Code values in the Search field, No matching record should be displayed.
3. Search must work strictly based on the selected radio button type.</t>
    </r>
  </si>
  <si>
    <t>Port_06</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</si>
  <si>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Port</t>
    </r>
    <r>
      <rPr>
        <sz val="11"/>
        <color theme="1"/>
        <rFont val="Calibri"/>
        <family val="2"/>
        <scheme val="minor"/>
      </rPr>
      <t xml:space="preserve">
4. On the left panel, Click 
 -&gt; Sort Ascending and verify list order.
 -&gt; Click Sort Descending and verify list order.
 -&gt; Checkboxes: select all checkboxes all columns visible
 - &gt; deselect all - all columns hidden.</t>
    </r>
  </si>
  <si>
    <r>
      <t xml:space="preserve">Validate </t>
    </r>
    <r>
      <rPr>
        <b/>
        <sz val="11"/>
        <color theme="1"/>
        <rFont val="Calibri"/>
        <family val="2"/>
        <scheme val="minor"/>
      </rPr>
      <t>Sort Ascending / Sort Descending</t>
    </r>
    <r>
      <rPr>
        <sz val="11"/>
        <color theme="1"/>
        <rFont val="Calibri"/>
        <family val="2"/>
        <scheme val="minor"/>
      </rPr>
      <t xml:space="preserve"> and </t>
    </r>
    <r>
      <rPr>
        <b/>
        <sz val="11"/>
        <color theme="1"/>
        <rFont val="Calibri"/>
        <family val="2"/>
        <scheme val="minor"/>
      </rPr>
      <t>Column Selection</t>
    </r>
    <r>
      <rPr>
        <sz val="11"/>
        <color theme="1"/>
        <rFont val="Calibri"/>
        <family val="2"/>
        <scheme val="minor"/>
      </rPr>
      <t xml:space="preserve"> Checkbox behavior for the Port list (Left Panel) of Port Page.</t>
    </r>
  </si>
  <si>
    <r>
      <t xml:space="preserve">1. </t>
    </r>
    <r>
      <rPr>
        <b/>
        <sz val="11"/>
        <color theme="1"/>
        <rFont val="Calibri"/>
        <family val="2"/>
        <scheme val="minor"/>
      </rPr>
      <t>Sorting:</t>
    </r>
    <r>
      <rPr>
        <sz val="11"/>
        <color theme="1"/>
        <rFont val="Calibri"/>
        <family val="2"/>
        <scheme val="minor"/>
      </rPr>
      <t xml:space="preserve"> Port list should sort correctly in both ascending and descending order, based on the radio button selected (Port Code / Port Name).
2.</t>
    </r>
    <r>
      <rPr>
        <b/>
        <sz val="11"/>
        <color theme="1"/>
        <rFont val="Calibri"/>
        <family val="2"/>
        <scheme val="minor"/>
      </rPr>
      <t xml:space="preserve"> Column Selection:</t>
    </r>
    <r>
      <rPr>
        <sz val="11"/>
        <color theme="1"/>
        <rFont val="Calibri"/>
        <family val="2"/>
        <scheme val="minor"/>
      </rPr>
      <t xml:space="preserve">
 -&gt; When all checkboxes are selected, all columns should be displayed.
 -&gt; When all checkboxes are deselected, all columns should be hidden</t>
    </r>
  </si>
  <si>
    <r>
      <t xml:space="preserve">1. Sorting works correctly — ascending and descending order both function as expected.
</t>
    </r>
    <r>
      <rPr>
        <b/>
        <sz val="11"/>
        <color theme="1"/>
        <rFont val="Calibri"/>
        <family val="2"/>
        <scheme val="minor"/>
      </rPr>
      <t xml:space="preserve">
2. Column Selection:
 -&gt; </t>
    </r>
    <r>
      <rPr>
        <sz val="11"/>
        <color theme="1"/>
        <rFont val="Calibri"/>
        <family val="2"/>
        <scheme val="minor"/>
      </rPr>
      <t>When all checkboxes are selected → All columns display correctly.
 -&gt; When all checkboxes are deselected → One column still remains visible.</t>
    </r>
  </si>
  <si>
    <t>Port_07</t>
  </si>
  <si>
    <r>
      <t xml:space="preserve">Validate whether the selected </t>
    </r>
    <r>
      <rPr>
        <b/>
        <sz val="11"/>
        <color theme="1"/>
        <rFont val="Calibri"/>
        <family val="2"/>
        <scheme val="minor"/>
      </rPr>
      <t>Port Details</t>
    </r>
    <r>
      <rPr>
        <sz val="11"/>
        <color theme="1"/>
        <rFont val="Calibri"/>
        <family val="2"/>
        <scheme val="minor"/>
      </rPr>
      <t xml:space="preserve"> from the left-panel list are correctly reflected in the corresponding textboxes.</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</si>
  <si>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From the left-panel Port list, click on any record and observe whether the Port details are populated correctly in the co-responding textboxes.
5. Now click another record from the left panel and verify that the data in all textboxes updates accordingly.</t>
    </r>
  </si>
  <si>
    <t xml:space="preserve">1. The details of the selected Port from the left-panel list must be displayed correctly in the corresponding textboxes on the main Port page.
2. When another record is selected, all textbox values should refresh and display the details of the newly selected record.
</t>
  </si>
  <si>
    <t>The functionality is working as expected.
(Textboxes update correctly based on the selected Port record.)</t>
  </si>
  <si>
    <t>Port_08</t>
  </si>
  <si>
    <r>
      <rPr>
        <b/>
        <sz val="11"/>
        <color theme="1"/>
        <rFont val="Calibri"/>
        <family val="2"/>
        <scheme val="minor"/>
      </rPr>
      <t>Textbox - Port Code</t>
    </r>
    <r>
      <rPr>
        <sz val="11"/>
        <color theme="1"/>
        <rFont val="Calibri"/>
        <family val="2"/>
        <scheme val="minor"/>
      </rPr>
      <t xml:space="preserve">
 -&gt; ABCDEF
 -&gt; ABCD12
 -&gt; ABC12@
 -&gt; 123456
 -&gt; 123@#$
 -&gt; Only space </t>
    </r>
  </si>
  <si>
    <r>
      <t xml:space="preserve">Validate the functionality of </t>
    </r>
    <r>
      <rPr>
        <b/>
        <sz val="11"/>
        <color theme="1"/>
        <rFont val="Calibri"/>
        <family val="2"/>
        <scheme val="minor"/>
      </rPr>
      <t>Port Code</t>
    </r>
    <r>
      <rPr>
        <sz val="11"/>
        <color theme="1"/>
        <rFont val="Calibri"/>
        <family val="2"/>
        <scheme val="minor"/>
      </rPr>
      <t xml:space="preserve"> textbox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</si>
  <si>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In the Port Code textbox, enter the valid and invalid values and observe the system behavior.</t>
    </r>
  </si>
  <si>
    <r>
      <t xml:space="preserve">1. The functionality is working as expected
2. </t>
    </r>
    <r>
      <rPr>
        <b/>
        <sz val="11"/>
        <color theme="1"/>
        <rFont val="Calibri"/>
        <family val="2"/>
        <scheme val="minor"/>
      </rPr>
      <t xml:space="preserve"> In the special character, textbox accepts the special character (`) (backtick).</t>
    </r>
  </si>
  <si>
    <t>Port_09</t>
  </si>
  <si>
    <r>
      <t xml:space="preserve">Validate the functionality of </t>
    </r>
    <r>
      <rPr>
        <b/>
        <sz val="11"/>
        <color theme="1"/>
        <rFont val="Calibri"/>
        <family val="2"/>
        <scheme val="minor"/>
      </rPr>
      <t>Port Name</t>
    </r>
    <r>
      <rPr>
        <sz val="11"/>
        <color theme="1"/>
        <rFont val="Calibri"/>
        <family val="2"/>
        <scheme val="minor"/>
      </rPr>
      <t xml:space="preserve"> textbox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</si>
  <si>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In the Port Name textbox, enter the valid and invalid values and observe the system behavior.</t>
    </r>
  </si>
  <si>
    <r>
      <rPr>
        <b/>
        <sz val="11"/>
        <color theme="1"/>
        <rFont val="Calibri"/>
        <family val="2"/>
        <scheme val="minor"/>
      </rPr>
      <t>Textbox - Port Name</t>
    </r>
    <r>
      <rPr>
        <sz val="11"/>
        <color theme="1"/>
        <rFont val="Calibri"/>
        <family val="2"/>
        <scheme val="minor"/>
      </rPr>
      <t xml:space="preserve">
 -&gt; Alphanumeric value
 -&gt; Alphabetic Value
 -&gt; Numeric Value
 -&gt; Special character value
 -&gt; Only space </t>
    </r>
  </si>
  <si>
    <t>1. As per the use case, Port Code textbox should accept only alphabetic characters (A–Z).
2. The textbox must not accept - Numeric values, Special characters, Space(s) or Any alphanumeric or mixed combinations
3. The Port Code textbox should accept a maximum of 6 alphabetic characters.</t>
  </si>
  <si>
    <t>1. The Port Name textbox should accept only alphanumeric characters (A–Z, 0–9).
2. The textbox must not accept:
 -&gt; Special characters
 -&gt; Only Space(s)
3. The Port Name textbox should accept a maximum of 20 characters.</t>
  </si>
  <si>
    <t>Port_10</t>
  </si>
  <si>
    <r>
      <t xml:space="preserve">Textbox - </t>
    </r>
    <r>
      <rPr>
        <b/>
        <sz val="11"/>
        <color theme="1"/>
        <rFont val="Calibri"/>
        <family val="2"/>
        <scheme val="minor"/>
      </rPr>
      <t>Country
Manual Inputs:</t>
    </r>
    <r>
      <rPr>
        <sz val="11"/>
        <color theme="1"/>
        <rFont val="Calibri"/>
        <family val="2"/>
        <scheme val="minor"/>
      </rPr>
      <t xml:space="preserve">
Space, special characters, numeric values, alphabets etc.
</t>
    </r>
    <r>
      <rPr>
        <b/>
        <sz val="11"/>
        <color theme="1"/>
        <rFont val="Calibri"/>
        <family val="2"/>
        <scheme val="minor"/>
      </rPr>
      <t>Autosuggest Inputs:</t>
    </r>
    <r>
      <rPr>
        <sz val="11"/>
        <color theme="1"/>
        <rFont val="Calibri"/>
        <family val="2"/>
        <scheme val="minor"/>
      </rPr>
      <t xml:space="preserve">
India, China, Sri Lanka etc.</t>
    </r>
  </si>
  <si>
    <t>Port_11</t>
  </si>
  <si>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Port</t>
    </r>
    <r>
      <rPr>
        <sz val="11"/>
        <color theme="1"/>
        <rFont val="Calibri"/>
        <family val="2"/>
        <scheme val="minor"/>
      </rPr>
      <t xml:space="preserve">
4.  select a value from the Autosuggest dropdown list and oberve the system behaviour.
5. Verify whether the Country Code textbox (beside Country field) 
 -&gt; Auto-populates the correct code
 -&gt; Is non-editable</t>
    </r>
  </si>
  <si>
    <t>1. The Country textbox should not accept manual input of any kind.
2. Only values selected from the Autosuggest dropdown should be allowed.
3. If the user types any invalid or non-suggested value, the textbox should auto-clear.
4. Upon selecting a valid Country:
 -&gt; The Country Code textbox must auto-populate with the correct code.
5. The Country Code textbox must be non-editable</t>
  </si>
  <si>
    <t xml:space="preserve">1. The functionality is working as expected
2. Country textbox is not accepting any manual input.
3. Country Code textbox is not editable at any condition.
</t>
  </si>
  <si>
    <r>
      <t xml:space="preserve">Validate the functionality of </t>
    </r>
    <r>
      <rPr>
        <b/>
        <sz val="11"/>
        <color theme="1"/>
        <rFont val="Calibri"/>
        <family val="2"/>
        <scheme val="minor"/>
      </rPr>
      <t>Save</t>
    </r>
    <r>
      <rPr>
        <sz val="11"/>
        <color theme="1"/>
        <rFont val="Calibri"/>
        <family val="2"/>
        <scheme val="minor"/>
      </rPr>
      <t xml:space="preserve"> button, When all fields are filled on the Port Page.</t>
    </r>
  </si>
  <si>
    <r>
      <rPr>
        <b/>
        <sz val="11"/>
        <color theme="1"/>
        <rFont val="Calibri"/>
        <family val="2"/>
        <scheme val="minor"/>
      </rPr>
      <t>Port Code</t>
    </r>
    <r>
      <rPr>
        <sz val="11"/>
        <color theme="1"/>
        <rFont val="Calibri"/>
        <family val="2"/>
        <scheme val="minor"/>
      </rPr>
      <t xml:space="preserve"> - ABCDEF
</t>
    </r>
    <r>
      <rPr>
        <b/>
        <sz val="11"/>
        <color theme="1"/>
        <rFont val="Calibri"/>
        <family val="2"/>
        <scheme val="minor"/>
      </rPr>
      <t>Port Name</t>
    </r>
    <r>
      <rPr>
        <sz val="11"/>
        <color theme="1"/>
        <rFont val="Calibri"/>
        <family val="2"/>
        <scheme val="minor"/>
      </rPr>
      <t xml:space="preserve"> - Testing Port Name1
</t>
    </r>
    <r>
      <rPr>
        <b/>
        <sz val="11"/>
        <color theme="1"/>
        <rFont val="Calibri"/>
        <family val="2"/>
        <scheme val="minor"/>
      </rPr>
      <t xml:space="preserve">Country </t>
    </r>
    <r>
      <rPr>
        <sz val="11"/>
        <color theme="1"/>
        <rFont val="Calibri"/>
        <family val="2"/>
        <scheme val="minor"/>
      </rPr>
      <t xml:space="preserve">- India </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</si>
  <si>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Port</t>
    </r>
    <r>
      <rPr>
        <sz val="11"/>
        <color theme="1"/>
        <rFont val="Calibri"/>
        <family val="2"/>
        <scheme val="minor"/>
      </rPr>
      <t xml:space="preserve">
4. Enter valid values in all  fields and click on save button and observe the system behaviour.</t>
    </r>
  </si>
  <si>
    <t>1. When all fields are filled with valid values, the record should be saved successfully and a success confirmation message must appear.
2. The newly saved Port details must be displayed in the left-side Port list.
3. The saved record must be searchable using the left-panel search box.</t>
  </si>
  <si>
    <t>1. The Port Details are getting saved properly, and a success confirmation message is displayed.
2. The newly saved Port record does NOT appear in the left-side panel list.
3. The saved record is not searchable.</t>
  </si>
  <si>
    <t>Port_12</t>
  </si>
  <si>
    <r>
      <rPr>
        <b/>
        <sz val="11"/>
        <color theme="1"/>
        <rFont val="Calibri"/>
        <family val="2"/>
        <scheme val="minor"/>
      </rPr>
      <t>Port Code</t>
    </r>
    <r>
      <rPr>
        <sz val="11"/>
        <color theme="1"/>
        <rFont val="Calibri"/>
        <family val="2"/>
        <scheme val="minor"/>
      </rPr>
      <t xml:space="preserve"> - XYZABC
</t>
    </r>
    <r>
      <rPr>
        <b/>
        <sz val="11"/>
        <color theme="1"/>
        <rFont val="Calibri"/>
        <family val="2"/>
        <scheme val="minor"/>
      </rPr>
      <t>Port Name</t>
    </r>
    <r>
      <rPr>
        <sz val="11"/>
        <color theme="1"/>
        <rFont val="Calibri"/>
        <family val="2"/>
        <scheme val="minor"/>
      </rPr>
      <t xml:space="preserve"> - Testing Port Name2
</t>
    </r>
    <r>
      <rPr>
        <b/>
        <sz val="11"/>
        <color theme="1"/>
        <rFont val="Calibri"/>
        <family val="2"/>
        <scheme val="minor"/>
      </rPr>
      <t/>
    </r>
  </si>
  <si>
    <r>
      <t xml:space="preserve">Validate </t>
    </r>
    <r>
      <rPr>
        <b/>
        <sz val="11"/>
        <color theme="1"/>
        <rFont val="Calibri"/>
        <family val="2"/>
        <scheme val="minor"/>
      </rPr>
      <t>Save</t>
    </r>
    <r>
      <rPr>
        <sz val="11"/>
        <color theme="1"/>
        <rFont val="Calibri"/>
        <family val="2"/>
        <scheme val="minor"/>
      </rPr>
      <t xml:space="preserve"> button functionality when only mandatory fields are filled (non-mandatory fields left blank). on the Port Page.</t>
    </r>
  </si>
  <si>
    <t>1. Record should be saved successfully with a success message.
2. The newly saved Port record should appear in the left-side Port list.
3. The saved record should be searchable using the search box.</t>
  </si>
  <si>
    <t>1. Port details are saved successfully and a success message is displayed.
2. Newly saved Port record does NOT appear in the left-side list.
3. The saved record is NOT searchable.</t>
  </si>
  <si>
    <t>Port_13</t>
  </si>
  <si>
    <r>
      <t xml:space="preserve">Validate </t>
    </r>
    <r>
      <rPr>
        <b/>
        <sz val="11"/>
        <color theme="1"/>
        <rFont val="Calibri"/>
        <family val="2"/>
        <scheme val="minor"/>
      </rPr>
      <t>Save</t>
    </r>
    <r>
      <rPr>
        <sz val="11"/>
        <color theme="1"/>
        <rFont val="Calibri"/>
        <family val="2"/>
        <scheme val="minor"/>
      </rPr>
      <t xml:space="preserve"> button functionality when only Non - mandatory fields are filled (Mandatory fields left blank). on the Port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</si>
  <si>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Port</t>
    </r>
    <r>
      <rPr>
        <sz val="11"/>
        <color theme="1"/>
        <rFont val="Calibri"/>
        <family val="2"/>
        <scheme val="minor"/>
      </rPr>
      <t xml:space="preserve">
4. Enter valid values in Non - mandatory fields only and leave mandatory fields blank.
5. Click Save and observe system behavior.</t>
    </r>
  </si>
  <si>
    <r>
      <rPr>
        <b/>
        <sz val="11"/>
        <color theme="1"/>
        <rFont val="Calibri"/>
        <family val="2"/>
        <scheme val="minor"/>
      </rPr>
      <t>Country -</t>
    </r>
    <r>
      <rPr>
        <sz val="11"/>
        <color theme="1"/>
        <rFont val="Calibri"/>
        <family val="2"/>
        <scheme val="minor"/>
      </rPr>
      <t xml:space="preserve"> India 
</t>
    </r>
    <r>
      <rPr>
        <b/>
        <sz val="11"/>
        <color theme="1"/>
        <rFont val="Calibri"/>
        <family val="2"/>
        <scheme val="minor"/>
      </rPr>
      <t/>
    </r>
  </si>
  <si>
    <t>1. Record should not be saved.
2. System should display error popup for mandatory fields.</t>
  </si>
  <si>
    <t>1. Functionality is working as expected.
2. Record is not saved without all mandatory fields.</t>
  </si>
  <si>
    <t>Port_14</t>
  </si>
  <si>
    <r>
      <t xml:space="preserve">Validate </t>
    </r>
    <r>
      <rPr>
        <b/>
        <sz val="11"/>
        <color theme="1"/>
        <rFont val="Calibri"/>
        <family val="2"/>
        <scheme val="minor"/>
      </rPr>
      <t>Save</t>
    </r>
    <r>
      <rPr>
        <sz val="11"/>
        <color theme="1"/>
        <rFont val="Calibri"/>
        <family val="2"/>
        <scheme val="minor"/>
      </rPr>
      <t xml:space="preserve"> functionality when all fields are left blank on the Port Page.</t>
    </r>
  </si>
  <si>
    <r>
      <t xml:space="preserve">1. Open the application and log in 
2. Select Branch: AHMEDABAD, Export Type: Export Sea, FY 2025–2026, click OK.
3. Navigate to </t>
    </r>
    <r>
      <rPr>
        <b/>
        <sz val="11"/>
        <color theme="1"/>
        <rFont val="Calibri"/>
        <family val="2"/>
        <scheme val="minor"/>
      </rPr>
      <t>Masters -</t>
    </r>
    <r>
      <rPr>
        <sz val="11"/>
        <color theme="1"/>
        <rFont val="Calibri"/>
        <family val="2"/>
        <scheme val="minor"/>
      </rPr>
      <t xml:space="preserve">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Port</t>
    </r>
    <r>
      <rPr>
        <sz val="11"/>
        <color theme="1"/>
        <rFont val="Calibri"/>
        <family val="2"/>
        <scheme val="minor"/>
      </rPr>
      <t xml:space="preserve">
4. Leave all fields blank and Click Save.</t>
    </r>
  </si>
  <si>
    <t>1. Record should not be saved.
2. Mandatory field validation error message should appear.</t>
  </si>
  <si>
    <t>1. Functionality works as expected.
2. Record is not saved without mandatory fields.</t>
  </si>
  <si>
    <t>Port_15</t>
  </si>
  <si>
    <r>
      <t xml:space="preserve">Validate the functionality of </t>
    </r>
    <r>
      <rPr>
        <b/>
        <sz val="11"/>
        <color theme="1"/>
        <rFont val="Calibri"/>
        <family val="2"/>
        <scheme val="minor"/>
      </rPr>
      <t>Modify</t>
    </r>
    <r>
      <rPr>
        <sz val="11"/>
        <color theme="1"/>
        <rFont val="Calibri"/>
        <family val="2"/>
        <scheme val="minor"/>
      </rPr>
      <t xml:space="preserve"> button on the Port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</si>
  <si>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Port.
</t>
    </r>
    <r>
      <rPr>
        <sz val="11"/>
        <color theme="1"/>
        <rFont val="Calibri"/>
        <family val="2"/>
        <scheme val="minor"/>
      </rPr>
      <t>4. From the left-side list, select a pre-existing record and modify one or more fields with new valid data.</t>
    </r>
  </si>
  <si>
    <t>Port_16</t>
  </si>
  <si>
    <r>
      <t xml:space="preserve">Validate the functionality of </t>
    </r>
    <r>
      <rPr>
        <b/>
        <sz val="11"/>
        <color theme="1"/>
        <rFont val="Calibri"/>
        <family val="2"/>
        <scheme val="minor"/>
      </rPr>
      <t>Clear</t>
    </r>
    <r>
      <rPr>
        <sz val="11"/>
        <color theme="1"/>
        <rFont val="Calibri"/>
        <family val="2"/>
        <scheme val="minor"/>
      </rPr>
      <t xml:space="preserve"> button on the Port Page.</t>
    </r>
  </si>
  <si>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Enter values in all or few input fields.
5. Click the Clear button and observe the system behavior.</t>
    </r>
  </si>
  <si>
    <r>
      <t xml:space="preserve">1. As per use case,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All fields in the form should be cleared/reset to blank.
</t>
    </r>
    <r>
      <rPr>
        <b/>
        <sz val="11"/>
        <color theme="1"/>
        <rFont val="Calibri"/>
        <family val="2"/>
        <scheme val="minor"/>
      </rPr>
      <t>If the user clicks No:</t>
    </r>
    <r>
      <rPr>
        <sz val="11"/>
        <color theme="1"/>
        <rFont val="Calibri"/>
        <family val="2"/>
        <scheme val="minor"/>
      </rPr>
      <t xml:space="preserve">
All entered values should remain unchanged.
</t>
    </r>
    <r>
      <rPr>
        <b/>
        <sz val="11"/>
        <color theme="1"/>
        <rFont val="Calibri"/>
        <family val="2"/>
        <scheme val="minor"/>
      </rPr>
      <t/>
    </r>
  </si>
  <si>
    <t>Port_17</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</si>
  <si>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on the Port Page.</t>
    </r>
  </si>
  <si>
    <t>Any valid data  to create an Port record.</t>
  </si>
  <si>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Enter valid data in all mandatory input fields and Click Save to create a new Port record.
5. From the left-side Port list, locate and select the recently saved record.
6. Observe the value displayed in the Entered By textbox.</t>
    </r>
  </si>
  <si>
    <t>1. The Entered By textbox should be automatically populated with the username of the logged-in user who saved the record.
2. The value should be non-editable, since it is system-generated.</t>
  </si>
  <si>
    <t>1. Functionality is not working as expected.
2. The newly saved record is not appearing in the left-side panel list.
3. Due to this, the user cannot select the saved record to verify the Entered By field.</t>
  </si>
  <si>
    <t>Port_18</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</si>
  <si>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on the Port Page.</t>
    </r>
  </si>
  <si>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Enter valid data in all mandatory input fields and Click Save to create a new Port record.
5. From the left-side Port list, locate and select the recently saved record.
6. Observe the value displayed in the Entered Date textbox.</t>
    </r>
  </si>
  <si>
    <t>1. Functionality is not working as expected.
2. The newly saved record is not appearing in the left-side panel list.
3. Due to this, the user cannot select the saved record to verify the Entered Date field.</t>
  </si>
  <si>
    <t>Port_19</t>
  </si>
  <si>
    <r>
      <t xml:space="preserve">Validate the functionality of the </t>
    </r>
    <r>
      <rPr>
        <b/>
        <sz val="11"/>
        <color theme="1"/>
        <rFont val="Calibri"/>
        <family val="2"/>
        <scheme val="minor"/>
      </rPr>
      <t xml:space="preserve">Page Responsiveness </t>
    </r>
    <r>
      <rPr>
        <sz val="11"/>
        <color theme="1"/>
        <rFont val="Calibri"/>
        <family val="2"/>
        <scheme val="minor"/>
      </rPr>
      <t>on the Port Page.</t>
    </r>
  </si>
  <si>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Resize the browser to multiple resolutions and observe the system behaviour.</t>
    </r>
  </si>
  <si>
    <t>1. All elements on the Port page should remain visible across all supported screen sizes.
2. The page must remain usable and properly readable on smaller screen resolutions.
3. The page must behave as a fully responsive interface.</t>
  </si>
  <si>
    <t>Port_20</t>
  </si>
  <si>
    <r>
      <t xml:space="preserve">Validate the functionality of </t>
    </r>
    <r>
      <rPr>
        <b/>
        <sz val="11"/>
        <color theme="1"/>
        <rFont val="Calibri"/>
        <family val="2"/>
        <scheme val="minor"/>
      </rPr>
      <t>Keyword Action</t>
    </r>
    <r>
      <rPr>
        <sz val="11"/>
        <color theme="1"/>
        <rFont val="Calibri"/>
        <family val="2"/>
        <scheme val="minor"/>
      </rPr>
      <t xml:space="preserve"> on the Port Page. (TAB Button)</t>
    </r>
  </si>
  <si>
    <r>
      <t xml:space="preserve">1. Functionality is not working as expected.
Observation: </t>
    </r>
    <r>
      <rPr>
        <b/>
        <sz val="11"/>
        <color theme="1"/>
        <rFont val="Calibri"/>
        <family val="2"/>
        <scheme val="minor"/>
      </rPr>
      <t>Keyboard action (TAB key) is not working on radio buttons.</t>
    </r>
    <r>
      <rPr>
        <sz val="11"/>
        <color theme="1"/>
        <rFont val="Calibri"/>
        <family val="2"/>
        <scheme val="minor"/>
      </rPr>
      <t xml:space="preserve">
</t>
    </r>
  </si>
  <si>
    <t>Port_21</t>
  </si>
  <si>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Observe the Success Pop-up and Error Pop-up Readibility.</t>
    </r>
  </si>
  <si>
    <r>
      <t xml:space="preserve">1. Open the application and log in 
2. Select Branch: AHMEDABAD, Export Type: Export Sea, FY 2025–2026, click OK.
3. Navigate to </t>
    </r>
    <r>
      <rPr>
        <b/>
        <sz val="11"/>
        <color theme="1"/>
        <rFont val="Calibri"/>
        <family val="2"/>
        <scheme val="minor"/>
      </rPr>
      <t xml:space="preserve">Masters - EDI Master - Port.
</t>
    </r>
    <r>
      <rPr>
        <sz val="11"/>
        <color theme="1"/>
        <rFont val="Calibri"/>
        <family val="2"/>
        <scheme val="minor"/>
      </rPr>
      <t>4. Use keyword button to fill the foam and observe the system behaviour.</t>
    </r>
  </si>
  <si>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of Port Page..</t>
    </r>
  </si>
  <si>
    <t>CHA_Port_01</t>
  </si>
  <si>
    <t>EDI Master  -&gt; CHA Port</t>
  </si>
  <si>
    <r>
      <t xml:space="preserve">Validate the functionality of </t>
    </r>
    <r>
      <rPr>
        <b/>
        <sz val="11"/>
        <color theme="1"/>
        <rFont val="Calibri"/>
        <family val="2"/>
        <scheme val="minor"/>
      </rPr>
      <t xml:space="preserve">CHA Port Page,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Masters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</si>
  <si>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CHA</t>
    </r>
    <r>
      <rPr>
        <sz val="11"/>
        <color theme="1"/>
        <rFont val="Calibri"/>
        <family val="2"/>
        <scheme val="minor"/>
      </rPr>
      <t xml:space="preserve"> </t>
    </r>
    <r>
      <rPr>
        <b/>
        <sz val="11"/>
        <color theme="1"/>
        <rFont val="Calibri"/>
        <family val="2"/>
        <scheme val="minor"/>
      </rPr>
      <t>Port.</t>
    </r>
  </si>
  <si>
    <r>
      <t xml:space="preserve">On Mouse Hovering action on </t>
    </r>
    <r>
      <rPr>
        <b/>
        <sz val="11"/>
        <color theme="1"/>
        <rFont val="Calibri"/>
        <family val="2"/>
        <scheme val="minor"/>
      </rPr>
      <t xml:space="preserve">Masters → EDI Master → CHA Port.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</si>
  <si>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CHA PORT</t>
    </r>
    <r>
      <rPr>
        <sz val="11"/>
        <color theme="1"/>
        <rFont val="Calibri"/>
        <family val="2"/>
        <scheme val="minor"/>
      </rPr>
      <t xml:space="preserve"> Page is opening properly.</t>
    </r>
  </si>
  <si>
    <t>Zone_Master_01</t>
  </si>
  <si>
    <t>Regional Master -&gt; Zone Master</t>
  </si>
  <si>
    <r>
      <t xml:space="preserve">Validate the functionality of </t>
    </r>
    <r>
      <rPr>
        <b/>
        <sz val="11"/>
        <color theme="1"/>
        <rFont val="Calibri"/>
        <family val="2"/>
        <scheme val="minor"/>
      </rPr>
      <t xml:space="preserve">Zone 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Masters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</si>
  <si>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Zone Master</t>
    </r>
  </si>
  <si>
    <r>
      <t xml:space="preserve">On Mouse Hovering action on </t>
    </r>
    <r>
      <rPr>
        <b/>
        <sz val="11"/>
        <color theme="1"/>
        <rFont val="Calibri"/>
        <family val="2"/>
        <scheme val="minor"/>
      </rPr>
      <t>Masters -&gt; Regional Master -&gt; Zone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</si>
  <si>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Zone Master</t>
    </r>
    <r>
      <rPr>
        <sz val="11"/>
        <color theme="1"/>
        <rFont val="Calibri"/>
        <family val="2"/>
        <scheme val="minor"/>
      </rPr>
      <t xml:space="preserve"> Page is opening properly.</t>
    </r>
  </si>
  <si>
    <r>
      <t xml:space="preserve">1. The search textbox should return all matching records for:
</t>
    </r>
    <r>
      <rPr>
        <b/>
        <sz val="11"/>
        <color theme="1"/>
        <rFont val="Calibri"/>
        <family val="2"/>
        <scheme val="minor"/>
      </rPr>
      <t>Full matches
Partial matches
Case-insensitive matches (both upper and lower case)</t>
    </r>
    <r>
      <rPr>
        <sz val="11"/>
        <color theme="1"/>
        <rFont val="Calibri"/>
        <family val="2"/>
        <scheme val="minor"/>
      </rPr>
      <t xml:space="preserve">
</t>
    </r>
  </si>
  <si>
    <t>Zone_Master_02</t>
  </si>
  <si>
    <t>Zone_Master_03</t>
  </si>
  <si>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Sort Ascending and verify list order.
5. Click Sort Descending and verify list order.
6. Checkboxes: select all checkboxes  all columns visible
deselect all - all columns hidden.</t>
    </r>
  </si>
  <si>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Zone Master Page.</t>
    </r>
  </si>
  <si>
    <t>1. Sorting: Zone Master list sorts correctly in ascending and descending order.
2. When all column checkboxes are selected, all  columns should be displayed.
3. When all column checkboxes are deselected, all columns should be hidden</t>
  </si>
  <si>
    <t>1. Sorting: The CFS  sorts correctly in both Ascending and Descending order. 
2. Column Checkbox when all checkboxes are selected, all columns display as expected. However, when all checkboxes are deselected, one column remains visible.</t>
  </si>
  <si>
    <t>Zone_Master_04</t>
  </si>
  <si>
    <t xml:space="preserve">Select any record from the left side panel </t>
  </si>
  <si>
    <t>Zone_Master_05</t>
  </si>
  <si>
    <t>Zone_Master_06</t>
  </si>
  <si>
    <r>
      <t xml:space="preserve">1. Sorting: </t>
    </r>
    <r>
      <rPr>
        <b/>
        <sz val="11"/>
        <color theme="1"/>
        <rFont val="Calibri"/>
        <family val="2"/>
        <scheme val="minor"/>
      </rPr>
      <t>ZONEID &amp; Name</t>
    </r>
    <r>
      <rPr>
        <sz val="11"/>
        <color theme="1"/>
        <rFont val="Calibri"/>
        <family val="2"/>
        <scheme val="minor"/>
      </rPr>
      <t xml:space="preserve"> Column sorts correctly in both Ascending and Descending order. 
2. Column Checkbox when all checkboxes are selected, all columns display as expected. However, when all checkboxes are deselected, one column remains visible.</t>
    </r>
  </si>
  <si>
    <r>
      <t xml:space="preserve">Validate whether the selected </t>
    </r>
    <r>
      <rPr>
        <b/>
        <sz val="11"/>
        <color theme="1"/>
        <rFont val="Calibri"/>
        <family val="2"/>
        <scheme val="minor"/>
      </rPr>
      <t xml:space="preserve">record </t>
    </r>
    <r>
      <rPr>
        <sz val="11"/>
        <color theme="1"/>
        <rFont val="Calibri"/>
        <family val="2"/>
        <scheme val="minor"/>
      </rPr>
      <t xml:space="preserve">from the Left Side Panel are reflected in the </t>
    </r>
    <r>
      <rPr>
        <b/>
        <sz val="11"/>
        <color theme="1"/>
        <rFont val="Calibri"/>
        <family val="2"/>
        <scheme val="minor"/>
      </rPr>
      <t>ZONE Master Grid View Panel.</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</si>
  <si>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From the left-side panel, click Select for any record and Select another record from the list and observe the system behaviour.</t>
    </r>
  </si>
  <si>
    <r>
      <t xml:space="preserve">1. The selected </t>
    </r>
    <r>
      <rPr>
        <b/>
        <sz val="11"/>
        <color theme="1"/>
        <rFont val="Calibri"/>
        <family val="2"/>
        <scheme val="minor"/>
      </rPr>
      <t>Zone details</t>
    </r>
    <r>
      <rPr>
        <sz val="11"/>
        <color theme="1"/>
        <rFont val="Calibri"/>
        <family val="2"/>
        <scheme val="minor"/>
      </rPr>
      <t xml:space="preserve"> from the left panel should be reflected accurately in the </t>
    </r>
    <r>
      <rPr>
        <b/>
        <sz val="11"/>
        <color theme="1"/>
        <rFont val="Calibri"/>
        <family val="2"/>
        <scheme val="minor"/>
      </rPr>
      <t>Zone Master details Grid View Panel</t>
    </r>
    <r>
      <rPr>
        <sz val="11"/>
        <color theme="1"/>
        <rFont val="Calibri"/>
        <family val="2"/>
        <scheme val="minor"/>
      </rPr>
      <t>.
2. When another record is selected, The grid view should update to show the new record.
3. The previously selected entry should revert to its default (white) color in the left panel.</t>
    </r>
  </si>
  <si>
    <r>
      <t>1. Selected record are correctly reflected in the</t>
    </r>
    <r>
      <rPr>
        <b/>
        <sz val="11"/>
        <color theme="1"/>
        <rFont val="Calibri"/>
        <family val="2"/>
        <scheme val="minor"/>
      </rPr>
      <t xml:space="preserve"> Zone Master  Detail Grid View Panel.</t>
    </r>
    <r>
      <rPr>
        <sz val="11"/>
        <color theme="1"/>
        <rFont val="Calibri"/>
        <family val="2"/>
        <scheme val="minor"/>
      </rPr>
      <t xml:space="preserve">
2. When a new record is selected, the grid updates correctly, but the previously selected record remains highlighted in green in the left panel and does not reset to default (white) after a new record selection.
</t>
    </r>
  </si>
  <si>
    <t>1. Select any record from the left side panel 
2. From Zone Master Details Grid View Panel, click select a record.</t>
  </si>
  <si>
    <t>Zone_Master_07</t>
  </si>
  <si>
    <t>Zone_Master_08</t>
  </si>
  <si>
    <r>
      <t xml:space="preserve">Validate the functionality of </t>
    </r>
    <r>
      <rPr>
        <b/>
        <sz val="11"/>
        <color theme="1"/>
        <rFont val="Calibri"/>
        <family val="2"/>
        <scheme val="minor"/>
      </rPr>
      <t>'Country Code'</t>
    </r>
    <r>
      <rPr>
        <sz val="11"/>
        <color theme="1"/>
        <rFont val="Calibri"/>
        <family val="2"/>
        <scheme val="minor"/>
      </rPr>
      <t xml:space="preserve"> textbox  in Zone Master Page</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</si>
  <si>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select a value from the Autosuggest dropdown list and oberve the system behaviour.</t>
    </r>
  </si>
  <si>
    <r>
      <t xml:space="preserve">Textbox - </t>
    </r>
    <r>
      <rPr>
        <b/>
        <sz val="11"/>
        <color theme="1"/>
        <rFont val="Calibri"/>
        <family val="2"/>
        <scheme val="minor"/>
      </rPr>
      <t>Country Code
Manual Inputs:</t>
    </r>
    <r>
      <rPr>
        <sz val="11"/>
        <color theme="1"/>
        <rFont val="Calibri"/>
        <family val="2"/>
        <scheme val="minor"/>
      </rPr>
      <t xml:space="preserve">
Space, special characters, numeric values, alphabets
</t>
    </r>
    <r>
      <rPr>
        <b/>
        <sz val="11"/>
        <color theme="1"/>
        <rFont val="Calibri"/>
        <family val="2"/>
        <scheme val="minor"/>
      </rPr>
      <t>Autosuggest Inputs:</t>
    </r>
    <r>
      <rPr>
        <sz val="11"/>
        <color theme="1"/>
        <rFont val="Calibri"/>
        <family val="2"/>
        <scheme val="minor"/>
      </rPr>
      <t xml:space="preserve">
Values such as: AF, IN, AL etc.</t>
    </r>
  </si>
  <si>
    <r>
      <t xml:space="preserve">1. </t>
    </r>
    <r>
      <rPr>
        <b/>
        <sz val="11"/>
        <color theme="1"/>
        <rFont val="Calibri"/>
        <family val="2"/>
        <scheme val="minor"/>
      </rPr>
      <t xml:space="preserve">Country Code </t>
    </r>
    <r>
      <rPr>
        <sz val="11"/>
        <color theme="1"/>
        <rFont val="Calibri"/>
        <family val="2"/>
        <scheme val="minor"/>
      </rPr>
      <t>textbox should not accept any manual input.
2. User must be able to select values only from the autosuggest list.
3. If the user types any invalid value or characters, the textbox should auto-clear the input.</t>
    </r>
  </si>
  <si>
    <r>
      <t xml:space="preserve">Validate the functionality of </t>
    </r>
    <r>
      <rPr>
        <b/>
        <sz val="11"/>
        <color theme="1"/>
        <rFont val="Calibri"/>
        <family val="2"/>
        <scheme val="minor"/>
      </rPr>
      <t>'Display Status'</t>
    </r>
    <r>
      <rPr>
        <sz val="11"/>
        <color theme="1"/>
        <rFont val="Calibri"/>
        <family val="2"/>
        <scheme val="minor"/>
      </rPr>
      <t xml:space="preserve"> dropdown in Zone Master Page</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</si>
  <si>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select a value from the dropdown list and oberve the system behaviour.</t>
    </r>
  </si>
  <si>
    <r>
      <t xml:space="preserve">Textbox - </t>
    </r>
    <r>
      <rPr>
        <b/>
        <sz val="11"/>
        <color theme="1"/>
        <rFont val="Calibri"/>
        <family val="2"/>
        <scheme val="minor"/>
      </rPr>
      <t>Display Status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Display, Hide</t>
    </r>
  </si>
  <si>
    <t>1. The Search Currency field is not restricting input length.</t>
  </si>
  <si>
    <r>
      <t xml:space="preserve">1. </t>
    </r>
    <r>
      <rPr>
        <b/>
        <sz val="11"/>
        <color theme="1"/>
        <rFont val="Calibri"/>
        <family val="2"/>
        <scheme val="minor"/>
      </rPr>
      <t xml:space="preserve">Display Status </t>
    </r>
    <r>
      <rPr>
        <sz val="11"/>
        <color theme="1"/>
        <rFont val="Calibri"/>
        <family val="2"/>
        <scheme val="minor"/>
      </rPr>
      <t>textbox should not accept any manual input.
2. User must be able to select values only from the dropdown list.
3. If the user types any invalid value or characters, the textbox should auto-clear the input.</t>
    </r>
  </si>
  <si>
    <t>Zone_Master_09</t>
  </si>
  <si>
    <t>Zone_Master_10</t>
  </si>
  <si>
    <r>
      <t xml:space="preserve">Validate the functionality of </t>
    </r>
    <r>
      <rPr>
        <b/>
        <sz val="11"/>
        <color theme="1"/>
        <rFont val="Calibri"/>
        <family val="2"/>
        <scheme val="minor"/>
      </rPr>
      <t>'Note'</t>
    </r>
    <r>
      <rPr>
        <sz val="11"/>
        <color theme="1"/>
        <rFont val="Calibri"/>
        <family val="2"/>
        <scheme val="minor"/>
      </rPr>
      <t xml:space="preserve"> textbox  in Zone Master Page</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</si>
  <si>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Enter the Value in Note Field and observe the system behaviour.</t>
    </r>
  </si>
  <si>
    <t>BA-220</t>
  </si>
  <si>
    <t>BA-221</t>
  </si>
  <si>
    <t>Fixed</t>
  </si>
  <si>
    <t>Bug Creation Date (Jira Loged Date)</t>
  </si>
  <si>
    <t>Local Environment</t>
  </si>
  <si>
    <t>Pending</t>
  </si>
  <si>
    <t>BA-222</t>
  </si>
  <si>
    <t>010-12-2025</t>
  </si>
  <si>
    <t>BA-223</t>
  </si>
  <si>
    <t>1. Functionality is not working as expected.
2. The Item Unit (UQC) textbox accepts values only from the Autosuggest list.
3. Manual input is not allowed, and the textbox clears invalid typed values.
Observation: When selecting values like 4444 or 1234 from the autosuggest list and saving the record, reopening the record shows only the first 3 characters (e.g., 444 or 123).
The 4th character is being automatically removed.</t>
  </si>
  <si>
    <t>BA-224</t>
  </si>
  <si>
    <t>BA-225</t>
  </si>
  <si>
    <t>BA-226</t>
  </si>
  <si>
    <t xml:space="preserve">1. As per Use Case, It should be accept only Alphanumeric value, but as per previour saved data, it should be accept special character.
2. Textbox length must be limited to 250 characters.
</t>
  </si>
  <si>
    <t>Zone_Master_11</t>
  </si>
  <si>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Enter valid values in all  fields and click on save button and observe the system behaviour.</t>
    </r>
  </si>
  <si>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on the Zone Master Page.</t>
    </r>
  </si>
  <si>
    <t>1. When all fields contain valid values, the record should be saved successfully.
2. A success confirmation message should appear.
3. The newly saved Zone record should appear in the left-side Zone list.
4. The saved record should be searchable using the left panel search box.</t>
  </si>
  <si>
    <t>1. The Zone Master details are saved successfully and a success message is displayed.
2. The newly saved Zone record appears in the left-side panel list.
3. The saved record is searchable.</t>
  </si>
  <si>
    <t>Zone_Master_12</t>
  </si>
  <si>
    <r>
      <t xml:space="preserve">Validate </t>
    </r>
    <r>
      <rPr>
        <b/>
        <sz val="11"/>
        <color theme="1"/>
        <rFont val="Calibri"/>
        <family val="2"/>
        <scheme val="minor"/>
      </rPr>
      <t>Save</t>
    </r>
    <r>
      <rPr>
        <sz val="11"/>
        <color theme="1"/>
        <rFont val="Calibri"/>
        <family val="2"/>
        <scheme val="minor"/>
      </rPr>
      <t xml:space="preserve"> button functionality when only mandatory fields are filled (non-mandatory fields left blank) on the Zone Master Page.</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</si>
  <si>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Enter valid values in mandatory fields only and leave non-mandatory fields blank.
5. Click Save and observe system behavior.</t>
    </r>
  </si>
  <si>
    <r>
      <rPr>
        <b/>
        <sz val="11"/>
        <color theme="1"/>
        <rFont val="Calibri"/>
        <family val="2"/>
        <scheme val="minor"/>
      </rPr>
      <t>Name</t>
    </r>
    <r>
      <rPr>
        <sz val="11"/>
        <color theme="1"/>
        <rFont val="Calibri"/>
        <family val="2"/>
        <scheme val="minor"/>
      </rPr>
      <t xml:space="preserve"> - Testing Zone2
</t>
    </r>
    <r>
      <rPr>
        <b/>
        <sz val="11"/>
        <color theme="1"/>
        <rFont val="Calibri"/>
        <family val="2"/>
        <scheme val="minor"/>
      </rPr>
      <t xml:space="preserve">Country Code </t>
    </r>
    <r>
      <rPr>
        <sz val="11"/>
        <color theme="1"/>
        <rFont val="Calibri"/>
        <family val="2"/>
        <scheme val="minor"/>
      </rPr>
      <t xml:space="preserve">- In
</t>
    </r>
    <r>
      <rPr>
        <b/>
        <sz val="11"/>
        <color theme="1"/>
        <rFont val="Calibri"/>
        <family val="2"/>
        <scheme val="minor"/>
      </rPr>
      <t>Display Status</t>
    </r>
    <r>
      <rPr>
        <sz val="11"/>
        <color theme="1"/>
        <rFont val="Calibri"/>
        <family val="2"/>
        <scheme val="minor"/>
      </rPr>
      <t xml:space="preserve"> - Display
</t>
    </r>
  </si>
  <si>
    <t>1. Record should be saved successfully with a success message.
2. The newly saved record should appear in the left-side Zone list.
3. The saved record should be searchable using the search box.</t>
  </si>
  <si>
    <t>1. Zone Master details are saved successfully and a success message is displayed.
2. The newly saved Zone record appears in the left-side panel list.
3. The saved record is searchable.</t>
  </si>
  <si>
    <t>Zone_Master_13</t>
  </si>
  <si>
    <r>
      <rPr>
        <b/>
        <sz val="11"/>
        <color theme="1"/>
        <rFont val="Calibri"/>
        <family val="2"/>
        <scheme val="minor"/>
      </rPr>
      <t>Code - ZON12
Name</t>
    </r>
    <r>
      <rPr>
        <sz val="11"/>
        <color theme="1"/>
        <rFont val="Calibri"/>
        <family val="2"/>
        <scheme val="minor"/>
      </rPr>
      <t xml:space="preserve"> - Testing Zone1
</t>
    </r>
    <r>
      <rPr>
        <b/>
        <sz val="11"/>
        <color theme="1"/>
        <rFont val="Calibri"/>
        <family val="2"/>
        <scheme val="minor"/>
      </rPr>
      <t xml:space="preserve">Country Code </t>
    </r>
    <r>
      <rPr>
        <sz val="11"/>
        <color theme="1"/>
        <rFont val="Calibri"/>
        <family val="2"/>
        <scheme val="minor"/>
      </rPr>
      <t xml:space="preserve">- In
Display Status - Display
Note: Testing </t>
    </r>
  </si>
  <si>
    <t>1. The functionality is not working as expected.
2. The record is getting saved even when Display Status is not selected.
3. Display Status is a mandatory field but system is not validating it.</t>
  </si>
  <si>
    <t>Zone_Master_14</t>
  </si>
  <si>
    <r>
      <t xml:space="preserve">Validate </t>
    </r>
    <r>
      <rPr>
        <b/>
        <sz val="11"/>
        <color theme="1"/>
        <rFont val="Calibri"/>
        <family val="2"/>
        <scheme val="minor"/>
      </rPr>
      <t>Save</t>
    </r>
    <r>
      <rPr>
        <sz val="11"/>
        <color theme="1"/>
        <rFont val="Calibri"/>
        <family val="2"/>
        <scheme val="minor"/>
      </rPr>
      <t xml:space="preserve"> functionality when all fields are left blank on the Zone Master Page.</t>
    </r>
  </si>
  <si>
    <r>
      <t xml:space="preserve">1. Open the application and log in 
2. Select Branch: AHMEDABAD, Export Type: Export Sea, FY 2025–2026, click OK.
3. Navigate to </t>
    </r>
    <r>
      <rPr>
        <b/>
        <sz val="11"/>
        <color theme="1"/>
        <rFont val="Calibri"/>
        <family val="2"/>
        <scheme val="minor"/>
      </rPr>
      <t>Masters -&gt; Regional Master -&gt; Zone Master</t>
    </r>
    <r>
      <rPr>
        <sz val="11"/>
        <color theme="1"/>
        <rFont val="Calibri"/>
        <family val="2"/>
        <scheme val="minor"/>
      </rPr>
      <t xml:space="preserve">
4. Leave all fields blank and Click Save.</t>
    </r>
  </si>
  <si>
    <t>Zone_Master_15</t>
  </si>
  <si>
    <r>
      <t xml:space="preserve">Validate the functionality of </t>
    </r>
    <r>
      <rPr>
        <b/>
        <sz val="11"/>
        <color theme="1"/>
        <rFont val="Calibri"/>
        <family val="2"/>
        <scheme val="minor"/>
      </rPr>
      <t>Modify</t>
    </r>
    <r>
      <rPr>
        <sz val="11"/>
        <color theme="1"/>
        <rFont val="Calibri"/>
        <family val="2"/>
        <scheme val="minor"/>
      </rPr>
      <t xml:space="preserve"> button on the Zone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</si>
  <si>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From the left-side list, select a pre-existing record and modify one or more fields with new valid data.
5. Click modify button and observe the system behaviour.</t>
    </r>
  </si>
  <si>
    <t>Zone_Master_16</t>
  </si>
  <si>
    <r>
      <t xml:space="preserve">Validate the functionality of </t>
    </r>
    <r>
      <rPr>
        <b/>
        <sz val="11"/>
        <color theme="1"/>
        <rFont val="Calibri"/>
        <family val="2"/>
        <scheme val="minor"/>
      </rPr>
      <t>Clear</t>
    </r>
    <r>
      <rPr>
        <sz val="11"/>
        <color theme="1"/>
        <rFont val="Calibri"/>
        <family val="2"/>
        <scheme val="minor"/>
      </rPr>
      <t xml:space="preserve"> button on the Zone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</si>
  <si>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Enter values in all or few input fields.
5. Click the Clear button and observe the system behavior.</t>
    </r>
  </si>
  <si>
    <t>Zone_Master_17</t>
  </si>
  <si>
    <r>
      <t xml:space="preserve">Validate the functionality of the </t>
    </r>
    <r>
      <rPr>
        <b/>
        <sz val="11"/>
        <color theme="1"/>
        <rFont val="Calibri"/>
        <family val="2"/>
        <scheme val="minor"/>
      </rPr>
      <t xml:space="preserve">Page Responsiveness </t>
    </r>
    <r>
      <rPr>
        <sz val="11"/>
        <color theme="1"/>
        <rFont val="Calibri"/>
        <family val="2"/>
        <scheme val="minor"/>
      </rPr>
      <t>on the Zone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</si>
  <si>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</si>
  <si>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Zone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</si>
  <si>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Zone_Master_18</t>
  </si>
  <si>
    <r>
      <t xml:space="preserve">Validate the functionality of </t>
    </r>
    <r>
      <rPr>
        <b/>
        <sz val="11"/>
        <color theme="1"/>
        <rFont val="Calibri"/>
        <family val="2"/>
        <scheme val="minor"/>
      </rPr>
      <t>Keyword Action</t>
    </r>
    <r>
      <rPr>
        <sz val="11"/>
        <color theme="1"/>
        <rFont val="Calibri"/>
        <family val="2"/>
        <scheme val="minor"/>
      </rPr>
      <t xml:space="preserve"> on the Zone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</si>
  <si>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Use keyword button to fill the foam and observe the system behaviour.</t>
    </r>
  </si>
  <si>
    <t xml:space="preserve">1. The Keyboard Action (TAB key) feature should function correctly across all fields.
 -&gt; Textboxes
 -&gt; Dropdown
</t>
  </si>
  <si>
    <t xml:space="preserve">1. Functionality is working as expected.
</t>
  </si>
  <si>
    <t>Zone_Master_19</t>
  </si>
  <si>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Zone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</si>
  <si>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Observe the Success Pop-up and Error Pop-up Readibility.</t>
    </r>
  </si>
  <si>
    <t>Zone_Master_20</t>
  </si>
  <si>
    <r>
      <t>Validate the functionality of</t>
    </r>
    <r>
      <rPr>
        <b/>
        <sz val="11"/>
        <color theme="1"/>
        <rFont val="Calibri"/>
        <family val="2"/>
        <scheme val="minor"/>
      </rPr>
      <t xml:space="preserve"> Session timeout</t>
    </r>
    <r>
      <rPr>
        <sz val="11"/>
        <color theme="1"/>
        <rFont val="Calibri"/>
        <family val="2"/>
        <scheme val="minor"/>
      </rPr>
      <t xml:space="preserve"> of the Zone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</si>
  <si>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Leave the Zone Master page idle for long time and observe the system behaviour.</t>
    </r>
  </si>
  <si>
    <t>Bug Creation Date 
(Jira Loged Date)</t>
  </si>
  <si>
    <t>Country_Master_01</t>
  </si>
  <si>
    <t xml:space="preserve">Regional Master -&gt; Country Master
</t>
  </si>
  <si>
    <r>
      <t xml:space="preserve">Validate the functionality of </t>
    </r>
    <r>
      <rPr>
        <b/>
        <sz val="11"/>
        <color theme="1"/>
        <rFont val="Calibri"/>
        <family val="2"/>
        <scheme val="minor"/>
      </rPr>
      <t xml:space="preserve">Country 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Masters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</si>
  <si>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 xml:space="preserve">Country Master
</t>
    </r>
  </si>
  <si>
    <r>
      <t xml:space="preserve">On Mouse Hovering action on </t>
    </r>
    <r>
      <rPr>
        <b/>
        <sz val="11"/>
        <color theme="1"/>
        <rFont val="Calibri"/>
        <family val="2"/>
        <scheme val="minor"/>
      </rPr>
      <t>Masters -&gt; Regional Master -&gt; Country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</si>
  <si>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Country Master </t>
    </r>
    <r>
      <rPr>
        <sz val="11"/>
        <color theme="1"/>
        <rFont val="Calibri"/>
        <family val="2"/>
        <scheme val="minor"/>
      </rPr>
      <t>Page is opening properly.</t>
    </r>
  </si>
  <si>
    <t>Country_Master_02</t>
  </si>
  <si>
    <r>
      <t xml:space="preserve">Validate the functionality of </t>
    </r>
    <r>
      <rPr>
        <b/>
        <sz val="11"/>
        <color theme="1"/>
        <rFont val="Calibri"/>
        <family val="2"/>
        <scheme val="minor"/>
      </rPr>
      <t>'Search Country Name'</t>
    </r>
    <r>
      <rPr>
        <sz val="11"/>
        <color theme="1"/>
        <rFont val="Calibri"/>
        <family val="2"/>
        <scheme val="minor"/>
      </rPr>
      <t xml:space="preserve"> textbox of the left side panel in Country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</si>
  <si>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Country Master
</t>
    </r>
    <r>
      <rPr>
        <sz val="11"/>
        <color theme="1"/>
        <rFont val="Calibri"/>
        <family val="2"/>
        <scheme val="minor"/>
      </rPr>
      <t>4. Enter a search keyword value in the Search textbox on the left panel and check System behaviour</t>
    </r>
    <r>
      <rPr>
        <b/>
        <sz val="11"/>
        <color theme="1"/>
        <rFont val="Calibri"/>
        <family val="2"/>
        <scheme val="minor"/>
      </rPr>
      <t xml:space="preserve">
</t>
    </r>
  </si>
  <si>
    <r>
      <t xml:space="preserve">Search Data - 
 </t>
    </r>
    <r>
      <rPr>
        <sz val="11"/>
        <color theme="1"/>
        <rFont val="Calibri"/>
        <family val="2"/>
        <scheme val="minor"/>
      </rPr>
      <t>-&gt;</t>
    </r>
    <r>
      <rPr>
        <b/>
        <sz val="11"/>
        <color theme="1"/>
        <rFont val="Calibri"/>
        <family val="2"/>
        <scheme val="minor"/>
      </rPr>
      <t xml:space="preserve"> </t>
    </r>
    <r>
      <rPr>
        <sz val="11"/>
        <color theme="1"/>
        <rFont val="Calibri"/>
        <family val="2"/>
        <scheme val="minor"/>
      </rPr>
      <t>ANTIGUA AND BARBUDA
 -&gt; AFGHANISTAN
 -&gt; India
 -&gt; AUSTRIA</t>
    </r>
  </si>
  <si>
    <r>
      <t xml:space="preserve">1. Search textbox is functional but only returns records where the search term matches the first word.
</t>
    </r>
    <r>
      <rPr>
        <b/>
        <sz val="11"/>
        <color theme="1"/>
        <rFont val="Calibri"/>
        <family val="2"/>
        <scheme val="minor"/>
      </rPr>
      <t>Example:</t>
    </r>
    <r>
      <rPr>
        <sz val="11"/>
        <color theme="1"/>
        <rFont val="Calibri"/>
        <family val="2"/>
        <scheme val="minor"/>
      </rPr>
      <t xml:space="preserve"> '</t>
    </r>
    <r>
      <rPr>
        <b/>
        <sz val="11"/>
        <color theme="1"/>
        <rFont val="Calibri"/>
        <family val="2"/>
        <scheme val="minor"/>
      </rPr>
      <t>ANTIGUA AND BARBUDA'</t>
    </r>
    <r>
      <rPr>
        <sz val="11"/>
        <color theme="1"/>
        <rFont val="Calibri"/>
        <family val="2"/>
        <scheme val="minor"/>
      </rPr>
      <t xml:space="preserve"> appears in the list, but searching for </t>
    </r>
    <r>
      <rPr>
        <b/>
        <sz val="11"/>
        <color theme="1"/>
        <rFont val="Calibri"/>
        <family val="2"/>
        <scheme val="minor"/>
      </rPr>
      <t>“AND &amp; BARBUDA' ”</t>
    </r>
    <r>
      <rPr>
        <sz val="11"/>
        <color theme="1"/>
        <rFont val="Calibri"/>
        <family val="2"/>
        <scheme val="minor"/>
      </rPr>
      <t xml:space="preserve"> returns no results.</t>
    </r>
  </si>
  <si>
    <t>Country_Master_03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</si>
  <si>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Country Master List (left panel)</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</si>
  <si>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On the left panel (Country List): Click 
 -&gt; Sort Ascending and verify list order.
 -&gt; Click Sort Descending and verify list order.
 -&gt; Checkboxes: select all checkboxes  all columns visible
 -&gt; deselect all - all columns hidden.</t>
    </r>
  </si>
  <si>
    <t>1. Sorting: Country Master list sorts correctly in ascending and descending order.
2. When all column checkboxes are selected, all columns should be displayed.
3. When all column checkboxes are deselected, all columns should be hidden</t>
  </si>
  <si>
    <r>
      <t xml:space="preserve">1. Sorting: The Country List sorts correctly in both Ascending and Descending order. 
2. Column Checkbox when all checkboxes are selected, all columns display as expected. </t>
    </r>
    <r>
      <rPr>
        <b/>
        <sz val="11"/>
        <color theme="1"/>
        <rFont val="Calibri"/>
        <family val="2"/>
        <scheme val="minor"/>
      </rPr>
      <t>However, when all checkboxes are deselected, one column remains visible.</t>
    </r>
  </si>
  <si>
    <t>Country_Master_04</t>
  </si>
  <si>
    <r>
      <t xml:space="preserve">Validate whether the selected </t>
    </r>
    <r>
      <rPr>
        <b/>
        <sz val="11"/>
        <color theme="1"/>
        <rFont val="Calibri"/>
        <family val="2"/>
        <scheme val="minor"/>
      </rPr>
      <t xml:space="preserve">Country details </t>
    </r>
    <r>
      <rPr>
        <sz val="11"/>
        <color theme="1"/>
        <rFont val="Calibri"/>
        <family val="2"/>
        <scheme val="minor"/>
      </rPr>
      <t xml:space="preserve">from the Left Side Panel list are reflected in the </t>
    </r>
    <r>
      <rPr>
        <b/>
        <sz val="11"/>
        <color theme="1"/>
        <rFont val="Calibri"/>
        <family val="2"/>
        <scheme val="minor"/>
      </rPr>
      <t>Country Details Grid View Panel</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</si>
  <si>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From the left-side panel, click Select for any country record and Select another record from the list and observe the system behaviour.</t>
    </r>
  </si>
  <si>
    <t>Selected Records: 
-&gt; AFGHANISTAN
 -&gt; AUSTRIA etc.</t>
  </si>
  <si>
    <t>1. The selected Country details from the left panel list should be reflected accurately in the Grid View Panel.
2. When another record is selected, The grid view should update to show the new record details.
3. The previously selected country record should revert to its default (white) color in the left panel.</t>
  </si>
  <si>
    <r>
      <t xml:space="preserve">1. Selected </t>
    </r>
    <r>
      <rPr>
        <b/>
        <sz val="11"/>
        <color theme="1"/>
        <rFont val="Calibri"/>
        <family val="2"/>
        <scheme val="minor"/>
      </rPr>
      <t>country record</t>
    </r>
    <r>
      <rPr>
        <sz val="11"/>
        <color theme="1"/>
        <rFont val="Calibri"/>
        <family val="2"/>
        <scheme val="minor"/>
      </rPr>
      <t xml:space="preserve"> are correctly reflected in the Details Grid View Panel.
2. When a new record is selected, the grid updates correctly, but the previously selected country record remains highlighted in green in the left panel and does not reset to default (white) after a new record selection.
</t>
    </r>
  </si>
  <si>
    <t>Country_Master_05</t>
  </si>
  <si>
    <r>
      <t xml:space="preserve">Validate whether the selected </t>
    </r>
    <r>
      <rPr>
        <b/>
        <sz val="11"/>
        <color theme="1"/>
        <rFont val="Calibri"/>
        <family val="2"/>
        <scheme val="minor"/>
      </rPr>
      <t>Country details</t>
    </r>
    <r>
      <rPr>
        <sz val="11"/>
        <color theme="1"/>
        <rFont val="Calibri"/>
        <family val="2"/>
        <scheme val="minor"/>
      </rPr>
      <t xml:space="preserve"> from the </t>
    </r>
    <r>
      <rPr>
        <b/>
        <sz val="11"/>
        <color theme="1"/>
        <rFont val="Calibri"/>
        <family val="2"/>
        <scheme val="minor"/>
      </rPr>
      <t xml:space="preserve">Grid View Panel </t>
    </r>
    <r>
      <rPr>
        <sz val="11"/>
        <color theme="1"/>
        <rFont val="Calibri"/>
        <family val="2"/>
        <scheme val="minor"/>
      </rPr>
      <t xml:space="preserve">are reflected in the corresponding </t>
    </r>
    <r>
      <rPr>
        <b/>
        <sz val="11"/>
        <color theme="1"/>
        <rFont val="Calibri"/>
        <family val="2"/>
        <scheme val="minor"/>
      </rPr>
      <t>Country Master</t>
    </r>
    <r>
      <rPr>
        <sz val="11"/>
        <color theme="1"/>
        <rFont val="Calibri"/>
        <family val="2"/>
        <scheme val="minor"/>
      </rPr>
      <t xml:space="preserve"> textboxes.</t>
    </r>
  </si>
  <si>
    <r>
      <t xml:space="preserve">1. Open the application and log in 
2. Select Branch: AHMEDABAD, Export Type: Export Sea, FY 2025–2026, click OK.
3. Navigate to Masters -&gt; </t>
    </r>
    <r>
      <rPr>
        <b/>
        <sz val="11"/>
        <color theme="1"/>
        <rFont val="Calibri"/>
        <family val="2"/>
        <scheme val="minor"/>
      </rPr>
      <t>Regional Master -&gt; Country Master</t>
    </r>
    <r>
      <rPr>
        <sz val="11"/>
        <color theme="1"/>
        <rFont val="Calibri"/>
        <family val="2"/>
        <scheme val="minor"/>
      </rPr>
      <t xml:space="preserve">
4. From the left-side panel, click Select for any Country record.
5. In the Grid View Panel, click Select on the displayed record.
6. Verify, Whether the selected record values are reflected correctly in the corresponding input fields on the Country Master page and total Entry Count after selection.</t>
    </r>
  </si>
  <si>
    <t>Select any existing Country record from:
 -&gt; Left-side Country list
 -&gt; Grid View panel list</t>
  </si>
  <si>
    <t>1. When a record is selected from the Grid View panel, the corresponding Country details must correctly reflect in the Country Master textboxes.
2. Total Entry Count should display 0 if no remaining records exist in the Grid View panel.</t>
  </si>
  <si>
    <t>1. The selected Country record values are correctly reflected in the corresponding textboxes.
2. However, the Total Entry Count still shows “1”, even though the Grid View panel displays no records remaining.</t>
  </si>
  <si>
    <t>Country_Master_06</t>
  </si>
  <si>
    <t xml:space="preserve">Functionality is working as expected, </t>
  </si>
  <si>
    <r>
      <t xml:space="preserve">Validate the functionality of </t>
    </r>
    <r>
      <rPr>
        <b/>
        <sz val="11"/>
        <color theme="1"/>
        <rFont val="Calibri"/>
        <family val="2"/>
        <scheme val="minor"/>
      </rPr>
      <t>Delete</t>
    </r>
    <r>
      <rPr>
        <sz val="11"/>
        <color theme="1"/>
        <rFont val="Calibri"/>
        <family val="2"/>
        <scheme val="minor"/>
      </rPr>
      <t xml:space="preserve"> in the</t>
    </r>
    <r>
      <rPr>
        <b/>
        <sz val="11"/>
        <color theme="1"/>
        <rFont val="Calibri"/>
        <family val="2"/>
        <scheme val="minor"/>
      </rPr>
      <t xml:space="preserve"> Grid View Panel on the Country Master Page.</t>
    </r>
  </si>
  <si>
    <r>
      <t xml:space="preserve">1. Open the application and log in 
2. Select Branch: AHMEDABAD, Export Type: Export Sea, FY 2025–2026, click OK.
3. Navigate to Masters -&gt; </t>
    </r>
    <r>
      <rPr>
        <b/>
        <sz val="11"/>
        <color theme="1"/>
        <rFont val="Calibri"/>
        <family val="2"/>
        <scheme val="minor"/>
      </rPr>
      <t>Regional Master -&gt; Country Master</t>
    </r>
    <r>
      <rPr>
        <sz val="11"/>
        <color theme="1"/>
        <rFont val="Calibri"/>
        <family val="2"/>
        <scheme val="minor"/>
      </rPr>
      <t xml:space="preserve">
4. From the left-side Country list, click Select for any existing Country record.
5. In the Grid View Panel, click Delete on the displayed record and observe and verify the system behaviour.</t>
    </r>
  </si>
  <si>
    <t>Select any existing Country record from:
 -&gt; Left-side Country list
 -&gt; Grid View panel</t>
  </si>
  <si>
    <r>
      <t xml:space="preserve">1. Upon clicking </t>
    </r>
    <r>
      <rPr>
        <b/>
        <sz val="11"/>
        <color theme="1"/>
        <rFont val="Calibri"/>
        <family val="2"/>
        <scheme val="minor"/>
      </rPr>
      <t>Delete</t>
    </r>
    <r>
      <rPr>
        <sz val="11"/>
        <color theme="1"/>
        <rFont val="Calibri"/>
        <family val="2"/>
        <scheme val="minor"/>
      </rPr>
      <t xml:space="preserve"> in the Grid View panel, the system should display a confirmation popup asking whether the user wants to delete the record.
 -&gt; If user clicks OK:
</t>
    </r>
    <r>
      <rPr>
        <b/>
        <sz val="11"/>
        <color theme="1"/>
        <rFont val="Calibri"/>
        <family val="2"/>
        <scheme val="minor"/>
      </rPr>
      <t>The record should be deleted from the Grid View panel.</t>
    </r>
    <r>
      <rPr>
        <sz val="11"/>
        <color theme="1"/>
        <rFont val="Calibri"/>
        <family val="2"/>
        <scheme val="minor"/>
      </rPr>
      <t xml:space="preserve">
 -&gt; If user clicks No:
</t>
    </r>
    <r>
      <rPr>
        <b/>
        <sz val="11"/>
        <color theme="1"/>
        <rFont val="Calibri"/>
        <family val="2"/>
        <scheme val="minor"/>
      </rPr>
      <t>The record should not be deleted and should remain visible in the Grid View panel.</t>
    </r>
  </si>
  <si>
    <t>Country_Master_07</t>
  </si>
  <si>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select a value from the Autosuggest dropdown and oberve the system behaviour.</t>
    </r>
  </si>
  <si>
    <r>
      <t xml:space="preserve">1. The functionality is working as expected
2. </t>
    </r>
    <r>
      <rPr>
        <b/>
        <sz val="11"/>
        <color theme="1"/>
        <rFont val="Calibri"/>
        <family val="2"/>
        <scheme val="minor"/>
      </rPr>
      <t>Region/Sector Code</t>
    </r>
    <r>
      <rPr>
        <sz val="11"/>
        <color theme="1"/>
        <rFont val="Calibri"/>
        <family val="2"/>
        <scheme val="minor"/>
      </rPr>
      <t xml:space="preserve"> textbox is not accepting any manual input.
</t>
    </r>
  </si>
  <si>
    <r>
      <rPr>
        <b/>
        <sz val="11"/>
        <color theme="1"/>
        <rFont val="Calibri"/>
        <family val="2"/>
        <scheme val="minor"/>
      </rPr>
      <t>Textbox</t>
    </r>
    <r>
      <rPr>
        <sz val="11"/>
        <color theme="1"/>
        <rFont val="Calibri"/>
        <family val="2"/>
        <scheme val="minor"/>
      </rPr>
      <t xml:space="preserve"> - Region/Sector Code</t>
    </r>
    <r>
      <rPr>
        <b/>
        <sz val="11"/>
        <color theme="1"/>
        <rFont val="Calibri"/>
        <family val="2"/>
        <scheme val="minor"/>
      </rPr>
      <t xml:space="preserve">
Manual Inputs:</t>
    </r>
    <r>
      <rPr>
        <sz val="11"/>
        <color theme="1"/>
        <rFont val="Calibri"/>
        <family val="2"/>
        <scheme val="minor"/>
      </rPr>
      <t xml:space="preserve">
Space, special characters, numeric values, alphabets etc.
</t>
    </r>
    <r>
      <rPr>
        <b/>
        <sz val="11"/>
        <color theme="1"/>
        <rFont val="Calibri"/>
        <family val="2"/>
        <scheme val="minor"/>
      </rPr>
      <t>Autosuggest Inputs:</t>
    </r>
    <r>
      <rPr>
        <sz val="11"/>
        <color theme="1"/>
        <rFont val="Calibri"/>
        <family val="2"/>
        <scheme val="minor"/>
      </rPr>
      <t xml:space="preserve">
FAR EAST, asia etc.</t>
    </r>
  </si>
  <si>
    <r>
      <t xml:space="preserve">1. The </t>
    </r>
    <r>
      <rPr>
        <b/>
        <sz val="11"/>
        <color theme="1"/>
        <rFont val="Calibri"/>
        <family val="2"/>
        <scheme val="minor"/>
      </rPr>
      <t>Region/Sector Code</t>
    </r>
    <r>
      <rPr>
        <sz val="11"/>
        <color theme="1"/>
        <rFont val="Calibri"/>
        <family val="2"/>
        <scheme val="minor"/>
      </rPr>
      <t xml:space="preserve"> textbox should not accept manual input of any kind.
2. Only values selected from the Autosuggest dropdown should be allowed.
3. If the user types any invalid or non-suggested value, the textbox should auto-clear.</t>
    </r>
  </si>
  <si>
    <t>Country_Master_08</t>
  </si>
  <si>
    <r>
      <t xml:space="preserve">Validate the functionality of </t>
    </r>
    <r>
      <rPr>
        <b/>
        <sz val="11"/>
        <color theme="1"/>
        <rFont val="Calibri"/>
        <family val="2"/>
        <scheme val="minor"/>
      </rPr>
      <t>'Region/Sector Code'</t>
    </r>
    <r>
      <rPr>
        <sz val="11"/>
        <color theme="1"/>
        <rFont val="Calibri"/>
        <family val="2"/>
        <scheme val="minor"/>
      </rPr>
      <t xml:space="preserve"> textbox in Country Master page.</t>
    </r>
  </si>
  <si>
    <r>
      <t xml:space="preserve">Validate the functionality of </t>
    </r>
    <r>
      <rPr>
        <b/>
        <sz val="11"/>
        <color theme="1"/>
        <rFont val="Calibri"/>
        <family val="2"/>
        <scheme val="minor"/>
      </rPr>
      <t>'Country Code'</t>
    </r>
    <r>
      <rPr>
        <sz val="11"/>
        <color theme="1"/>
        <rFont val="Calibri"/>
        <family val="2"/>
        <scheme val="minor"/>
      </rPr>
      <t xml:space="preserve"> textbox  in Country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</si>
  <si>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&amp; Invalid Data in Country Code textbox and observe the system behaviour.</t>
    </r>
  </si>
  <si>
    <r>
      <t xml:space="preserve">1. Country Code textbox should accept only alphabetic values.
2.Textbox should reject - </t>
    </r>
    <r>
      <rPr>
        <b/>
        <sz val="11"/>
        <color theme="1"/>
        <rFont val="Calibri"/>
        <family val="2"/>
        <scheme val="minor"/>
      </rPr>
      <t>Numeric, Special characters, Only spaces and Character + special character combinations.</t>
    </r>
    <r>
      <rPr>
        <sz val="11"/>
        <color theme="1"/>
        <rFont val="Calibri"/>
        <family val="2"/>
        <scheme val="minor"/>
      </rPr>
      <t xml:space="preserve">
3. Textbox length must be limited to 2 characters.</t>
    </r>
  </si>
  <si>
    <t>Country_Master_09</t>
  </si>
  <si>
    <r>
      <t xml:space="preserve">Validate the functionality of </t>
    </r>
    <r>
      <rPr>
        <b/>
        <sz val="11"/>
        <color theme="1"/>
        <rFont val="Calibri"/>
        <family val="2"/>
        <scheme val="minor"/>
      </rPr>
      <t>'Country Name'</t>
    </r>
    <r>
      <rPr>
        <sz val="11"/>
        <color theme="1"/>
        <rFont val="Calibri"/>
        <family val="2"/>
        <scheme val="minor"/>
      </rPr>
      <t xml:space="preserve"> textbox  in Country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</si>
  <si>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&amp; Invalid Data in Country Name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</si>
  <si>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Country Code</t>
    </r>
    <r>
      <rPr>
        <b/>
        <sz val="11"/>
        <color theme="1"/>
        <rFont val="Calibri"/>
        <family val="2"/>
        <scheme val="minor"/>
      </rPr>
      <t xml:space="preserve">
Valid Data - </t>
    </r>
    <r>
      <rPr>
        <sz val="11"/>
        <color theme="1"/>
        <rFont val="Calibri"/>
        <family val="2"/>
        <scheme val="minor"/>
      </rPr>
      <t>Alphabetic value</t>
    </r>
    <r>
      <rPr>
        <b/>
        <sz val="11"/>
        <color theme="1"/>
        <rFont val="Calibri"/>
        <family val="2"/>
        <scheme val="minor"/>
      </rPr>
      <t xml:space="preserve">
Invalid Data - </t>
    </r>
    <r>
      <rPr>
        <sz val="11"/>
        <color theme="1"/>
        <rFont val="Calibri"/>
        <family val="2"/>
        <scheme val="minor"/>
      </rPr>
      <t>numeric</t>
    </r>
    <r>
      <rPr>
        <b/>
        <sz val="11"/>
        <color theme="1"/>
        <rFont val="Calibri"/>
        <family val="2"/>
        <scheme val="minor"/>
      </rPr>
      <t xml:space="preserve">, </t>
    </r>
    <r>
      <rPr>
        <sz val="11"/>
        <color theme="1"/>
        <rFont val="Calibri"/>
        <family val="2"/>
        <scheme val="minor"/>
      </rPr>
      <t>Special character, Only space and combination of character.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</si>
  <si>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Country Name</t>
    </r>
    <r>
      <rPr>
        <b/>
        <sz val="11"/>
        <color theme="1"/>
        <rFont val="Calibri"/>
        <family val="2"/>
        <scheme val="minor"/>
      </rPr>
      <t xml:space="preserve">
Valid Data - </t>
    </r>
    <r>
      <rPr>
        <sz val="11"/>
        <color theme="1"/>
        <rFont val="Calibri"/>
        <family val="2"/>
        <scheme val="minor"/>
      </rPr>
      <t>Alphabetic value</t>
    </r>
    <r>
      <rPr>
        <b/>
        <sz val="11"/>
        <color theme="1"/>
        <rFont val="Calibri"/>
        <family val="2"/>
        <scheme val="minor"/>
      </rPr>
      <t xml:space="preserve">
Invalid Data - </t>
    </r>
    <r>
      <rPr>
        <sz val="11"/>
        <color theme="1"/>
        <rFont val="Calibri"/>
        <family val="2"/>
        <scheme val="minor"/>
      </rPr>
      <t>Numeric</t>
    </r>
    <r>
      <rPr>
        <b/>
        <sz val="11"/>
        <color theme="1"/>
        <rFont val="Calibri"/>
        <family val="2"/>
        <scheme val="minor"/>
      </rPr>
      <t xml:space="preserve">, </t>
    </r>
    <r>
      <rPr>
        <sz val="11"/>
        <color theme="1"/>
        <rFont val="Calibri"/>
        <family val="2"/>
        <scheme val="minor"/>
      </rPr>
      <t>Special character, Only space and combination of character.</t>
    </r>
  </si>
  <si>
    <r>
      <t xml:space="preserve">1. </t>
    </r>
    <r>
      <rPr>
        <b/>
        <sz val="11"/>
        <color theme="1"/>
        <rFont val="Calibri"/>
        <family val="2"/>
        <scheme val="minor"/>
      </rPr>
      <t>Country Name</t>
    </r>
    <r>
      <rPr>
        <sz val="11"/>
        <color theme="1"/>
        <rFont val="Calibri"/>
        <family val="2"/>
        <scheme val="minor"/>
      </rPr>
      <t xml:space="preserve"> textbox should accept only alphabetic values.
2.Textbox should reject - </t>
    </r>
    <r>
      <rPr>
        <b/>
        <sz val="11"/>
        <color theme="1"/>
        <rFont val="Calibri"/>
        <family val="2"/>
        <scheme val="minor"/>
      </rPr>
      <t>Numeric, Special characters, Only spaces and Character + special character combinations.</t>
    </r>
    <r>
      <rPr>
        <sz val="11"/>
        <color theme="1"/>
        <rFont val="Calibri"/>
        <family val="2"/>
        <scheme val="minor"/>
      </rPr>
      <t xml:space="preserve">
3. Textbox length must be limited to 50 characters.</t>
    </r>
  </si>
  <si>
    <r>
      <t xml:space="preserve">1. Functionality is not working as expected. </t>
    </r>
    <r>
      <rPr>
        <b/>
        <sz val="11"/>
        <color theme="1"/>
        <rFont val="Calibri"/>
        <family val="2"/>
        <scheme val="minor"/>
      </rPr>
      <t>Textbox is accepting invalid inputs - Only space values, Special characters, Numeric value.</t>
    </r>
    <r>
      <rPr>
        <sz val="11"/>
        <color theme="1"/>
        <rFont val="Calibri"/>
        <family val="2"/>
        <scheme val="minor"/>
      </rPr>
      <t xml:space="preserve">
3. Textbox character limit of 2 characters is correctly implemented.</t>
    </r>
  </si>
  <si>
    <t>Country_Master_10</t>
  </si>
  <si>
    <r>
      <t xml:space="preserve">Validate the functionality of </t>
    </r>
    <r>
      <rPr>
        <b/>
        <sz val="11"/>
        <color theme="1"/>
        <rFont val="Calibri"/>
        <family val="2"/>
        <scheme val="minor"/>
      </rPr>
      <t>'Currency'</t>
    </r>
    <r>
      <rPr>
        <sz val="11"/>
        <color theme="1"/>
        <rFont val="Calibri"/>
        <family val="2"/>
        <scheme val="minor"/>
      </rPr>
      <t xml:space="preserve"> textbox  in Country Master page.</t>
    </r>
  </si>
  <si>
    <r>
      <rPr>
        <b/>
        <sz val="11"/>
        <color theme="1"/>
        <rFont val="Calibri"/>
        <family val="2"/>
        <scheme val="minor"/>
      </rPr>
      <t>Textbox</t>
    </r>
    <r>
      <rPr>
        <sz val="11"/>
        <color theme="1"/>
        <rFont val="Calibri"/>
        <family val="2"/>
        <scheme val="minor"/>
      </rPr>
      <t xml:space="preserve"> - Currency</t>
    </r>
    <r>
      <rPr>
        <b/>
        <sz val="11"/>
        <color theme="1"/>
        <rFont val="Calibri"/>
        <family val="2"/>
        <scheme val="minor"/>
      </rPr>
      <t xml:space="preserve">
Manual Inputs:</t>
    </r>
    <r>
      <rPr>
        <sz val="11"/>
        <color theme="1"/>
        <rFont val="Calibri"/>
        <family val="2"/>
        <scheme val="minor"/>
      </rPr>
      <t xml:space="preserve">
Space, special characters, numeric values, alphabets etc.
</t>
    </r>
    <r>
      <rPr>
        <b/>
        <sz val="11"/>
        <color theme="1"/>
        <rFont val="Calibri"/>
        <family val="2"/>
        <scheme val="minor"/>
      </rPr>
      <t>Autosuggest Inputs:</t>
    </r>
    <r>
      <rPr>
        <sz val="11"/>
        <color theme="1"/>
        <rFont val="Calibri"/>
        <family val="2"/>
        <scheme val="minor"/>
      </rPr>
      <t xml:space="preserve">
EURO, Japanese Yen etc.</t>
    </r>
  </si>
  <si>
    <r>
      <t xml:space="preserve">1. The </t>
    </r>
    <r>
      <rPr>
        <b/>
        <sz val="11"/>
        <color theme="1"/>
        <rFont val="Calibri"/>
        <family val="2"/>
        <scheme val="minor"/>
      </rPr>
      <t>Currency</t>
    </r>
    <r>
      <rPr>
        <sz val="11"/>
        <color theme="1"/>
        <rFont val="Calibri"/>
        <family val="2"/>
        <scheme val="minor"/>
      </rPr>
      <t xml:space="preserve"> textbox should not accept manual input of any kind.
2. Only values selected from the Autosuggest dropdown should be allowed.
3. If the user types any invalid or non-suggested value, the textbox should auto-clear.</t>
    </r>
  </si>
  <si>
    <r>
      <t xml:space="preserve">1. The functionality is working as expected
2. </t>
    </r>
    <r>
      <rPr>
        <b/>
        <sz val="11"/>
        <color theme="1"/>
        <rFont val="Calibri"/>
        <family val="2"/>
        <scheme val="minor"/>
      </rPr>
      <t>Currency</t>
    </r>
    <r>
      <rPr>
        <sz val="11"/>
        <color theme="1"/>
        <rFont val="Calibri"/>
        <family val="2"/>
        <scheme val="minor"/>
      </rPr>
      <t xml:space="preserve"> textbox is not accepting any manual input.
</t>
    </r>
  </si>
  <si>
    <t>Country_Master_11</t>
  </si>
  <si>
    <r>
      <t xml:space="preserve">Validate the functionality of </t>
    </r>
    <r>
      <rPr>
        <b/>
        <sz val="11"/>
        <color theme="1"/>
        <rFont val="Calibri"/>
        <family val="2"/>
        <scheme val="minor"/>
      </rPr>
      <t>'Nationality'</t>
    </r>
    <r>
      <rPr>
        <sz val="11"/>
        <color theme="1"/>
        <rFont val="Calibri"/>
        <family val="2"/>
        <scheme val="minor"/>
      </rPr>
      <t xml:space="preserve"> textbox  in Country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</si>
  <si>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&amp; Invalid Data in </t>
    </r>
    <r>
      <rPr>
        <b/>
        <sz val="11"/>
        <color theme="1"/>
        <rFont val="Calibri"/>
        <family val="2"/>
        <scheme val="minor"/>
      </rPr>
      <t xml:space="preserve">Nationality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</si>
  <si>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Nationality</t>
    </r>
    <r>
      <rPr>
        <b/>
        <sz val="11"/>
        <color theme="1"/>
        <rFont val="Calibri"/>
        <family val="2"/>
        <scheme val="minor"/>
      </rPr>
      <t xml:space="preserve">
Valid Data - </t>
    </r>
    <r>
      <rPr>
        <sz val="11"/>
        <color theme="1"/>
        <rFont val="Calibri"/>
        <family val="2"/>
        <scheme val="minor"/>
      </rPr>
      <t>Alphabetic value</t>
    </r>
    <r>
      <rPr>
        <b/>
        <sz val="11"/>
        <color theme="1"/>
        <rFont val="Calibri"/>
        <family val="2"/>
        <scheme val="minor"/>
      </rPr>
      <t xml:space="preserve">
Invalid Data - </t>
    </r>
    <r>
      <rPr>
        <sz val="11"/>
        <color theme="1"/>
        <rFont val="Calibri"/>
        <family val="2"/>
        <scheme val="minor"/>
      </rPr>
      <t>Numeric</t>
    </r>
    <r>
      <rPr>
        <b/>
        <sz val="11"/>
        <color theme="1"/>
        <rFont val="Calibri"/>
        <family val="2"/>
        <scheme val="minor"/>
      </rPr>
      <t xml:space="preserve">, </t>
    </r>
    <r>
      <rPr>
        <sz val="11"/>
        <color theme="1"/>
        <rFont val="Calibri"/>
        <family val="2"/>
        <scheme val="minor"/>
      </rPr>
      <t>Special character, Only space and combination of character.</t>
    </r>
  </si>
  <si>
    <r>
      <t xml:space="preserve">1. </t>
    </r>
    <r>
      <rPr>
        <b/>
        <sz val="11"/>
        <color theme="1"/>
        <rFont val="Calibri"/>
        <family val="2"/>
        <scheme val="minor"/>
      </rPr>
      <t>Nationality</t>
    </r>
    <r>
      <rPr>
        <sz val="11"/>
        <color theme="1"/>
        <rFont val="Calibri"/>
        <family val="2"/>
        <scheme val="minor"/>
      </rPr>
      <t xml:space="preserve"> textbox should accept only alphabetic values.
2.Textbox should reject - </t>
    </r>
    <r>
      <rPr>
        <b/>
        <sz val="11"/>
        <color theme="1"/>
        <rFont val="Calibri"/>
        <family val="2"/>
        <scheme val="minor"/>
      </rPr>
      <t>Numeric, Special characters, Only spaces and Character + special character combinations.</t>
    </r>
    <r>
      <rPr>
        <sz val="11"/>
        <color theme="1"/>
        <rFont val="Calibri"/>
        <family val="2"/>
        <scheme val="minor"/>
      </rPr>
      <t xml:space="preserve">
3. Textbox length must be limited to 20 characters.</t>
    </r>
  </si>
  <si>
    <t>Country_Master_12</t>
  </si>
  <si>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&amp; Invalid Data in </t>
    </r>
    <r>
      <rPr>
        <b/>
        <sz val="11"/>
        <color theme="1"/>
        <rFont val="Calibri"/>
        <family val="2"/>
        <scheme val="minor"/>
      </rPr>
      <t xml:space="preserve">Weight/CBM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</si>
  <si>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Weight/CBM</t>
    </r>
    <r>
      <rPr>
        <b/>
        <sz val="11"/>
        <color theme="1"/>
        <rFont val="Calibri"/>
        <family val="2"/>
        <scheme val="minor"/>
      </rPr>
      <t xml:space="preserve">
 -&gt; </t>
    </r>
    <r>
      <rPr>
        <sz val="11"/>
        <color theme="1"/>
        <rFont val="Calibri"/>
        <family val="2"/>
        <scheme val="minor"/>
      </rPr>
      <t>Alphanumeric value with special character.</t>
    </r>
    <r>
      <rPr>
        <b/>
        <sz val="11"/>
        <color theme="1"/>
        <rFont val="Calibri"/>
        <family val="2"/>
        <scheme val="minor"/>
      </rPr>
      <t xml:space="preserve">
</t>
    </r>
  </si>
  <si>
    <r>
      <t>1. Functionality is  working as expected.</t>
    </r>
    <r>
      <rPr>
        <sz val="11"/>
        <color theme="1"/>
        <rFont val="Calibri"/>
        <family val="2"/>
        <scheme val="minor"/>
      </rPr>
      <t xml:space="preserve">
3. Textbox character limit of 20 characters is correctly implemented.</t>
    </r>
  </si>
  <si>
    <r>
      <t xml:space="preserve">1. </t>
    </r>
    <r>
      <rPr>
        <b/>
        <sz val="11"/>
        <color theme="1"/>
        <rFont val="Calibri"/>
        <family val="2"/>
        <scheme val="minor"/>
      </rPr>
      <t>Weight/CBM</t>
    </r>
    <r>
      <rPr>
        <sz val="11"/>
        <color theme="1"/>
        <rFont val="Calibri"/>
        <family val="2"/>
        <scheme val="minor"/>
      </rPr>
      <t xml:space="preserve"> textbox should accept only alphanumeric values. It should also be accpet special character value.
2. Textbox length must be limited to 20 characters.</t>
    </r>
  </si>
  <si>
    <t>Country_Master_13</t>
  </si>
  <si>
    <r>
      <t xml:space="preserve">Validate the functionality of </t>
    </r>
    <r>
      <rPr>
        <b/>
        <sz val="11"/>
        <color theme="1"/>
        <rFont val="Calibri"/>
        <family val="2"/>
        <scheme val="minor"/>
      </rPr>
      <t>'Weight/CBM'</t>
    </r>
    <r>
      <rPr>
        <sz val="11"/>
        <color theme="1"/>
        <rFont val="Calibri"/>
        <family val="2"/>
        <scheme val="minor"/>
      </rPr>
      <t xml:space="preserve"> textbox in Country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</si>
  <si>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select a value from the dropdown list and oberve the system behaviour.</t>
    </r>
  </si>
  <si>
    <t>Country_Master_14</t>
  </si>
  <si>
    <r>
      <t xml:space="preserve">Validate the functionality of </t>
    </r>
    <r>
      <rPr>
        <b/>
        <sz val="11"/>
        <color theme="1"/>
        <rFont val="Calibri"/>
        <family val="2"/>
        <scheme val="minor"/>
      </rPr>
      <t>'Display Status'</t>
    </r>
    <r>
      <rPr>
        <sz val="11"/>
        <color theme="1"/>
        <rFont val="Calibri"/>
        <family val="2"/>
        <scheme val="minor"/>
      </rPr>
      <t xml:space="preserve"> dropdown in Country Master page.</t>
    </r>
  </si>
  <si>
    <r>
      <t xml:space="preserve">Validate the functionality of </t>
    </r>
    <r>
      <rPr>
        <b/>
        <sz val="11"/>
        <color theme="1"/>
        <rFont val="Calibri"/>
        <family val="2"/>
        <scheme val="minor"/>
      </rPr>
      <t>'Note'</t>
    </r>
    <r>
      <rPr>
        <sz val="11"/>
        <color theme="1"/>
        <rFont val="Calibri"/>
        <family val="2"/>
        <scheme val="minor"/>
      </rPr>
      <t xml:space="preserve"> textbox in Country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</si>
  <si>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the Value in Note Field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</si>
  <si>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Note</t>
    </r>
    <r>
      <rPr>
        <b/>
        <sz val="11"/>
        <color theme="1"/>
        <rFont val="Calibri"/>
        <family val="2"/>
        <scheme val="minor"/>
      </rPr>
      <t xml:space="preserve">
Valid Data - </t>
    </r>
    <r>
      <rPr>
        <sz val="11"/>
        <color theme="1"/>
        <rFont val="Calibri"/>
        <family val="2"/>
        <scheme val="minor"/>
      </rPr>
      <t>Alphanumeric value and Special character, Only space and combination of character.</t>
    </r>
  </si>
  <si>
    <t>Country_Master_15</t>
  </si>
  <si>
    <t>Fill all field with valid data.</t>
  </si>
  <si>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 xml:space="preserve">(Mandatory &amp; Non-Mandatory) </t>
    </r>
    <r>
      <rPr>
        <sz val="11"/>
        <color theme="1"/>
        <rFont val="Calibri"/>
        <family val="2"/>
        <scheme val="minor"/>
      </rPr>
      <t>are filled on the Currency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</si>
  <si>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values in all  fields and click on save button and observe the system behaviour.
5. Next, select an existing Country record from the left-side list and clear all fields to create a new entry.
6. Again enter valid values and check whether the Save button is enabled or disabled.</t>
    </r>
  </si>
  <si>
    <t>1. When all fields contain valid values, the record should be saved successfully.
2. A success confirmation message should appear.
3. The newly saved Country record should appear in the left-side Country list.
4. The saved record should be searchable using the left panel search box.
5. After clearing previous records for creating a new entry, the Save button should be enabled once all fields are filled</t>
  </si>
  <si>
    <t>Country_Master_16</t>
  </si>
  <si>
    <r>
      <t xml:space="preserve">Validate </t>
    </r>
    <r>
      <rPr>
        <b/>
        <sz val="11"/>
        <color theme="1"/>
        <rFont val="Calibri"/>
        <family val="2"/>
        <scheme val="minor"/>
      </rPr>
      <t>Save</t>
    </r>
    <r>
      <rPr>
        <sz val="11"/>
        <color theme="1"/>
        <rFont val="Calibri"/>
        <family val="2"/>
        <scheme val="minor"/>
      </rPr>
      <t xml:space="preserve"> button functionality when only mandatory fields are filled </t>
    </r>
    <r>
      <rPr>
        <b/>
        <sz val="11"/>
        <color theme="1"/>
        <rFont val="Calibri"/>
        <family val="2"/>
        <scheme val="minor"/>
      </rPr>
      <t>(non-mandatory fields left blank)</t>
    </r>
    <r>
      <rPr>
        <sz val="11"/>
        <color theme="1"/>
        <rFont val="Calibri"/>
        <family val="2"/>
        <scheme val="minor"/>
      </rPr>
      <t xml:space="preserve"> on the Currency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</si>
  <si>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values in all mandatory fields and click on save button and observe the system behaviour.
5. Next, select an existing Country record from the left-side list and clear all fields to create a new entry.
6. Again enter valid values and check whether the Save button is enabled or disabled.</t>
    </r>
  </si>
  <si>
    <t>Fill all mandatory field with valid data.</t>
  </si>
  <si>
    <t>1. When all mandatory fields contain valid values, the record should be saved successfully.
2. A success confirmation message should appear.
3. The newly saved Country record should appear in the left-side Country list.
4. The saved record should be searchable using the left panel search box.
5. After clearing previous records for creating a new entry, the Save button should be enabled once all fields are filled</t>
  </si>
  <si>
    <t>1. Functionality is not working as expected.
2. When opening the page fresh for the first time, the Save button is enabled and the user can save a record, After Click on clear button, save button is disabled.
3. If a previously saved record is selected and cleared, the Save button remains disabled even after entering new valid values.
4. User is unable to save a new record after selecting and clearing an old record.</t>
  </si>
  <si>
    <t>Country_Master_17</t>
  </si>
  <si>
    <r>
      <t xml:space="preserve">Validate </t>
    </r>
    <r>
      <rPr>
        <b/>
        <sz val="11"/>
        <color theme="1"/>
        <rFont val="Calibri"/>
        <family val="2"/>
        <scheme val="minor"/>
      </rPr>
      <t>Save</t>
    </r>
    <r>
      <rPr>
        <sz val="11"/>
        <color theme="1"/>
        <rFont val="Calibri"/>
        <family val="2"/>
        <scheme val="minor"/>
      </rPr>
      <t xml:space="preserve"> button functionality when only Non -mandatory fields are filled </t>
    </r>
    <r>
      <rPr>
        <b/>
        <sz val="11"/>
        <color theme="1"/>
        <rFont val="Calibri"/>
        <family val="2"/>
        <scheme val="minor"/>
      </rPr>
      <t>(Mandatory fields left blank)</t>
    </r>
    <r>
      <rPr>
        <sz val="11"/>
        <color theme="1"/>
        <rFont val="Calibri"/>
        <family val="2"/>
        <scheme val="minor"/>
      </rPr>
      <t xml:space="preserve"> on the Currency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</si>
  <si>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Enter valid values in all Non - mandatory fields and click on save button and observe the system behaviour.
5. Next, select an existing Country record from the left-side list and clear all fields to create a new entry.
6. Again enter valid values and check whether the Save button is enabled or disabled.</t>
    </r>
  </si>
  <si>
    <t>Fill all Non- mandatory field with valid data and Mandatory field left blank.</t>
  </si>
  <si>
    <t>Country_Master_18</t>
  </si>
  <si>
    <r>
      <t xml:space="preserve">Validate </t>
    </r>
    <r>
      <rPr>
        <b/>
        <sz val="11"/>
        <color theme="1"/>
        <rFont val="Calibri"/>
        <family val="2"/>
        <scheme val="minor"/>
      </rPr>
      <t>Save</t>
    </r>
    <r>
      <rPr>
        <sz val="11"/>
        <color theme="1"/>
        <rFont val="Calibri"/>
        <family val="2"/>
        <scheme val="minor"/>
      </rPr>
      <t xml:space="preserve"> functionality when all fields are left blank on the Currency Master Page.</t>
    </r>
  </si>
  <si>
    <r>
      <t xml:space="preserve">1. Open the application and log in 
2. Select Branch: AHMEDABAD, Export Type: Export Sea, FY 2025–2026, click OK.
3. Navigate to </t>
    </r>
    <r>
      <rPr>
        <b/>
        <sz val="11"/>
        <color theme="1"/>
        <rFont val="Calibri"/>
        <family val="2"/>
        <scheme val="minor"/>
      </rPr>
      <t>Masters -&gt; Regional Master -&gt; Country Master</t>
    </r>
    <r>
      <rPr>
        <sz val="11"/>
        <color theme="1"/>
        <rFont val="Calibri"/>
        <family val="2"/>
        <scheme val="minor"/>
      </rPr>
      <t xml:space="preserve">
4. Leave all fields blank and Click Save.</t>
    </r>
  </si>
  <si>
    <t>Country_Master_19</t>
  </si>
  <si>
    <r>
      <t xml:space="preserve">Validate the functionality of </t>
    </r>
    <r>
      <rPr>
        <b/>
        <sz val="11"/>
        <color theme="1"/>
        <rFont val="Calibri"/>
        <family val="2"/>
        <scheme val="minor"/>
      </rPr>
      <t>Modify</t>
    </r>
    <r>
      <rPr>
        <sz val="11"/>
        <color theme="1"/>
        <rFont val="Calibri"/>
        <family val="2"/>
        <scheme val="minor"/>
      </rPr>
      <t xml:space="preserve"> button on the Currency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</si>
  <si>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Country Master
</t>
    </r>
    <r>
      <rPr>
        <sz val="11"/>
        <color theme="1"/>
        <rFont val="Calibri"/>
        <family val="2"/>
        <scheme val="minor"/>
      </rPr>
      <t>4. From the left-side list, select a pre-existing record and modify one or more fields with new valid data.
5. Click modify button and observe the system behaviour.
6. Re-check the selected record in the left-side list to confirm whether the updated values are saved correctly.</t>
    </r>
  </si>
  <si>
    <t>1. The Modify button must be enabled only when a record is selected and displayed in the textboxes.
2. On clicking Modify, the selected record should be updated with the new values.
3. The updated record should appear correctly in the left-side Country list.
4. The system should allow the user to modify the same record multiple times.</t>
  </si>
  <si>
    <r>
      <t xml:space="preserve">1. Functionality is not working as expected.
2. </t>
    </r>
    <r>
      <rPr>
        <b/>
        <sz val="11"/>
        <color theme="1"/>
        <rFont val="Calibri"/>
        <family val="2"/>
        <scheme val="minor"/>
      </rPr>
      <t>When modifying the Country Code:</t>
    </r>
    <r>
      <rPr>
        <sz val="11"/>
        <color theme="1"/>
        <rFont val="Calibri"/>
        <family val="2"/>
        <scheme val="minor"/>
      </rPr>
      <t xml:space="preserve">
</t>
    </r>
    <r>
      <rPr>
        <b/>
        <sz val="11"/>
        <color theme="1"/>
        <rFont val="Calibri"/>
        <family val="2"/>
        <scheme val="minor"/>
      </rPr>
      <t xml:space="preserve"> -&gt; Sometimes the value updates correctly.
 -&gt; Sometimes the system shows a success popup, but the record is not updated in the list and still displays old data.</t>
    </r>
    <r>
      <rPr>
        <sz val="11"/>
        <color theme="1"/>
        <rFont val="Calibri"/>
        <family val="2"/>
        <scheme val="minor"/>
      </rPr>
      <t xml:space="preserve">
</t>
    </r>
  </si>
  <si>
    <t>Country_Master_20</t>
  </si>
  <si>
    <r>
      <t xml:space="preserve">1. Open the application and log in 
2. Select Branch: AHMEDABAD, Export Type: Export Sea, FY 2025–2026, click OK.
3. Navigate to </t>
    </r>
    <r>
      <rPr>
        <b/>
        <sz val="11"/>
        <color theme="1"/>
        <rFont val="Calibri"/>
        <family val="2"/>
        <scheme val="minor"/>
      </rPr>
      <t xml:space="preserve">Masters -&gt; Regional Master -&gt; Country Master
</t>
    </r>
    <r>
      <rPr>
        <sz val="11"/>
        <color theme="1"/>
        <rFont val="Calibri"/>
        <family val="2"/>
        <scheme val="minor"/>
      </rPr>
      <t xml:space="preserve">4. From the left-side </t>
    </r>
    <r>
      <rPr>
        <b/>
        <sz val="11"/>
        <color theme="1"/>
        <rFont val="Calibri"/>
        <family val="2"/>
        <scheme val="minor"/>
      </rPr>
      <t>Country</t>
    </r>
    <r>
      <rPr>
        <sz val="11"/>
        <color theme="1"/>
        <rFont val="Calibri"/>
        <family val="2"/>
        <scheme val="minor"/>
      </rPr>
      <t xml:space="preserve"> list, select any existing record.
5. Verify that the corresponding record details are populated in the input fields.
6. Click on the Delete button and observe the system behavior.</t>
    </r>
  </si>
  <si>
    <r>
      <t xml:space="preserve">
Select any existing </t>
    </r>
    <r>
      <rPr>
        <b/>
        <sz val="11"/>
        <color theme="1"/>
        <rFont val="Calibri"/>
        <family val="2"/>
        <scheme val="minor"/>
      </rPr>
      <t>Country</t>
    </r>
    <r>
      <rPr>
        <sz val="11"/>
        <color theme="1"/>
        <rFont val="Calibri"/>
        <family val="2"/>
        <scheme val="minor"/>
      </rPr>
      <t xml:space="preserve"> record from the left-side list.</t>
    </r>
  </si>
  <si>
    <r>
      <t>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left-side list.
If the user selects No -The deletion process should be cancelled and the record should remain unchanged.</t>
    </r>
  </si>
  <si>
    <t xml:space="preserve">1. Functionality is not working as expected.
2. When deleting a record, the system does not display any confirmation message (e.g., “Are you sure you want to delete this record?”).
</t>
  </si>
  <si>
    <t>Country_Master_21</t>
  </si>
  <si>
    <r>
      <t xml:space="preserve">Validate the functionality of </t>
    </r>
    <r>
      <rPr>
        <b/>
        <sz val="11"/>
        <color theme="1"/>
        <rFont val="Calibri"/>
        <family val="2"/>
        <scheme val="minor"/>
      </rPr>
      <t>Clear</t>
    </r>
    <r>
      <rPr>
        <sz val="11"/>
        <color theme="1"/>
        <rFont val="Calibri"/>
        <family val="2"/>
        <scheme val="minor"/>
      </rPr>
      <t xml:space="preserve"> button on the Currency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</si>
  <si>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Country Master
</t>
    </r>
    <r>
      <rPr>
        <sz val="11"/>
        <color theme="1"/>
        <rFont val="Calibri"/>
        <family val="2"/>
        <scheme val="minor"/>
      </rPr>
      <t>4. Enter values in all or few input fields.
5. Click the Clear button and observe the system behavior.</t>
    </r>
  </si>
  <si>
    <r>
      <t xml:space="preserve">Functionality is working as Expected.
</t>
    </r>
    <r>
      <rPr>
        <b/>
        <sz val="11"/>
        <color theme="1"/>
        <rFont val="Calibri"/>
        <family val="2"/>
        <scheme val="minor"/>
      </rPr>
      <t>Observation - The system is not asking for confirmation before clearing the page.</t>
    </r>
  </si>
  <si>
    <t>Country_Master_22</t>
  </si>
  <si>
    <r>
      <t xml:space="preserve">Validate the functionality of the </t>
    </r>
    <r>
      <rPr>
        <b/>
        <sz val="11"/>
        <color theme="1"/>
        <rFont val="Calibri"/>
        <family val="2"/>
        <scheme val="minor"/>
      </rPr>
      <t xml:space="preserve">Page Responsiveness </t>
    </r>
    <r>
      <rPr>
        <sz val="11"/>
        <color theme="1"/>
        <rFont val="Calibri"/>
        <family val="2"/>
        <scheme val="minor"/>
      </rPr>
      <t>on the Currency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</si>
  <si>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Country Master
</t>
    </r>
    <r>
      <rPr>
        <sz val="11"/>
        <color theme="1"/>
        <rFont val="Calibri"/>
        <family val="2"/>
        <scheme val="minor"/>
      </rPr>
      <t>4. Resize the browser to multiple resolutions and observe the system behaviour.</t>
    </r>
  </si>
  <si>
    <r>
      <t>1. All elements on the Country</t>
    </r>
    <r>
      <rPr>
        <b/>
        <sz val="11"/>
        <color theme="1"/>
        <rFont val="Calibri"/>
        <family val="2"/>
        <scheme val="minor"/>
      </rPr>
      <t xml:space="preserve">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</si>
  <si>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Country_Master_23</t>
  </si>
  <si>
    <r>
      <t xml:space="preserve">Validate the functionality of </t>
    </r>
    <r>
      <rPr>
        <b/>
        <sz val="11"/>
        <color theme="1"/>
        <rFont val="Calibri"/>
        <family val="2"/>
        <scheme val="minor"/>
      </rPr>
      <t>Keyword Action</t>
    </r>
    <r>
      <rPr>
        <sz val="11"/>
        <color theme="1"/>
        <rFont val="Calibri"/>
        <family val="2"/>
        <scheme val="minor"/>
      </rPr>
      <t xml:space="preserve"> on the Currency Master Page. (tab Button)</t>
    </r>
  </si>
  <si>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Currency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</si>
  <si>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Zone Master
</t>
    </r>
    <r>
      <rPr>
        <sz val="11"/>
        <color theme="1"/>
        <rFont val="Calibri"/>
        <family val="2"/>
        <scheme val="minor"/>
      </rPr>
      <t>4. Leave the Country Master page idle for long time and observe the system behaviour.</t>
    </r>
  </si>
  <si>
    <t>Country_Master_24</t>
  </si>
  <si>
    <t>Country_Master_25</t>
  </si>
  <si>
    <t>Region_Master_01</t>
  </si>
  <si>
    <t xml:space="preserve">Regional Master -&gt; Region Master
</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</si>
  <si>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 xml:space="preserve">Region Master
</t>
    </r>
  </si>
  <si>
    <r>
      <t xml:space="preserve">Validate the functionality of </t>
    </r>
    <r>
      <rPr>
        <b/>
        <sz val="11"/>
        <color theme="1"/>
        <rFont val="Calibri"/>
        <family val="2"/>
        <scheme val="minor"/>
      </rPr>
      <t xml:space="preserve">Region 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</si>
  <si>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On Mouse Hovering action on </t>
    </r>
    <r>
      <rPr>
        <b/>
        <sz val="11"/>
        <color theme="1"/>
        <rFont val="Calibri"/>
        <family val="2"/>
        <scheme val="minor"/>
      </rPr>
      <t>Masters -&gt; Regional Master -&gt; Region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</si>
  <si>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Region Master </t>
    </r>
    <r>
      <rPr>
        <sz val="11"/>
        <color theme="1"/>
        <rFont val="Calibri"/>
        <family val="2"/>
        <scheme val="minor"/>
      </rPr>
      <t>Page is opening properly.</t>
    </r>
  </si>
  <si>
    <t>Region_Master_02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</si>
  <si>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</si>
  <si>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Enter a search keyword value in the Search textbox on the left panel and check System behaviour</t>
    </r>
    <r>
      <rPr>
        <b/>
        <sz val="11"/>
        <color theme="1"/>
        <rFont val="Calibri"/>
        <family val="2"/>
        <scheme val="minor"/>
      </rPr>
      <t xml:space="preserve">
</t>
    </r>
  </si>
  <si>
    <t>Enter any Value in Search textbox.</t>
  </si>
  <si>
    <t xml:space="preserve">1. The search textbox should return all matching records, supporting:
 -&gt; Full match
 -&gt; Partial match
 -&gt; Case-insensitive match
2. Records displayed should automatically filter and sort according to the search keyword.
</t>
  </si>
  <si>
    <t>1. The Search textbox is not working as expected.
2. Records are not getting filtered or sorted when entering search values.
3. Search function does not respond properly.</t>
  </si>
  <si>
    <t>Region_Master_03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</si>
  <si>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Region Master List (left panel)</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</si>
  <si>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On the left panel (</t>
    </r>
    <r>
      <rPr>
        <b/>
        <sz val="11"/>
        <color theme="1"/>
        <rFont val="Calibri"/>
        <family val="2"/>
        <scheme val="minor"/>
      </rPr>
      <t>Region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</si>
  <si>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r>
      <t xml:space="preserve">1. Sorting: </t>
    </r>
    <r>
      <rPr>
        <b/>
        <sz val="11"/>
        <color theme="1"/>
        <rFont val="Calibri"/>
        <family val="2"/>
        <scheme val="minor"/>
      </rPr>
      <t xml:space="preserve">Region Master </t>
    </r>
    <r>
      <rPr>
        <sz val="11"/>
        <color theme="1"/>
        <rFont val="Calibri"/>
        <family val="2"/>
        <scheme val="minor"/>
      </rPr>
      <t>list sorts correctly in ascending and descending order.
2. When all column checkboxes are selected, all columns should be displayed.
3. When all column checkboxes are deselected, all columns should be hidden</t>
    </r>
  </si>
  <si>
    <t>Region_Master_04</t>
  </si>
  <si>
    <t>Selected Records: 
 -&gt; testing Region master 
 -&gt; Sachin Test Region</t>
  </si>
  <si>
    <r>
      <t xml:space="preserve">Validate whether selected </t>
    </r>
    <r>
      <rPr>
        <b/>
        <sz val="11"/>
        <color theme="1"/>
        <rFont val="Calibri"/>
        <family val="2"/>
        <scheme val="minor"/>
      </rPr>
      <t>Region Master</t>
    </r>
    <r>
      <rPr>
        <sz val="11"/>
        <color theme="1"/>
        <rFont val="Calibri"/>
        <family val="2"/>
        <scheme val="minor"/>
      </rPr>
      <t xml:space="preserve"> details from the Left Side Panel list are reflected in the corresponding textboxes.</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</si>
  <si>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Verify whether the details of the selected record are reflected correctly in the corresponding Region Master textboxes.
5. Now select another record from the left-side panel.
6. Verify whether the textboxes update with the newly selected record’s details.</t>
    </r>
  </si>
  <si>
    <t>1. When a record is selected from the left-side panel, its values should be accurately reflected in the corresponding Region Master textboxes.
2. When another record is selected, the textbox values should immediately update with the new record’s details.</t>
  </si>
  <si>
    <t>1. Functionality is working as expected.
2. Selected record values are reflected properly in the corresponding textboxes.</t>
  </si>
  <si>
    <t>Region_Master_05</t>
  </si>
  <si>
    <r>
      <t xml:space="preserve">Validate the functionality of </t>
    </r>
    <r>
      <rPr>
        <b/>
        <sz val="11"/>
        <color theme="1"/>
        <rFont val="Calibri"/>
        <family val="2"/>
        <scheme val="minor"/>
      </rPr>
      <t>'Name'</t>
    </r>
    <r>
      <rPr>
        <sz val="11"/>
        <color theme="1"/>
        <rFont val="Calibri"/>
        <family val="2"/>
        <scheme val="minor"/>
      </rPr>
      <t xml:space="preserve"> textbox in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</si>
  <si>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select a value from the Autosuggest dropdown and oberve the system behaviour.</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</si>
  <si>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Enter valid &amp; Invalid value in Name textbox and observe the system behaviour.</t>
    </r>
  </si>
  <si>
    <r>
      <rPr>
        <b/>
        <sz val="11"/>
        <color theme="1"/>
        <rFont val="Calibri"/>
        <family val="2"/>
        <scheme val="minor"/>
      </rPr>
      <t>Textbox</t>
    </r>
    <r>
      <rPr>
        <sz val="11"/>
        <color theme="1"/>
        <rFont val="Calibri"/>
        <family val="2"/>
        <scheme val="minor"/>
      </rPr>
      <t xml:space="preserve"> - Name</t>
    </r>
    <r>
      <rPr>
        <b/>
        <sz val="11"/>
        <color theme="1"/>
        <rFont val="Calibri"/>
        <family val="2"/>
        <scheme val="minor"/>
      </rPr>
      <t xml:space="preserve">
Valid Data - </t>
    </r>
    <r>
      <rPr>
        <sz val="11"/>
        <color theme="1"/>
        <rFont val="Calibri"/>
        <family val="2"/>
        <scheme val="minor"/>
      </rPr>
      <t xml:space="preserve">Alphanumeric Value
</t>
    </r>
    <r>
      <rPr>
        <b/>
        <sz val="11"/>
        <color theme="1"/>
        <rFont val="Calibri"/>
        <family val="2"/>
        <scheme val="minor"/>
      </rPr>
      <t xml:space="preserve">Invalid Data - </t>
    </r>
    <r>
      <rPr>
        <sz val="11"/>
        <color theme="1"/>
        <rFont val="Calibri"/>
        <family val="2"/>
        <scheme val="minor"/>
      </rPr>
      <t>Only Space Value, Special Character Value, Combination of Character etc.</t>
    </r>
  </si>
  <si>
    <r>
      <t xml:space="preserve">1. Name textbox should accept only Alphanumeric values.
2.Textbox should reject - </t>
    </r>
    <r>
      <rPr>
        <b/>
        <sz val="11"/>
        <color theme="1"/>
        <rFont val="Calibri"/>
        <family val="2"/>
        <scheme val="minor"/>
      </rPr>
      <t>Special characters, Only spaces and Character + special character combinations.</t>
    </r>
    <r>
      <rPr>
        <sz val="11"/>
        <color theme="1"/>
        <rFont val="Calibri"/>
        <family val="2"/>
        <scheme val="minor"/>
      </rPr>
      <t xml:space="preserve">
3. Textbox length must be limited to 100 characters.</t>
    </r>
  </si>
  <si>
    <t>Region_Master_06</t>
  </si>
  <si>
    <r>
      <t xml:space="preserve">Validate the functionality of </t>
    </r>
    <r>
      <rPr>
        <b/>
        <sz val="11"/>
        <color theme="1"/>
        <rFont val="Calibri"/>
        <family val="2"/>
        <scheme val="minor"/>
      </rPr>
      <t>'Region/Sector Incharge'</t>
    </r>
    <r>
      <rPr>
        <sz val="11"/>
        <color theme="1"/>
        <rFont val="Calibri"/>
        <family val="2"/>
        <scheme val="minor"/>
      </rPr>
      <t xml:space="preserve"> textbox in Region Master page.</t>
    </r>
  </si>
  <si>
    <t xml:space="preserve">1. Functionality is not working as expected. Textbox is accepting invalid inputs - Special characters and Combination of character.
3. Textbox character limit of 100 characters is correctly implemented.
Note: As per business rule, it should accept alphanumeric value with space and following special character value:   Dot (.),  Comma (,),  Percent (%), Hyphen (-) ,  Forward Slash (/) , Backslash (\), And (&amp;)) and Underscore(_) </t>
  </si>
  <si>
    <r>
      <rPr>
        <b/>
        <sz val="11"/>
        <color theme="1"/>
        <rFont val="Calibri"/>
        <family val="2"/>
        <scheme val="minor"/>
      </rPr>
      <t>Textbox</t>
    </r>
    <r>
      <rPr>
        <sz val="11"/>
        <color theme="1"/>
        <rFont val="Calibri"/>
        <family val="2"/>
        <scheme val="minor"/>
      </rPr>
      <t xml:space="preserve"> - Region/Sector Incharge</t>
    </r>
    <r>
      <rPr>
        <b/>
        <sz val="11"/>
        <color theme="1"/>
        <rFont val="Calibri"/>
        <family val="2"/>
        <scheme val="minor"/>
      </rPr>
      <t xml:space="preserve">
Manual Inputs:</t>
    </r>
    <r>
      <rPr>
        <sz val="11"/>
        <color theme="1"/>
        <rFont val="Calibri"/>
        <family val="2"/>
        <scheme val="minor"/>
      </rPr>
      <t xml:space="preserve">
Space, special characters, numeric values, alphabets etc.
</t>
    </r>
    <r>
      <rPr>
        <b/>
        <sz val="11"/>
        <color theme="1"/>
        <rFont val="Calibri"/>
        <family val="2"/>
        <scheme val="minor"/>
      </rPr>
      <t>Autosuggest Inputs:</t>
    </r>
    <r>
      <rPr>
        <sz val="11"/>
        <color theme="1"/>
        <rFont val="Calibri"/>
        <family val="2"/>
        <scheme val="minor"/>
      </rPr>
      <t xml:space="preserve">
Amar, Anil, At etc.</t>
    </r>
  </si>
  <si>
    <r>
      <t xml:space="preserve">1. The </t>
    </r>
    <r>
      <rPr>
        <b/>
        <sz val="11"/>
        <color theme="1"/>
        <rFont val="Calibri"/>
        <family val="2"/>
        <scheme val="minor"/>
      </rPr>
      <t>Region/Sector Incharge</t>
    </r>
    <r>
      <rPr>
        <sz val="11"/>
        <color theme="1"/>
        <rFont val="Calibri"/>
        <family val="2"/>
        <scheme val="minor"/>
      </rPr>
      <t xml:space="preserve"> textbox should not accept manual input of any kind.
2. Only values selected from the Autosuggest dropdown should be allowed.
3. If the user types any invalid or non-suggested value, the textbox should auto-clear.</t>
    </r>
  </si>
  <si>
    <r>
      <t xml:space="preserve">1. The functionality is working as expected
2. </t>
    </r>
    <r>
      <rPr>
        <b/>
        <sz val="11"/>
        <color theme="1"/>
        <rFont val="Calibri"/>
        <family val="2"/>
        <scheme val="minor"/>
      </rPr>
      <t>Region/Sector Incharge</t>
    </r>
    <r>
      <rPr>
        <sz val="11"/>
        <color theme="1"/>
        <rFont val="Calibri"/>
        <family val="2"/>
        <scheme val="minor"/>
      </rPr>
      <t xml:space="preserve"> textbox is not accepting any manual input.
</t>
    </r>
  </si>
  <si>
    <t>Region_Master_07</t>
  </si>
  <si>
    <r>
      <t xml:space="preserve">Validate the functionality of </t>
    </r>
    <r>
      <rPr>
        <b/>
        <sz val="11"/>
        <color theme="1"/>
        <rFont val="Calibri"/>
        <family val="2"/>
        <scheme val="minor"/>
      </rPr>
      <t>'Display Status'</t>
    </r>
    <r>
      <rPr>
        <sz val="11"/>
        <color theme="1"/>
        <rFont val="Calibri"/>
        <family val="2"/>
        <scheme val="minor"/>
      </rPr>
      <t xml:space="preserve"> dropdown in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</si>
  <si>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select a value from the dropdown list and oberve the system behaviour.</t>
    </r>
  </si>
  <si>
    <t>Region_Master_08</t>
  </si>
  <si>
    <r>
      <t xml:space="preserve">Validate the functionality of </t>
    </r>
    <r>
      <rPr>
        <b/>
        <sz val="11"/>
        <color theme="1"/>
        <rFont val="Calibri"/>
        <family val="2"/>
        <scheme val="minor"/>
      </rPr>
      <t>'Note'</t>
    </r>
    <r>
      <rPr>
        <sz val="11"/>
        <color theme="1"/>
        <rFont val="Calibri"/>
        <family val="2"/>
        <scheme val="minor"/>
      </rPr>
      <t xml:space="preserve"> textbox in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</si>
  <si>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Enter the Value in </t>
    </r>
    <r>
      <rPr>
        <b/>
        <sz val="11"/>
        <color theme="1"/>
        <rFont val="Calibri"/>
        <family val="2"/>
        <scheme val="minor"/>
      </rPr>
      <t>Note</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</si>
  <si>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Note</t>
    </r>
    <r>
      <rPr>
        <b/>
        <sz val="11"/>
        <color theme="1"/>
        <rFont val="Calibri"/>
        <family val="2"/>
        <scheme val="minor"/>
      </rPr>
      <t xml:space="preserve">
Valid Data - </t>
    </r>
    <r>
      <rPr>
        <sz val="11"/>
        <color theme="1"/>
        <rFont val="Calibri"/>
        <family val="2"/>
        <scheme val="minor"/>
      </rPr>
      <t>Alphanumeric value and Special character with space and combination of character.</t>
    </r>
  </si>
  <si>
    <r>
      <t xml:space="preserve">1. As per Use Case, It should be accept only Alphanumeric value, but as per previour saved data, it should be accept </t>
    </r>
    <r>
      <rPr>
        <b/>
        <sz val="11"/>
        <color theme="1"/>
        <rFont val="Calibri"/>
        <family val="2"/>
        <scheme val="minor"/>
      </rPr>
      <t>Alphanumeric value, special character and combination of character value.</t>
    </r>
    <r>
      <rPr>
        <sz val="11"/>
        <color theme="1"/>
        <rFont val="Calibri"/>
        <family val="2"/>
        <scheme val="minor"/>
      </rPr>
      <t xml:space="preserve">
2. Textbox length must be limited to 250 characters.
</t>
    </r>
  </si>
  <si>
    <t>Region_Master_09</t>
  </si>
  <si>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Enter valid data in all required input fields and click Save.
5. From the left-side Region list, select the recently saved record.
6. Observe the value displayed in the Entered By textbox.</t>
    </r>
  </si>
  <si>
    <t>Region_Master_10</t>
  </si>
  <si>
    <r>
      <t xml:space="preserve">Validate the functionality of </t>
    </r>
    <r>
      <rPr>
        <b/>
        <sz val="11"/>
        <color theme="1"/>
        <rFont val="Calibri"/>
        <family val="2"/>
        <scheme val="minor"/>
      </rPr>
      <t xml:space="preserve">Entered Date </t>
    </r>
    <r>
      <rPr>
        <sz val="11"/>
        <color theme="1"/>
        <rFont val="Calibri"/>
        <family val="2"/>
        <scheme val="minor"/>
      </rPr>
      <t>textbox</t>
    </r>
    <r>
      <rPr>
        <sz val="11"/>
        <color theme="1"/>
        <rFont val="Calibri"/>
        <family val="2"/>
        <scheme val="minor"/>
      </rPr>
      <t xml:space="preserve"> in the Region Master page.</t>
    </r>
  </si>
  <si>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</si>
  <si>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Enter valid data in all required input fields and click Save.
5. From the left-side Region Master list, select the recently saved record.
6. Observe the value displayed in the Entered Date textbox.</t>
    </r>
  </si>
  <si>
    <r>
      <rPr>
        <b/>
        <sz val="11"/>
        <color theme="1"/>
        <rFont val="Calibri"/>
        <family val="2"/>
        <scheme val="minor"/>
      </rPr>
      <t>Name</t>
    </r>
    <r>
      <rPr>
        <sz val="11"/>
        <color theme="1"/>
        <rFont val="Calibri"/>
        <family val="2"/>
        <scheme val="minor"/>
      </rPr>
      <t xml:space="preserve"> - Testing Region Master1
</t>
    </r>
    <r>
      <rPr>
        <b/>
        <sz val="11"/>
        <color theme="1"/>
        <rFont val="Calibri"/>
        <family val="2"/>
        <scheme val="minor"/>
      </rPr>
      <t>Region/Sector Incharge</t>
    </r>
    <r>
      <rPr>
        <sz val="11"/>
        <color theme="1"/>
        <rFont val="Calibri"/>
        <family val="2"/>
        <scheme val="minor"/>
      </rPr>
      <t xml:space="preserve"> - At
</t>
    </r>
    <r>
      <rPr>
        <b/>
        <sz val="11"/>
        <color theme="1"/>
        <rFont val="Calibri"/>
        <family val="2"/>
        <scheme val="minor"/>
      </rPr>
      <t>Display Status</t>
    </r>
    <r>
      <rPr>
        <sz val="11"/>
        <color theme="1"/>
        <rFont val="Calibri"/>
        <family val="2"/>
        <scheme val="minor"/>
      </rPr>
      <t xml:space="preserve"> - Display
</t>
    </r>
  </si>
  <si>
    <t>Region_Master_11</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</si>
  <si>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Region Master page.</t>
    </r>
  </si>
  <si>
    <r>
      <rPr>
        <b/>
        <sz val="11"/>
        <color theme="1"/>
        <rFont val="Calibri"/>
        <family val="2"/>
        <scheme val="minor"/>
      </rPr>
      <t>Name</t>
    </r>
    <r>
      <rPr>
        <sz val="11"/>
        <color theme="1"/>
        <rFont val="Calibri"/>
        <family val="2"/>
        <scheme val="minor"/>
      </rPr>
      <t xml:space="preserve"> - Testing Region Master2
</t>
    </r>
    <r>
      <rPr>
        <b/>
        <sz val="11"/>
        <color theme="1"/>
        <rFont val="Calibri"/>
        <family val="2"/>
        <scheme val="minor"/>
      </rPr>
      <t>Region/Sector Incharge</t>
    </r>
    <r>
      <rPr>
        <sz val="11"/>
        <color theme="1"/>
        <rFont val="Calibri"/>
        <family val="2"/>
        <scheme val="minor"/>
      </rPr>
      <t xml:space="preserve"> - At
</t>
    </r>
    <r>
      <rPr>
        <b/>
        <sz val="11"/>
        <color theme="1"/>
        <rFont val="Calibri"/>
        <family val="2"/>
        <scheme val="minor"/>
      </rPr>
      <t>Display Status</t>
    </r>
    <r>
      <rPr>
        <sz val="11"/>
        <color theme="1"/>
        <rFont val="Calibri"/>
        <family val="2"/>
        <scheme val="minor"/>
      </rPr>
      <t xml:space="preserve"> - Display</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</si>
  <si>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Modify any field value and Click the modify button.
5. Re-select the same record from the left-side list and observe the value displayed in the Modified By textbox.</t>
    </r>
  </si>
  <si>
    <r>
      <t xml:space="preserve">1. For a record that has never been modified, the </t>
    </r>
    <r>
      <rPr>
        <b/>
        <sz val="11"/>
        <color theme="1"/>
        <rFont val="Calibri"/>
        <family val="2"/>
        <scheme val="minor"/>
      </rPr>
      <t>Modified By</t>
    </r>
    <r>
      <rPr>
        <sz val="11"/>
        <color theme="1"/>
        <rFont val="Calibri"/>
        <family val="2"/>
        <scheme val="minor"/>
      </rPr>
      <t xml:space="preserve"> textbox should remain blank.
2. After modifying and saving the record, The Modified By textbox should display the username of the user who performed the modification.
3. The Modified By value should update only when the record is modified -not during initial creation.</t>
    </r>
  </si>
  <si>
    <t>Region_Master_12</t>
  </si>
  <si>
    <r>
      <t xml:space="preserve">Validate the functionality of </t>
    </r>
    <r>
      <rPr>
        <b/>
        <sz val="11"/>
        <color theme="1"/>
        <rFont val="Calibri"/>
        <family val="2"/>
        <scheme val="minor"/>
      </rPr>
      <t xml:space="preserve">Modified Date </t>
    </r>
    <r>
      <rPr>
        <sz val="11"/>
        <color theme="1"/>
        <rFont val="Calibri"/>
        <family val="2"/>
        <scheme val="minor"/>
      </rPr>
      <t>textbox in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</si>
  <si>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 xml:space="preserve">4. Modify any field value and Click the modify button.
5. Re-select the same record from the left-side list and observe the date displayed in the </t>
    </r>
    <r>
      <rPr>
        <b/>
        <sz val="11"/>
        <color theme="1"/>
        <rFont val="Calibri"/>
        <family val="2"/>
        <scheme val="minor"/>
      </rPr>
      <t>Modified Date</t>
    </r>
    <r>
      <rPr>
        <sz val="11"/>
        <color theme="1"/>
        <rFont val="Calibri"/>
        <family val="2"/>
        <scheme val="minor"/>
      </rPr>
      <t xml:space="preserve"> textbox.</t>
    </r>
  </si>
  <si>
    <t>Modify any Pre-existing record</t>
  </si>
  <si>
    <t>Region_Master_13</t>
  </si>
  <si>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Are Filled in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</si>
  <si>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Enter valid data in all fields and click the Save button and observe the system behavior.</t>
    </r>
  </si>
  <si>
    <t xml:space="preserve">1. The system should successfully save the record and display a confirmation pop-up message (e.g., “Record saved successfully”).
2. The saved record should be added to the Region Master Details list on the left panel.
3. The newly saved record should be searchable using the search box.
</t>
  </si>
  <si>
    <t>Region_Master_14</t>
  </si>
  <si>
    <r>
      <t xml:space="preserve">Validate </t>
    </r>
    <r>
      <rPr>
        <b/>
        <sz val="11"/>
        <color theme="1"/>
        <rFont val="Calibri"/>
        <family val="2"/>
        <scheme val="minor"/>
      </rPr>
      <t>Save</t>
    </r>
    <r>
      <rPr>
        <sz val="11"/>
        <color theme="1"/>
        <rFont val="Calibri"/>
        <family val="2"/>
        <scheme val="minor"/>
      </rPr>
      <t xml:space="preserve"> button functionality when only mandatory fields are filled (non-mandatory fields left blank) on the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</si>
  <si>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Enter valid values in mandatory fields only and leave non-mandatory fields blank.
5. Click Save and observe system behavior.</t>
    </r>
  </si>
  <si>
    <r>
      <rPr>
        <b/>
        <sz val="11"/>
        <color theme="1"/>
        <rFont val="Calibri"/>
        <family val="2"/>
        <scheme val="minor"/>
      </rPr>
      <t>Name</t>
    </r>
    <r>
      <rPr>
        <sz val="11"/>
        <color theme="1"/>
        <rFont val="Calibri"/>
        <family val="2"/>
        <scheme val="minor"/>
      </rPr>
      <t xml:space="preserve"> - Testing Region Master3
</t>
    </r>
    <r>
      <rPr>
        <b/>
        <sz val="11"/>
        <color theme="1"/>
        <rFont val="Calibri"/>
        <family val="2"/>
        <scheme val="minor"/>
      </rPr>
      <t>Display Status</t>
    </r>
    <r>
      <rPr>
        <sz val="11"/>
        <color theme="1"/>
        <rFont val="Calibri"/>
        <family val="2"/>
        <scheme val="minor"/>
      </rPr>
      <t xml:space="preserve"> - Display
</t>
    </r>
  </si>
  <si>
    <t>1. Record should be saved successfully with a success message.
2. The newly saved record should appear in the left-side Region list.
3. The saved record should be searchable using the search box.</t>
  </si>
  <si>
    <t>1. Region Master details are saved successfully and a success message is displayed.
2. The newly saved record appears in the left-side panel list.
3. The saved record is searchable.</t>
  </si>
  <si>
    <t>Region_Master_15</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</si>
  <si>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 xml:space="preserve">Non-mandatory fields are filled and mandatory fields are left blank </t>
    </r>
    <r>
      <rPr>
        <sz val="11"/>
        <color theme="1"/>
        <rFont val="Calibri"/>
        <family val="2"/>
        <scheme val="minor"/>
      </rPr>
      <t>on the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</si>
  <si>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Enter valid values in Non - mandatory fields only and leave mandatory fields blank.
5. Click Save and observe system behavior.</t>
    </r>
  </si>
  <si>
    <t>1. The record must not be saved if any mandatory field is left blank.
2. System should display validation popup for each mandatory field:
 -&gt; Name
 -&gt; Display Status</t>
  </si>
  <si>
    <t>Region_Master_16</t>
  </si>
  <si>
    <r>
      <t xml:space="preserve">Validate </t>
    </r>
    <r>
      <rPr>
        <b/>
        <sz val="11"/>
        <color theme="1"/>
        <rFont val="Calibri"/>
        <family val="2"/>
        <scheme val="minor"/>
      </rPr>
      <t>Save</t>
    </r>
    <r>
      <rPr>
        <sz val="11"/>
        <color theme="1"/>
        <rFont val="Calibri"/>
        <family val="2"/>
        <scheme val="minor"/>
      </rPr>
      <t xml:space="preserve"> functionality when all fields are left blank on the Region Master page.</t>
    </r>
  </si>
  <si>
    <r>
      <t xml:space="preserve">1. Open the application and log in 
2. Select Branch: AHMEDABAD, Export Type: Export Sea, FY 2025–2026, click OK.
3. Navigate to </t>
    </r>
    <r>
      <rPr>
        <b/>
        <sz val="11"/>
        <color theme="1"/>
        <rFont val="Calibri"/>
        <family val="2"/>
        <scheme val="minor"/>
      </rPr>
      <t>Masters -&gt; Regional Master -&gt; Region Master</t>
    </r>
    <r>
      <rPr>
        <sz val="11"/>
        <color theme="1"/>
        <rFont val="Calibri"/>
        <family val="2"/>
        <scheme val="minor"/>
      </rPr>
      <t xml:space="preserve">
4. Leave all fields blank and Click Save.</t>
    </r>
  </si>
  <si>
    <t>1. Record should not be saved.
2. Mandatory field validation message should appear.</t>
  </si>
  <si>
    <t>Region_Master_17</t>
  </si>
  <si>
    <r>
      <t xml:space="preserve">Validate the functionality of </t>
    </r>
    <r>
      <rPr>
        <b/>
        <sz val="11"/>
        <color theme="1"/>
        <rFont val="Calibri"/>
        <family val="2"/>
        <scheme val="minor"/>
      </rPr>
      <t>Modify</t>
    </r>
    <r>
      <rPr>
        <sz val="11"/>
        <color theme="1"/>
        <rFont val="Calibri"/>
        <family val="2"/>
        <scheme val="minor"/>
      </rPr>
      <t xml:space="preserve"> button on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</si>
  <si>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</si>
  <si>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Region_Master_18</t>
  </si>
  <si>
    <r>
      <t xml:space="preserve">Validate the functionality of </t>
    </r>
    <r>
      <rPr>
        <b/>
        <sz val="11"/>
        <color theme="1"/>
        <rFont val="Calibri"/>
        <family val="2"/>
        <scheme val="minor"/>
      </rPr>
      <t>Query</t>
    </r>
    <r>
      <rPr>
        <sz val="11"/>
        <color theme="1"/>
        <rFont val="Calibri"/>
        <family val="2"/>
        <scheme val="minor"/>
      </rPr>
      <t xml:space="preserve"> button on the Region Master page.</t>
    </r>
  </si>
  <si>
    <r>
      <t xml:space="preserve">Validate the functionality of </t>
    </r>
    <r>
      <rPr>
        <b/>
        <sz val="11"/>
        <color theme="1"/>
        <rFont val="Calibri"/>
        <family val="2"/>
        <scheme val="minor"/>
      </rPr>
      <t>Clear</t>
    </r>
    <r>
      <rPr>
        <sz val="11"/>
        <color theme="1"/>
        <rFont val="Calibri"/>
        <family val="2"/>
        <scheme val="minor"/>
      </rPr>
      <t xml:space="preserve"> button on the Region Master page.</t>
    </r>
  </si>
  <si>
    <t>Region_Master_19</t>
  </si>
  <si>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Enter values in all or few input fields.
5. Click the Clear button and observe the system behavior.</t>
    </r>
  </si>
  <si>
    <r>
      <t xml:space="preserve">Validate the functionality of the </t>
    </r>
    <r>
      <rPr>
        <b/>
        <sz val="11"/>
        <color theme="1"/>
        <rFont val="Calibri"/>
        <family val="2"/>
        <scheme val="minor"/>
      </rPr>
      <t xml:space="preserve">Page Responsiveness </t>
    </r>
    <r>
      <rPr>
        <sz val="11"/>
        <color theme="1"/>
        <rFont val="Calibri"/>
        <family val="2"/>
        <scheme val="minor"/>
      </rPr>
      <t>on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</si>
  <si>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</si>
  <si>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Region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</si>
  <si>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Region_Master_20</t>
  </si>
  <si>
    <r>
      <t xml:space="preserve">Validate the functionality of </t>
    </r>
    <r>
      <rPr>
        <b/>
        <sz val="11"/>
        <color theme="1"/>
        <rFont val="Calibri"/>
        <family val="2"/>
        <scheme val="minor"/>
      </rPr>
      <t>Keyword Action</t>
    </r>
    <r>
      <rPr>
        <sz val="11"/>
        <color theme="1"/>
        <rFont val="Calibri"/>
        <family val="2"/>
        <scheme val="minor"/>
      </rPr>
      <t xml:space="preserve"> on the Region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</si>
  <si>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Use keyword button to fill the foam and observe the system behaviour.</t>
    </r>
  </si>
  <si>
    <t>Region_Master_21</t>
  </si>
  <si>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</si>
  <si>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Observe the Success Pop-up and Error Pop-up Readibility.</t>
    </r>
  </si>
  <si>
    <t>Region_Master_22</t>
  </si>
  <si>
    <t>Region_Master_23</t>
  </si>
  <si>
    <r>
      <t>Validate the functionality of</t>
    </r>
    <r>
      <rPr>
        <b/>
        <sz val="11"/>
        <color theme="1"/>
        <rFont val="Calibri"/>
        <family val="2"/>
        <scheme val="minor"/>
      </rPr>
      <t xml:space="preserve"> Session timeout</t>
    </r>
    <r>
      <rPr>
        <sz val="11"/>
        <color theme="1"/>
        <rFont val="Calibri"/>
        <family val="2"/>
        <scheme val="minor"/>
      </rPr>
      <t xml:space="preserve"> of the Region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</si>
  <si>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r>
      <rPr>
        <sz val="11"/>
        <color theme="1"/>
        <rFont val="Calibri"/>
        <family val="2"/>
        <scheme val="minor"/>
      </rPr>
      <t>4. Leave the Region Master page idle for long time and observe the system behaviour.</t>
    </r>
  </si>
  <si>
    <t>BA-228</t>
  </si>
  <si>
    <t>BA-229</t>
  </si>
  <si>
    <t>BA-230</t>
  </si>
  <si>
    <t>BA-231</t>
  </si>
  <si>
    <t>BA-232</t>
  </si>
  <si>
    <t>BA-235</t>
  </si>
  <si>
    <t>BA-236</t>
  </si>
  <si>
    <r>
      <t xml:space="preserve">1. Functionality is not working as expected. </t>
    </r>
    <r>
      <rPr>
        <b/>
        <sz val="11"/>
        <color theme="1"/>
        <rFont val="Calibri"/>
        <family val="2"/>
        <scheme val="minor"/>
      </rPr>
      <t>Textbox is accepting invalid inputs - Only space values, Special characters, Numeric value.</t>
    </r>
    <r>
      <rPr>
        <sz val="11"/>
        <color theme="1"/>
        <rFont val="Calibri"/>
        <family val="2"/>
        <scheme val="minor"/>
      </rPr>
      <t xml:space="preserve">
3. Textbox character limit of 50 characters is correctly implemented.
Note:  It should accept only Alphabetic characters with spaces and special character such as hyphens(-) and apostrophes (&amp;).</t>
    </r>
  </si>
  <si>
    <t>BA-237</t>
  </si>
  <si>
    <r>
      <t xml:space="preserve">1. Functionality is not working as expected. </t>
    </r>
    <r>
      <rPr>
        <b/>
        <sz val="11"/>
        <color theme="1"/>
        <rFont val="Calibri"/>
        <family val="2"/>
        <scheme val="minor"/>
      </rPr>
      <t>Textbox is accepting invalid inputs - Only space values, Special characters, Numeric value.</t>
    </r>
    <r>
      <rPr>
        <sz val="11"/>
        <color theme="1"/>
        <rFont val="Calibri"/>
        <family val="2"/>
        <scheme val="minor"/>
      </rPr>
      <t xml:space="preserve">
3. Textbox character limit of 20 characters is correctly implemented.
Note: Nationality textbox should accept only alphabetic characters with spaces and in special character hyphens (-) and apostrophes(&amp;).</t>
    </r>
  </si>
  <si>
    <t>BA-238</t>
  </si>
  <si>
    <t>BA-239</t>
  </si>
  <si>
    <t>BA-240</t>
  </si>
  <si>
    <t>BA-241</t>
  </si>
  <si>
    <r>
      <rPr>
        <b/>
        <sz val="11"/>
        <color theme="1"/>
        <rFont val="Calibri"/>
        <family val="2"/>
        <scheme val="minor"/>
      </rPr>
      <t>Region/Sector Incharge</t>
    </r>
    <r>
      <rPr>
        <sz val="11"/>
        <color theme="1"/>
        <rFont val="Calibri"/>
        <family val="2"/>
        <scheme val="minor"/>
      </rPr>
      <t xml:space="preserve"> - At
</t>
    </r>
    <r>
      <rPr>
        <b/>
        <sz val="11"/>
        <color theme="1"/>
        <rFont val="Calibri"/>
        <family val="2"/>
        <scheme val="minor"/>
      </rPr>
      <t xml:space="preserve">Note </t>
    </r>
    <r>
      <rPr>
        <sz val="11"/>
        <color theme="1"/>
        <rFont val="Calibri"/>
        <family val="2"/>
        <scheme val="minor"/>
      </rPr>
      <t>- Testing Data</t>
    </r>
  </si>
  <si>
    <t>BA-242</t>
  </si>
  <si>
    <t>FF_Port_Master_01</t>
  </si>
  <si>
    <t xml:space="preserve">Regional Master -&gt; FF Port Master
</t>
  </si>
  <si>
    <r>
      <t xml:space="preserve">Validate the functionality of </t>
    </r>
    <r>
      <rPr>
        <b/>
        <sz val="11"/>
        <color theme="1"/>
        <rFont val="Calibri"/>
        <family val="2"/>
        <scheme val="minor"/>
      </rPr>
      <t xml:space="preserve">FF Port 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</si>
  <si>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 xml:space="preserve">FF Port Master
</t>
    </r>
  </si>
  <si>
    <r>
      <t xml:space="preserve">On Mouse Hovering action on </t>
    </r>
    <r>
      <rPr>
        <b/>
        <sz val="11"/>
        <color theme="1"/>
        <rFont val="Calibri"/>
        <family val="2"/>
        <scheme val="minor"/>
      </rPr>
      <t>Masters -&gt; Regional Master -&gt; FF Port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</si>
  <si>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FF Port Master </t>
    </r>
    <r>
      <rPr>
        <sz val="11"/>
        <color theme="1"/>
        <rFont val="Calibri"/>
        <family val="2"/>
        <scheme val="minor"/>
      </rPr>
      <t>Page is opening properly.</t>
    </r>
  </si>
  <si>
    <t>FF_Port_Master_02</t>
  </si>
  <si>
    <r>
      <t xml:space="preserve">Validate the functionality of </t>
    </r>
    <r>
      <rPr>
        <b/>
        <sz val="11"/>
        <color theme="1"/>
        <rFont val="Calibri"/>
        <family val="2"/>
        <scheme val="minor"/>
      </rPr>
      <t>'Select Country'</t>
    </r>
    <r>
      <rPr>
        <sz val="11"/>
        <color theme="1"/>
        <rFont val="Calibri"/>
        <family val="2"/>
        <scheme val="minor"/>
      </rPr>
      <t xml:space="preserve">  Search textbox of the left side panel in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</si>
  <si>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any country value in the Search textbox on the left panel and check System behaviour</t>
    </r>
    <r>
      <rPr>
        <b/>
        <sz val="11"/>
        <color theme="1"/>
        <rFont val="Calibri"/>
        <family val="2"/>
        <scheme val="minor"/>
      </rPr>
      <t xml:space="preserve">
</t>
    </r>
  </si>
  <si>
    <t>Search Data:
 -&gt; India
 -&gt; Sri Lank etc.</t>
  </si>
  <si>
    <t>1. The Select Country search textbox should filter and return all matching records based on the entered keyword.
2. Search should support:
 -&gt; Full match
 -&gt; Partial match
3. The left-side country list should update automatically based on the entered search text.</t>
  </si>
  <si>
    <t>BA-243</t>
  </si>
  <si>
    <t>FF_Port_Master_03</t>
  </si>
  <si>
    <r>
      <t xml:space="preserve">Validate the functionality of </t>
    </r>
    <r>
      <rPr>
        <b/>
        <sz val="11"/>
        <color theme="1"/>
        <rFont val="Calibri"/>
        <family val="2"/>
        <scheme val="minor"/>
      </rPr>
      <t>'SEA Port Name'</t>
    </r>
    <r>
      <rPr>
        <sz val="11"/>
        <color theme="1"/>
        <rFont val="Calibri"/>
        <family val="2"/>
        <scheme val="minor"/>
      </rPr>
      <t xml:space="preserve">  Search textbox of the left side panel in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</si>
  <si>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any Sea Port value in the textbox and check System behaviour</t>
    </r>
    <r>
      <rPr>
        <b/>
        <sz val="11"/>
        <color theme="1"/>
        <rFont val="Calibri"/>
        <family val="2"/>
        <scheme val="minor"/>
      </rPr>
      <t xml:space="preserve">
</t>
    </r>
  </si>
  <si>
    <t>Search Data:
 -&gt; AMBROSE CHANNEL LIGHT
 -&gt; ROVENSKO POD TROSKAMI
 -&gt; OYE</t>
  </si>
  <si>
    <t>1. The Sea Port search textbox should filter and return all matching records based on the entered keyword.
2. Search should support:
 -&gt; Full match
 -&gt; Partial match</t>
  </si>
  <si>
    <r>
      <t xml:space="preserve">1. The search textbox filters results only when the entered keyword matches the first word of the country name.
</t>
    </r>
    <r>
      <rPr>
        <b/>
        <sz val="11"/>
        <color theme="1"/>
        <rFont val="Calibri"/>
        <family val="2"/>
        <scheme val="minor"/>
      </rPr>
      <t>Example: 'French Polynesia' exists in the list.
 -&gt; Searching "French" returns results.
 -&gt; Searching "Polynesia" returns no results.</t>
    </r>
    <r>
      <rPr>
        <sz val="11"/>
        <color theme="1"/>
        <rFont val="Calibri"/>
        <family val="2"/>
        <scheme val="minor"/>
      </rPr>
      <t xml:space="preserve">
2. Partial match works only from the beginning of the first word, not for subsequent words.
Note: Select Country - It should be Search Country.</t>
    </r>
  </si>
  <si>
    <r>
      <t xml:space="preserve">1. The search textbox filters results only when the entered keyword matches the first word of the Port name.
</t>
    </r>
    <r>
      <rPr>
        <b/>
        <sz val="11"/>
        <color theme="1"/>
        <rFont val="Calibri"/>
        <family val="2"/>
        <scheme val="minor"/>
      </rPr>
      <t>Example: 'AMBROSE CHANNEL LIGHT' exists in the list.
 -&gt; Searching 'AMBROSE' returns results.
 -&gt; Searching 'CHANNEL &amp; LIGHT' returns no results.</t>
    </r>
    <r>
      <rPr>
        <sz val="11"/>
        <color theme="1"/>
        <rFont val="Calibri"/>
        <family val="2"/>
        <scheme val="minor"/>
      </rPr>
      <t xml:space="preserve">
2. Partial match works only from the beginning of the first word, not for subsequent words.</t>
    </r>
  </si>
  <si>
    <t>BA-245</t>
  </si>
  <si>
    <t>FF_Port_Master_04</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</si>
  <si>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FF Port Master Page (left panel Country List).</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</si>
  <si>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On the left panel </t>
    </r>
    <r>
      <rPr>
        <b/>
        <sz val="11"/>
        <color theme="1"/>
        <rFont val="Calibri"/>
        <family val="2"/>
        <scheme val="minor"/>
      </rPr>
      <t>(Country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</si>
  <si>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r>
      <t>1. Sorting: Country</t>
    </r>
    <r>
      <rPr>
        <b/>
        <sz val="11"/>
        <color theme="1"/>
        <rFont val="Calibri"/>
        <family val="2"/>
        <scheme val="minor"/>
      </rPr>
      <t xml:space="preserve"> </t>
    </r>
    <r>
      <rPr>
        <sz val="11"/>
        <color theme="1"/>
        <rFont val="Calibri"/>
        <family val="2"/>
        <scheme val="minor"/>
      </rPr>
      <t>list sorts correctly in ascending and descending order.
2. When all column checkboxes are selected, all columns should be displayed.
3. When all column checkboxes are deselected, all columns should be hidden</t>
    </r>
  </si>
  <si>
    <r>
      <t xml:space="preserve">1. Sorting: List sorts correctly in both Ascending and Descending order. 
2. Column Checkbox when all checkboxes are selected, all columns display as expected. </t>
    </r>
    <r>
      <rPr>
        <b/>
        <sz val="11"/>
        <color theme="1"/>
        <rFont val="Calibri"/>
        <family val="2"/>
        <scheme val="minor"/>
      </rPr>
      <t>However, when all checkboxes are deselected, one column remains visible.</t>
    </r>
  </si>
  <si>
    <t>FF_Port_Master_05</t>
  </si>
  <si>
    <t>Selected Records: 
 -&gt; Afghanistan
 -&gt; India</t>
  </si>
  <si>
    <r>
      <t xml:space="preserve">Validate whether the selected </t>
    </r>
    <r>
      <rPr>
        <b/>
        <sz val="11"/>
        <color theme="1"/>
        <rFont val="Calibri"/>
        <family val="2"/>
        <scheme val="minor"/>
      </rPr>
      <t>Country</t>
    </r>
    <r>
      <rPr>
        <sz val="11"/>
        <color theme="1"/>
        <rFont val="Calibri"/>
        <family val="2"/>
        <scheme val="minor"/>
      </rPr>
      <t xml:space="preserve"> from the left-side Country list is correctly reflected in the Sea Port Details Grid.</t>
    </r>
  </si>
  <si>
    <r>
      <t xml:space="preserve">1. Open the application and log in.
2. Select Branch: AHMEDABAD, Export Type: Export Sea, FY: 2025–2026, and click OK.
3. Navigate to </t>
    </r>
    <r>
      <rPr>
        <b/>
        <sz val="11"/>
        <color theme="1"/>
        <rFont val="Calibri"/>
        <family val="2"/>
        <scheme val="minor"/>
      </rPr>
      <t>Masters → Regional Master → FF Port Master.</t>
    </r>
    <r>
      <rPr>
        <sz val="11"/>
        <color theme="1"/>
        <rFont val="Calibri"/>
        <family val="2"/>
        <scheme val="minor"/>
      </rPr>
      <t xml:space="preserve">
4. From the left-side Country List panel, select any country and verify that the corresponding port details are displayed in the Sea Port Details Grid.
5. Now select a different country and confirm that the grid updates to show the new country’s ports.
6. Verify that the previously selected country returns to its default (non-highlighted) color.</t>
    </r>
  </si>
  <si>
    <r>
      <t xml:space="preserve">1. When a country is selected from the left panel:
</t>
    </r>
    <r>
      <rPr>
        <b/>
        <sz val="11"/>
        <color theme="1"/>
        <rFont val="Calibri"/>
        <family val="2"/>
        <scheme val="minor"/>
      </rPr>
      <t>The Sea Port Details Grid should display:</t>
    </r>
    <r>
      <rPr>
        <sz val="11"/>
        <color theme="1"/>
        <rFont val="Calibri"/>
        <family val="2"/>
        <scheme val="minor"/>
      </rPr>
      <t xml:space="preserve">
 -&gt; All ports mapped to the selected country
 -&gt; An updated list of port names
 -&gt; Correct total port count entries
2. On selecting another country:
 -&gt; The grid should refresh immediately
 -&gt; New country-specific port details should appear
3. The total port count should update accurately
4. No previous country’s port details should remain in the grid.
5. The previously selected country should automatically return to its default (non-highlighted) color status when a new country is selected.</t>
    </r>
  </si>
  <si>
    <r>
      <t xml:space="preserve">1. The functionality is working as expected.
2. The selected country is reflected correctly in the grid, and the port entries count updates based on the selected country.
</t>
    </r>
    <r>
      <rPr>
        <b/>
        <sz val="11"/>
        <color theme="1"/>
        <rFont val="Calibri"/>
        <family val="2"/>
        <scheme val="minor"/>
      </rPr>
      <t>Observation:
The previously selected country is not returning to its default color and remains highlighted in green even after another country is selected.</t>
    </r>
  </si>
  <si>
    <t>FF_Port_Master_06</t>
  </si>
  <si>
    <r>
      <t>1. Open the application and log in.
2. Select Branch: AHMEDABAD, Export Type: Export Sea, FY: 2025–2026, and click OK.
3. Navigate to</t>
    </r>
    <r>
      <rPr>
        <b/>
        <sz val="11"/>
        <color theme="1"/>
        <rFont val="Calibri"/>
        <family val="2"/>
        <scheme val="minor"/>
      </rPr>
      <t xml:space="preserve"> Masters → Regional Master → FF Port Master.</t>
    </r>
    <r>
      <rPr>
        <sz val="11"/>
        <color theme="1"/>
        <rFont val="Calibri"/>
        <family val="2"/>
        <scheme val="minor"/>
      </rPr>
      <t xml:space="preserve">
4. In the Country List (Left-side panel), click Select for any existing country.
5. Verify the Sea Port Details Grid is populated for the selected country and from the Grid View Panel, click Select on any displayed port record.
6. Observe whether the selected row values are displayed correctly in the following Sea Port input textboxes.
7. Check the Total Entry Count label and verify it reflects the correct number of records remaining in the Grid View.</t>
    </r>
  </si>
  <si>
    <t>1. Any existing Country from the Country List
2. Any Port record displayed in the Sea Port Grid for that country</t>
  </si>
  <si>
    <t xml:space="preserve">1. When a record is selected from the Sea Port Grid:
 -&gt; All corresponding port details must populate correctly in the Sea Port input fields.
2. The Total Entry Count must update dynamically based on the number of records available in the Grid View.
 -&gt; If the Grid View is empty (no records), the Entry Count must be 0. </t>
  </si>
  <si>
    <r>
      <t xml:space="preserve">1. Functionality is not working as expected.
2. The selected record values are correctly reflected in the corresponding textboxes.
</t>
    </r>
    <r>
      <rPr>
        <b/>
        <sz val="11"/>
        <color theme="1"/>
        <rFont val="Calibri"/>
        <family val="2"/>
        <scheme val="minor"/>
      </rPr>
      <t>3. The Total Entry Count still displays a number even when the Grid View panel shows no records.</t>
    </r>
  </si>
  <si>
    <t>FF_Port_Master_07</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</si>
  <si>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in Sea Port details Grid View Panel for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</si>
  <si>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In the Country List (Left-side panel), click Select for any existing country.
5.  In the Grid View Panel Click -&gt;  
 -&gt; Sort Ascending and verify list order.
 -&gt; Click Sort Descending and verify list order.
 -&gt; Checkboxes: select all checkboxes all columns visible
 -&gt; deselect all - all columns hidden.</t>
    </r>
  </si>
  <si>
    <t>1. Sorting: Records sorts correctly in ascending and descending order.
2. When all column checkboxes are selected, all columns should be displayed.
3. When all column checkboxes are deselected, all columns should be hidden</t>
  </si>
  <si>
    <r>
      <t xml:space="preserve">1. Sorting: Records sorts correctly in both Ascending and Descending order. 
2. Column Checkbox when all checkboxes are selected, all columns display as expected. </t>
    </r>
    <r>
      <rPr>
        <b/>
        <sz val="11"/>
        <color theme="1"/>
        <rFont val="Calibri"/>
        <family val="2"/>
        <scheme val="minor"/>
      </rPr>
      <t>However, when all checkboxes are deselected, one column remains visible.</t>
    </r>
  </si>
  <si>
    <t>FF_Port_Master_08</t>
  </si>
  <si>
    <r>
      <t xml:space="preserve">Validate the functionality of </t>
    </r>
    <r>
      <rPr>
        <b/>
        <sz val="11"/>
        <color theme="1"/>
        <rFont val="Calibri"/>
        <family val="2"/>
        <scheme val="minor"/>
      </rPr>
      <t>'Country'</t>
    </r>
    <r>
      <rPr>
        <sz val="11"/>
        <color theme="1"/>
        <rFont val="Calibri"/>
        <family val="2"/>
        <scheme val="minor"/>
      </rPr>
      <t xml:space="preserve"> textbox 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</si>
  <si>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select a value from the Autosuggest dropdown and oberve the system behaviour.</t>
    </r>
  </si>
  <si>
    <r>
      <rPr>
        <b/>
        <sz val="11"/>
        <color theme="1"/>
        <rFont val="Calibri"/>
        <family val="2"/>
        <scheme val="minor"/>
      </rPr>
      <t>Textbox</t>
    </r>
    <r>
      <rPr>
        <sz val="11"/>
        <color theme="1"/>
        <rFont val="Calibri"/>
        <family val="2"/>
        <scheme val="minor"/>
      </rPr>
      <t xml:space="preserve"> - Country</t>
    </r>
    <r>
      <rPr>
        <b/>
        <sz val="11"/>
        <color theme="1"/>
        <rFont val="Calibri"/>
        <family val="2"/>
        <scheme val="minor"/>
      </rPr>
      <t xml:space="preserve">
Manual Inputs:</t>
    </r>
    <r>
      <rPr>
        <sz val="11"/>
        <color theme="1"/>
        <rFont val="Calibri"/>
        <family val="2"/>
        <scheme val="minor"/>
      </rPr>
      <t xml:space="preserve">
Space, special characters, numeric values, alphabets etc.
</t>
    </r>
    <r>
      <rPr>
        <b/>
        <sz val="11"/>
        <color theme="1"/>
        <rFont val="Calibri"/>
        <family val="2"/>
        <scheme val="minor"/>
      </rPr>
      <t>Autosuggest Inputs:</t>
    </r>
    <r>
      <rPr>
        <sz val="11"/>
        <color theme="1"/>
        <rFont val="Calibri"/>
        <family val="2"/>
        <scheme val="minor"/>
      </rPr>
      <t xml:space="preserve">
India, Sri Lanka, Australia etc.</t>
    </r>
  </si>
  <si>
    <r>
      <t xml:space="preserve">1. The </t>
    </r>
    <r>
      <rPr>
        <b/>
        <sz val="11"/>
        <color theme="1"/>
        <rFont val="Calibri"/>
        <family val="2"/>
        <scheme val="minor"/>
      </rPr>
      <t>Country</t>
    </r>
    <r>
      <rPr>
        <sz val="11"/>
        <color theme="1"/>
        <rFont val="Calibri"/>
        <family val="2"/>
        <scheme val="minor"/>
      </rPr>
      <t xml:space="preserve"> textbox should not accept manual input of any kind.
2. Only values selected from the Autosuggest dropdown should be allowed.
3. If the user types any invalid or non-suggested value, the textbox should auto-clear.</t>
    </r>
  </si>
  <si>
    <r>
      <t xml:space="preserve">1. The functionality is working as expected
2. </t>
    </r>
    <r>
      <rPr>
        <b/>
        <sz val="11"/>
        <color theme="1"/>
        <rFont val="Calibri"/>
        <family val="2"/>
        <scheme val="minor"/>
      </rPr>
      <t>Country</t>
    </r>
    <r>
      <rPr>
        <sz val="11"/>
        <color theme="1"/>
        <rFont val="Calibri"/>
        <family val="2"/>
        <scheme val="minor"/>
      </rPr>
      <t xml:space="preserve"> textbox is not accepting any manual input.
</t>
    </r>
  </si>
  <si>
    <t>FF_Port_Master_09</t>
  </si>
  <si>
    <r>
      <t xml:space="preserve">Validate the functionality of </t>
    </r>
    <r>
      <rPr>
        <b/>
        <sz val="11"/>
        <color theme="1"/>
        <rFont val="Calibri"/>
        <family val="2"/>
        <scheme val="minor"/>
      </rPr>
      <t>'State'</t>
    </r>
    <r>
      <rPr>
        <sz val="11"/>
        <color theme="1"/>
        <rFont val="Calibri"/>
        <family val="2"/>
        <scheme val="minor"/>
      </rPr>
      <t xml:space="preserve"> textbox 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</si>
  <si>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&amp; Invalid value in state textbox and observe the system behaviour.</t>
    </r>
  </si>
  <si>
    <t>FF_Port_Master_10</t>
  </si>
  <si>
    <r>
      <t xml:space="preserve">Validate the functionality of </t>
    </r>
    <r>
      <rPr>
        <b/>
        <sz val="11"/>
        <color theme="1"/>
        <rFont val="Calibri"/>
        <family val="2"/>
        <scheme val="minor"/>
      </rPr>
      <t>'Zip Code'</t>
    </r>
    <r>
      <rPr>
        <sz val="11"/>
        <color theme="1"/>
        <rFont val="Calibri"/>
        <family val="2"/>
        <scheme val="minor"/>
      </rPr>
      <t xml:space="preserve"> textbox 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</si>
  <si>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&amp; Invalid value in Zip Code textbox and observe the system behaviour.</t>
    </r>
  </si>
  <si>
    <r>
      <rPr>
        <b/>
        <sz val="11"/>
        <color theme="1"/>
        <rFont val="Calibri"/>
        <family val="2"/>
        <scheme val="minor"/>
      </rPr>
      <t xml:space="preserve">Textbox </t>
    </r>
    <r>
      <rPr>
        <sz val="11"/>
        <color theme="1"/>
        <rFont val="Calibri"/>
        <family val="2"/>
        <scheme val="minor"/>
      </rPr>
      <t xml:space="preserve">- Zip Code
</t>
    </r>
    <r>
      <rPr>
        <b/>
        <sz val="11"/>
        <color theme="1"/>
        <rFont val="Calibri"/>
        <family val="2"/>
        <scheme val="minor"/>
      </rPr>
      <t>Valid Data</t>
    </r>
    <r>
      <rPr>
        <sz val="11"/>
        <color theme="1"/>
        <rFont val="Calibri"/>
        <family val="2"/>
        <scheme val="minor"/>
      </rPr>
      <t xml:space="preserve"> - Alphanumeric value with space and hyphen value.
</t>
    </r>
    <r>
      <rPr>
        <b/>
        <sz val="11"/>
        <color theme="1"/>
        <rFont val="Calibri"/>
        <family val="2"/>
        <scheme val="minor"/>
      </rPr>
      <t xml:space="preserve">Invalid data - </t>
    </r>
    <r>
      <rPr>
        <sz val="11"/>
        <color theme="1"/>
        <rFont val="Calibri"/>
        <family val="2"/>
        <scheme val="minor"/>
      </rPr>
      <t>Only space value, special character value</t>
    </r>
  </si>
  <si>
    <r>
      <t xml:space="preserve">1. The Zip Code textbox should accept:
 -&gt; </t>
    </r>
    <r>
      <rPr>
        <b/>
        <sz val="11"/>
        <color theme="1"/>
        <rFont val="Calibri"/>
        <family val="2"/>
        <scheme val="minor"/>
      </rPr>
      <t>Alphanumeric values with Space and Hyphen(-)</t>
    </r>
    <r>
      <rPr>
        <sz val="11"/>
        <color theme="1"/>
        <rFont val="Calibri"/>
        <family val="2"/>
        <scheme val="minor"/>
      </rPr>
      <t xml:space="preserve">
2. The textbox should NOT accept:
 -&gt; </t>
    </r>
    <r>
      <rPr>
        <b/>
        <sz val="11"/>
        <color theme="1"/>
        <rFont val="Calibri"/>
        <family val="2"/>
        <scheme val="minor"/>
      </rPr>
      <t>Only spaces and Special characters other than hyphen</t>
    </r>
    <r>
      <rPr>
        <sz val="11"/>
        <color theme="1"/>
        <rFont val="Calibri"/>
        <family val="2"/>
        <scheme val="minor"/>
      </rPr>
      <t xml:space="preserve">
3. Textbox limit should be maximum 15 characters.
4. No validation or error message should be displayed for valid formats</t>
    </r>
  </si>
  <si>
    <t>1. The functionality is not working as expected.
2. The textbox accepts only space value, special character.
3. Textbox is accepting more than 15 character value.</t>
  </si>
  <si>
    <t>FF_Port_Master_11</t>
  </si>
  <si>
    <r>
      <t xml:space="preserve">Validate the functionality of </t>
    </r>
    <r>
      <rPr>
        <b/>
        <sz val="11"/>
        <color theme="1"/>
        <rFont val="Calibri"/>
        <family val="2"/>
        <scheme val="minor"/>
      </rPr>
      <t>'Port Code'</t>
    </r>
    <r>
      <rPr>
        <sz val="11"/>
        <color theme="1"/>
        <rFont val="Calibri"/>
        <family val="2"/>
        <scheme val="minor"/>
      </rPr>
      <t xml:space="preserve"> textbox 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</si>
  <si>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&amp; Invalid value in Port Code textbox and observe the system behaviour.</t>
    </r>
  </si>
  <si>
    <r>
      <rPr>
        <b/>
        <sz val="11"/>
        <color theme="1"/>
        <rFont val="Calibri"/>
        <family val="2"/>
        <scheme val="minor"/>
      </rPr>
      <t xml:space="preserve">Textbox </t>
    </r>
    <r>
      <rPr>
        <sz val="11"/>
        <color theme="1"/>
        <rFont val="Calibri"/>
        <family val="2"/>
        <scheme val="minor"/>
      </rPr>
      <t xml:space="preserve">- Port Code
</t>
    </r>
    <r>
      <rPr>
        <b/>
        <sz val="11"/>
        <color theme="1"/>
        <rFont val="Calibri"/>
        <family val="2"/>
        <scheme val="minor"/>
      </rPr>
      <t>Valid Data</t>
    </r>
    <r>
      <rPr>
        <sz val="11"/>
        <color theme="1"/>
        <rFont val="Calibri"/>
        <family val="2"/>
        <scheme val="minor"/>
      </rPr>
      <t xml:space="preserve"> - Alphanumeric 
</t>
    </r>
    <r>
      <rPr>
        <b/>
        <sz val="11"/>
        <color theme="1"/>
        <rFont val="Calibri"/>
        <family val="2"/>
        <scheme val="minor"/>
      </rPr>
      <t xml:space="preserve">Invalid data - </t>
    </r>
    <r>
      <rPr>
        <sz val="11"/>
        <color theme="1"/>
        <rFont val="Calibri"/>
        <family val="2"/>
        <scheme val="minor"/>
      </rPr>
      <t>Only space value, special character value</t>
    </r>
  </si>
  <si>
    <t>1. Port Code textbox should accept only alphanumeric value.
2. It should not accept invalid value such as - 
 -&gt; Only Space value
 -&gt; Special character value
 -&gt; Letter of combination (Alphanumeric with speical character and space)
5.  Textbox limit should be maximum 5 characters.</t>
  </si>
  <si>
    <t>1. The functionality is not working as expected.
2. The textbox is accepting special character.
3. Textbox character limit of 5 characters is correctly implemented.</t>
  </si>
  <si>
    <t>FF_Port_Master_12</t>
  </si>
  <si>
    <r>
      <t xml:space="preserve">Validate the functionality of </t>
    </r>
    <r>
      <rPr>
        <b/>
        <sz val="11"/>
        <color theme="1"/>
        <rFont val="Calibri"/>
        <family val="2"/>
        <scheme val="minor"/>
      </rPr>
      <t>'Port Name'</t>
    </r>
    <r>
      <rPr>
        <sz val="11"/>
        <color theme="1"/>
        <rFont val="Calibri"/>
        <family val="2"/>
        <scheme val="minor"/>
      </rPr>
      <t xml:space="preserve"> textbox 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</si>
  <si>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&amp; Invalid value in Port Name textbox and observe the system behaviour.</t>
    </r>
  </si>
  <si>
    <t>FF_Port_Master_13</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</si>
  <si>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</si>
  <si>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valid data in all required input fields and click Save.
5. From the left-side Country list, select the recently saved record.
6. Observe the value displayed in the Entered By textbox.</t>
    </r>
  </si>
  <si>
    <t>1. The Entered By textbox should be auto-populated with the username of the user who created/saved the record.
2. The textbox must be read-only (not editable).
3. It should show the username as stored in the system.</t>
  </si>
  <si>
    <t>1. The functionality is working as expected.
2. The Entered By textbox correctly auto-populates with the username of the user who saved the record.</t>
  </si>
  <si>
    <t>FF_Port_Master_14</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</si>
  <si>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</si>
  <si>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valid data in all required input fields and click Save.
5. From the left-side Country list, select the recently saved record.
6. Observe the value displayed in the Entered Date textbox.</t>
    </r>
  </si>
  <si>
    <t>1. The Entered Date textbox should be auto-populated with the date on which the record was saved.
2. The date should follow the application’s standard date format, e.g., DD-MM-YYYY (or as per system settings).</t>
  </si>
  <si>
    <t>1. The functionality is working as expected.
2. The Entered Date textbox correctly displays the date when the record was saved.</t>
  </si>
  <si>
    <t>FF_Port_Master_15</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</si>
  <si>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</si>
  <si>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
4</t>
    </r>
    <r>
      <rPr>
        <sz val="11"/>
        <color theme="1"/>
        <rFont val="Calibri"/>
        <family val="2"/>
        <scheme val="minor"/>
      </rPr>
      <t>. From the left-side Country list, select any saved record.
5. Modify any field value and Click the modify button.
5. Re-select the same record from the left-side list and observe the value displayed in the Modified By textbox.</t>
    </r>
  </si>
  <si>
    <t>1. The functionality is working as expected.
2. The Modified By textbox correctly auto-populates with the username of the user who modified the record.</t>
  </si>
  <si>
    <t>FF_Port_Master_16</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</si>
  <si>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</si>
  <si>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
4</t>
    </r>
    <r>
      <rPr>
        <sz val="11"/>
        <color theme="1"/>
        <rFont val="Calibri"/>
        <family val="2"/>
        <scheme val="minor"/>
      </rPr>
      <t>. From the left-side Country list, select any saved record.
5. Modify any field value and Click the modify button.
5. Re-select the same record from the left-side list and observe the value displayed in the Modified Date textbox.</t>
    </r>
  </si>
  <si>
    <t>1. If the record has never been modified, the Modified By textbox should remain blank.
2. After modification, the Modified By textbox should display the username of the user who performed the modification.
3. The Modified By value should only update when a modification happens, not during initial record creation.</t>
  </si>
  <si>
    <t>1. Functionality is working as Expected.
2. The Modified Date textbox correctly displays the date when the record was modified.</t>
  </si>
  <si>
    <t>FF_Port_Master_17</t>
  </si>
  <si>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Are Filled in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</si>
  <si>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valid data in all fields and click the Save button and observe the system behavior.</t>
    </r>
  </si>
  <si>
    <t xml:space="preserve">1. The system should successfully save the record and display a confirmation pop-up message (e.g., “Record saved successfully”).
2. The saved record should be added to the Country list on the left panel.
3. The newly saved record should be searchable using the search box.
</t>
  </si>
  <si>
    <t>1. Functionality is working as Expected.
2. Record saved successfully and it is searchable.</t>
  </si>
  <si>
    <t>FF_Port_Master_18</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</si>
  <si>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xml:space="preserve"> (non-mandatory fields left blank) on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</si>
  <si>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values in All mandatory fields only and leave non-mandatory fields blank.
5. Click Save and observe system behavior.</t>
    </r>
  </si>
  <si>
    <r>
      <t>1. The record should be saved successfully and a success message should be displayed.
2</t>
    </r>
    <r>
      <rPr>
        <b/>
        <sz val="11"/>
        <color theme="1"/>
        <rFont val="Calibri"/>
        <family val="2"/>
        <scheme val="minor"/>
      </rPr>
      <t>. If any mandatory field is left blank:</t>
    </r>
    <r>
      <rPr>
        <sz val="11"/>
        <color theme="1"/>
        <rFont val="Calibri"/>
        <family val="2"/>
        <scheme val="minor"/>
      </rPr>
      <t xml:space="preserve">
 -&gt; The record should not be saved.
 -&gt; A validation message should be displayed for the missing field.
3. The newly saved record should appear in the left-side Country list and searchable using the search box.</t>
    </r>
  </si>
  <si>
    <t>1. Record saved successfully and a success message is displayed.
2. If any mandatory field is left blank, the validation message is displayed properly.
3. The newly saved record appears in the left-side panel list and searchable.</t>
  </si>
  <si>
    <t>FF_Port_Master_19</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</si>
  <si>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 xml:space="preserve">Non-mandatory fields are filled and mandatory fields are left blank </t>
    </r>
    <r>
      <rPr>
        <sz val="11"/>
        <color theme="1"/>
        <rFont val="Calibri"/>
        <family val="2"/>
        <scheme val="minor"/>
      </rPr>
      <t>on the FF Port Master Page.</t>
    </r>
  </si>
  <si>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Enter valid values in Non - mandatory fields only and leave mandatory fields blank.
5. Click Save and observe system behavior.</t>
    </r>
  </si>
  <si>
    <t xml:space="preserve">Fill all mandatory field and click on save button
</t>
  </si>
  <si>
    <t xml:space="preserve">Fill all Non- mandatory field and click on save button
</t>
  </si>
  <si>
    <t>1. The record must not be saved if any mandatory field is left blank.
2. System should display validation popup for each mandatory field.</t>
  </si>
  <si>
    <t>1. The functionality is working as expected.
2. The record is not getting saved  when any mandatory field left blank.</t>
  </si>
  <si>
    <t>FF_Port_Master_20</t>
  </si>
  <si>
    <r>
      <t xml:space="preserve">1. Open the application and log in 
2. Select Branch: AHMEDABAD, Export Type: Export Sea, FY 2025–2026, click OK.
3. Navigate to </t>
    </r>
    <r>
      <rPr>
        <b/>
        <sz val="11"/>
        <color theme="1"/>
        <rFont val="Calibri"/>
        <family val="2"/>
        <scheme val="minor"/>
      </rPr>
      <t>Masters -&gt; Regional Master -&gt; FF Port Master</t>
    </r>
    <r>
      <rPr>
        <sz val="11"/>
        <color theme="1"/>
        <rFont val="Calibri"/>
        <family val="2"/>
        <scheme val="minor"/>
      </rPr>
      <t xml:space="preserve">
4. Leave all fields blank and Click Save.</t>
    </r>
  </si>
  <si>
    <t>FF_Port_Master_21</t>
  </si>
  <si>
    <r>
      <t xml:space="preserve">Validate </t>
    </r>
    <r>
      <rPr>
        <b/>
        <sz val="11"/>
        <color theme="1"/>
        <rFont val="Calibri"/>
        <family val="2"/>
        <scheme val="minor"/>
      </rPr>
      <t>Save</t>
    </r>
    <r>
      <rPr>
        <sz val="11"/>
        <color theme="1"/>
        <rFont val="Calibri"/>
        <family val="2"/>
        <scheme val="minor"/>
      </rPr>
      <t xml:space="preserve"> functionality when all (</t>
    </r>
    <r>
      <rPr>
        <b/>
        <sz val="11"/>
        <color theme="1"/>
        <rFont val="Calibri"/>
        <family val="2"/>
        <scheme val="minor"/>
      </rPr>
      <t xml:space="preserve">Mandatory &amp; Non-Mandatory </t>
    </r>
    <r>
      <rPr>
        <sz val="11"/>
        <color theme="1"/>
        <rFont val="Calibri"/>
        <family val="2"/>
        <scheme val="minor"/>
      </rPr>
      <t>) fields are left blank on the FF Port Master Page.</t>
    </r>
  </si>
  <si>
    <r>
      <t xml:space="preserve">Validate the functionality of </t>
    </r>
    <r>
      <rPr>
        <b/>
        <sz val="11"/>
        <color theme="1"/>
        <rFont val="Calibri"/>
        <family val="2"/>
        <scheme val="minor"/>
      </rPr>
      <t>Modify</t>
    </r>
    <r>
      <rPr>
        <sz val="11"/>
        <color theme="1"/>
        <rFont val="Calibri"/>
        <family val="2"/>
        <scheme val="minor"/>
      </rPr>
      <t xml:space="preserve"> button on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</si>
  <si>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</si>
  <si>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r>
      <t xml:space="preserve">1. Modify button should be enabled only when, A record is selected and Its details are loaded into the textboxes.
2. </t>
    </r>
    <r>
      <rPr>
        <b/>
        <sz val="11"/>
        <color theme="1"/>
        <rFont val="Calibri"/>
        <family val="2"/>
        <scheme val="minor"/>
      </rPr>
      <t>Country</t>
    </r>
    <r>
      <rPr>
        <sz val="11"/>
        <color theme="1"/>
        <rFont val="Calibri"/>
        <family val="2"/>
        <scheme val="minor"/>
      </rPr>
      <t xml:space="preserve"> and</t>
    </r>
    <r>
      <rPr>
        <b/>
        <sz val="11"/>
        <color theme="1"/>
        <rFont val="Calibri"/>
        <family val="2"/>
        <scheme val="minor"/>
      </rPr>
      <t xml:space="preserve"> Port Code</t>
    </r>
    <r>
      <rPr>
        <sz val="11"/>
        <color theme="1"/>
        <rFont val="Calibri"/>
        <family val="2"/>
        <scheme val="minor"/>
      </rPr>
      <t xml:space="preserve"> fields must remain non-editable.
 -&gt; These fields should retain their original values and cannot be modified.
3. All other editable fields should allow modification.
4. On clicking Modify, the record should update successfully with new values.
5. The updated record should appear correctly in the left-side list.
6. The system should allow modifying the same record multiple times.</t>
    </r>
  </si>
  <si>
    <t>FF_Port_Master_22</t>
  </si>
  <si>
    <r>
      <t xml:space="preserve">Functionality is working as expected.
</t>
    </r>
    <r>
      <rPr>
        <b/>
        <sz val="11"/>
        <color theme="1"/>
        <rFont val="Calibri"/>
        <family val="2"/>
        <scheme val="minor"/>
      </rPr>
      <t>Note: Before Clearing the Page it is not asking confirmation. ( As per Use Cases)</t>
    </r>
  </si>
  <si>
    <r>
      <t xml:space="preserve">Functionality is working as expected.
Note: </t>
    </r>
    <r>
      <rPr>
        <b/>
        <sz val="11"/>
        <color theme="1"/>
        <rFont val="Calibri"/>
        <family val="2"/>
        <scheme val="minor"/>
      </rPr>
      <t>However, the system is not asking for confirmation before clearing the page.</t>
    </r>
  </si>
  <si>
    <r>
      <t xml:space="preserve">Functionality is not working as Expected.
Note - </t>
    </r>
    <r>
      <rPr>
        <b/>
        <sz val="11"/>
        <color theme="1"/>
        <rFont val="Calibri"/>
        <family val="2"/>
        <scheme val="minor"/>
      </rPr>
      <t>The system is not asking for confirmation before clearing the page.</t>
    </r>
  </si>
  <si>
    <r>
      <t>Functionality is working as Expected.
Note -</t>
    </r>
    <r>
      <rPr>
        <b/>
        <sz val="11"/>
        <color theme="1"/>
        <rFont val="Calibri"/>
        <family val="2"/>
        <scheme val="minor"/>
      </rPr>
      <t xml:space="preserve"> The system is not asking for confirmation before clearing the page.</t>
    </r>
  </si>
  <si>
    <r>
      <t xml:space="preserve">Validate the functionality of </t>
    </r>
    <r>
      <rPr>
        <b/>
        <sz val="11"/>
        <color theme="1"/>
        <rFont val="Calibri"/>
        <family val="2"/>
        <scheme val="minor"/>
      </rPr>
      <t>Clear</t>
    </r>
    <r>
      <rPr>
        <sz val="11"/>
        <color theme="1"/>
        <rFont val="Calibri"/>
        <family val="2"/>
        <scheme val="minor"/>
      </rPr>
      <t xml:space="preserve"> button on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</si>
  <si>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Enter values in all or few input fields.
5. Click the Clear button and observe the system behavior.</t>
    </r>
  </si>
  <si>
    <t>FF_Port_Master_23</t>
  </si>
  <si>
    <t>FF_Port_Master_24</t>
  </si>
  <si>
    <t>FF_Port_Master_25</t>
  </si>
  <si>
    <t>FF_Port_Master_26</t>
  </si>
  <si>
    <r>
      <t xml:space="preserve">Validate the functionality of the </t>
    </r>
    <r>
      <rPr>
        <b/>
        <sz val="11"/>
        <color theme="1"/>
        <rFont val="Calibri"/>
        <family val="2"/>
        <scheme val="minor"/>
      </rPr>
      <t xml:space="preserve">Page Responsiveness </t>
    </r>
    <r>
      <rPr>
        <sz val="11"/>
        <color theme="1"/>
        <rFont val="Calibri"/>
        <family val="2"/>
        <scheme val="minor"/>
      </rPr>
      <t>on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</si>
  <si>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</si>
  <si>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FF Port</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</si>
  <si>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1. Functionality is working as expected.
2. Country &amp; Port Code fields are disabled and cannot be modified.
3. Other fields can be modified, and changes reflect correctly after saving.
Note: Modify Button Remain active all time.</t>
  </si>
  <si>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Use keyword button to fill the foam and observe the system behaviour.</t>
    </r>
  </si>
  <si>
    <r>
      <t xml:space="preserve">Validate the functionality of </t>
    </r>
    <r>
      <rPr>
        <b/>
        <sz val="11"/>
        <color theme="1"/>
        <rFont val="Calibri"/>
        <family val="2"/>
        <scheme val="minor"/>
      </rPr>
      <t>Keyword Action</t>
    </r>
    <r>
      <rPr>
        <sz val="11"/>
        <color theme="1"/>
        <rFont val="Calibri"/>
        <family val="2"/>
        <scheme val="minor"/>
      </rPr>
      <t xml:space="preserve"> on the FF Port Master Page (Tab button).</t>
    </r>
  </si>
  <si>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</si>
  <si>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Observe the Success Pop-up and Error Pop-up Readibility.</t>
    </r>
  </si>
  <si>
    <r>
      <t>Validate the functionality of</t>
    </r>
    <r>
      <rPr>
        <b/>
        <sz val="11"/>
        <color theme="1"/>
        <rFont val="Calibri"/>
        <family val="2"/>
        <scheme val="minor"/>
      </rPr>
      <t xml:space="preserve"> Session timeout</t>
    </r>
    <r>
      <rPr>
        <sz val="11"/>
        <color theme="1"/>
        <rFont val="Calibri"/>
        <family val="2"/>
        <scheme val="minor"/>
      </rPr>
      <t xml:space="preserve"> of the FF Port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</si>
  <si>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FF Port Master
</t>
    </r>
    <r>
      <rPr>
        <sz val="11"/>
        <color theme="1"/>
        <rFont val="Calibri"/>
        <family val="2"/>
        <scheme val="minor"/>
      </rPr>
      <t>4. Leave the FF Port Master page idle for long time and observe the system behaviour.</t>
    </r>
  </si>
  <si>
    <r>
      <t>Validate whether the selected record from the</t>
    </r>
    <r>
      <rPr>
        <b/>
        <sz val="11"/>
        <color theme="1"/>
        <rFont val="Calibri"/>
        <family val="2"/>
        <scheme val="minor"/>
      </rPr>
      <t xml:space="preserve"> Sea Port Details Grid View Panel</t>
    </r>
    <r>
      <rPr>
        <sz val="11"/>
        <color theme="1"/>
        <rFont val="Calibri"/>
        <family val="2"/>
        <scheme val="minor"/>
      </rPr>
      <t xml:space="preserve"> is reflected in the corresponding </t>
    </r>
    <r>
      <rPr>
        <b/>
        <sz val="11"/>
        <color theme="1"/>
        <rFont val="Calibri"/>
        <family val="2"/>
        <scheme val="minor"/>
      </rPr>
      <t xml:space="preserve">Sea Port textboxes </t>
    </r>
    <r>
      <rPr>
        <sz val="11"/>
        <color theme="1"/>
        <rFont val="Calibri"/>
        <family val="2"/>
        <scheme val="minor"/>
      </rPr>
      <t>for FF Port Master Page.</t>
    </r>
  </si>
  <si>
    <t>BA-247</t>
  </si>
  <si>
    <t>BA-248</t>
  </si>
  <si>
    <t>BA-249</t>
  </si>
  <si>
    <t>BA-250</t>
  </si>
  <si>
    <t>Action_Master_01</t>
  </si>
  <si>
    <t xml:space="preserve">Regional Master -&gt; Action Master
</t>
  </si>
  <si>
    <r>
      <t xml:space="preserve">Validate the functionality of </t>
    </r>
    <r>
      <rPr>
        <b/>
        <sz val="11"/>
        <color theme="1"/>
        <rFont val="Calibri"/>
        <family val="2"/>
        <scheme val="minor"/>
      </rPr>
      <t>Action</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</si>
  <si>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Action</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</si>
  <si>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Regional Master -&gt; Action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</si>
  <si>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Action Master </t>
    </r>
    <r>
      <rPr>
        <sz val="11"/>
        <color theme="1"/>
        <rFont val="Calibri"/>
        <family val="2"/>
        <scheme val="minor"/>
      </rPr>
      <t>Page is opening properly.</t>
    </r>
  </si>
  <si>
    <t>Action_Master_02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</si>
  <si>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Action Master Page.</t>
    </r>
  </si>
  <si>
    <t>Search Data:
 -&gt; Schain Test Action Master</t>
  </si>
  <si>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Observe how the record list is filtered based on the entered search keyword.</t>
    </r>
  </si>
  <si>
    <r>
      <t xml:space="preserve">1. The Search textbox is working only for the first word of the record name.
</t>
    </r>
    <r>
      <rPr>
        <b/>
        <sz val="11"/>
        <color theme="1"/>
        <rFont val="Calibri"/>
        <family val="2"/>
        <scheme val="minor"/>
      </rPr>
      <t>Example record: “Schain Test Action Master”
-&gt; Searching “Schain” → Return Result
 -&gt; Searching “Test” →  No result
 -&gt; Searching “Action” →  No result
 -&gt; Searching “Master” →  No result</t>
    </r>
  </si>
  <si>
    <t xml:space="preserve">1. The search textbox should return all matching records:
 -&gt; Full match
 -&gt; Partial match
 -&gt; Case-insensitive match
2. Records displayed should automatically filter and sort according to the search keyword.
3. If no record matches, the list should show empty.
</t>
  </si>
  <si>
    <t>BA-251</t>
  </si>
  <si>
    <t>Action_Master_03</t>
  </si>
  <si>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</si>
  <si>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1. Sorting: List sorts correctly in ascending and descending order.
2. When all column checkboxes are selected, all columns should be displayed.
3. When all column checkboxes are deselected, all columns should be hidden</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</si>
  <si>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behavior in Left-Side List for Action Master Page.</t>
    </r>
  </si>
  <si>
    <t>Action_Master_04</t>
  </si>
  <si>
    <t>Selected Records: 
 -&gt; Schain Test Action Master
 -&gt; Action Testing Master1</t>
  </si>
  <si>
    <r>
      <t xml:space="preserve">Validate whether the Selected </t>
    </r>
    <r>
      <rPr>
        <b/>
        <sz val="11"/>
        <color theme="1"/>
        <rFont val="Calibri"/>
        <family val="2"/>
        <scheme val="minor"/>
      </rPr>
      <t>Record</t>
    </r>
    <r>
      <rPr>
        <sz val="11"/>
        <color theme="1"/>
        <rFont val="Calibri"/>
        <family val="2"/>
        <scheme val="minor"/>
      </rPr>
      <t xml:space="preserve"> from the Left-Side List is Reflected in the Action Details Grid</t>
    </r>
  </si>
  <si>
    <r>
      <t xml:space="preserve">1. Open the application and log in.
2. Select Branch: AHMEDABAD, Export Type: Export Sea, FY: 2025–2026, and click OK.
3. Navigate to </t>
    </r>
    <r>
      <rPr>
        <b/>
        <sz val="11"/>
        <color theme="1"/>
        <rFont val="Calibri"/>
        <family val="2"/>
        <scheme val="minor"/>
      </rPr>
      <t>Masters → Regional Master → Action Master.</t>
    </r>
    <r>
      <rPr>
        <sz val="11"/>
        <color theme="1"/>
        <rFont val="Calibri"/>
        <family val="2"/>
        <scheme val="minor"/>
      </rPr>
      <t xml:space="preserve">
4. From the left-side List panel, select any record and verify that the corresponding record are displayed in the Action Details Grid.
5. Now select a different record and confirm that the grid updates to show the new record.
6. Verify that the previously selected record returns to its default (non-highlighted) color.</t>
    </r>
  </si>
  <si>
    <t>1. When the user selects a record from the left-side list, the Action Details Grid must display the corresponding record details.
2. On selecting another record, the grid should refresh and show the new record.
3. The previously selected record should lose its highlight and return to default white color.
4. The Save button should remain enabled.</t>
  </si>
  <si>
    <r>
      <t xml:space="preserve">1. Functionality is not working as expected, </t>
    </r>
    <r>
      <rPr>
        <b/>
        <sz val="11"/>
        <color theme="1"/>
        <rFont val="Calibri"/>
        <family val="2"/>
        <scheme val="minor"/>
      </rPr>
      <t>Grid is not updating</t>
    </r>
    <r>
      <rPr>
        <sz val="11"/>
        <color theme="1"/>
        <rFont val="Calibri"/>
        <family val="2"/>
        <scheme val="minor"/>
      </rPr>
      <t xml:space="preserve"> - Selecting a record from the left-side list does NOT display the corresponding details in the</t>
    </r>
    <r>
      <rPr>
        <b/>
        <sz val="11"/>
        <color theme="1"/>
        <rFont val="Calibri"/>
        <family val="2"/>
        <scheme val="minor"/>
      </rPr>
      <t xml:space="preserve"> Action Details Grid</t>
    </r>
    <r>
      <rPr>
        <sz val="11"/>
        <color theme="1"/>
        <rFont val="Calibri"/>
        <family val="2"/>
        <scheme val="minor"/>
      </rPr>
      <t>.
2. The selected record remains highlighted in green, but when selecting another record, the previous record does NOT return to default (white).
3. On clicking a record in the left-side panel, the Save button becomes disabled, which is unexpected behavior.
4. Record selection is not redirecting or updating the Action Details Grid View panel.</t>
    </r>
  </si>
  <si>
    <t>BA-253</t>
  </si>
  <si>
    <t>Action_Master_05</t>
  </si>
  <si>
    <r>
      <t>Validate whether the selected record from the</t>
    </r>
    <r>
      <rPr>
        <b/>
        <sz val="11"/>
        <color theme="1"/>
        <rFont val="Calibri"/>
        <family val="2"/>
        <scheme val="minor"/>
      </rPr>
      <t xml:space="preserve"> Action Details Grid View Panel</t>
    </r>
    <r>
      <rPr>
        <sz val="11"/>
        <color theme="1"/>
        <rFont val="Calibri"/>
        <family val="2"/>
        <scheme val="minor"/>
      </rPr>
      <t xml:space="preserve"> is reflected in the corresponding </t>
    </r>
    <r>
      <rPr>
        <b/>
        <sz val="11"/>
        <color theme="1"/>
        <rFont val="Calibri"/>
        <family val="2"/>
        <scheme val="minor"/>
      </rPr>
      <t xml:space="preserve">textboxes </t>
    </r>
    <r>
      <rPr>
        <sz val="11"/>
        <color theme="1"/>
        <rFont val="Calibri"/>
        <family val="2"/>
        <scheme val="minor"/>
      </rPr>
      <t xml:space="preserve">in Action Master Page. </t>
    </r>
  </si>
  <si>
    <r>
      <t>1. Open the application and log in.
2. Select Branch: AHMEDABAD, Export Type: Export Sea, FY: 2025–2026, and click OK.
3. Navigate to</t>
    </r>
    <r>
      <rPr>
        <b/>
        <sz val="11"/>
        <color theme="1"/>
        <rFont val="Calibri"/>
        <family val="2"/>
        <scheme val="minor"/>
      </rPr>
      <t xml:space="preserve"> Masters → Regional Master → Action Master.</t>
    </r>
    <r>
      <rPr>
        <sz val="11"/>
        <color theme="1"/>
        <rFont val="Calibri"/>
        <family val="2"/>
        <scheme val="minor"/>
      </rPr>
      <t xml:space="preserve">
4. From the Left-side panel list , click Select for any existing Record.
5. Verify the Action Details Grid is populated for the selected record and from the Grid View Panel, click Select on displayed  record.
6. Observe whether the selected row values are displayed correctly in the following input textboxes.
7. Check the Total Entry Count label and verify it reflects the correct number of records remaining in the Grid View.</t>
    </r>
  </si>
  <si>
    <t xml:space="preserve">1. Any existing record from the left panel List
</t>
  </si>
  <si>
    <t xml:space="preserve">1. When a record is selected from the Action Details Grid:
 -&gt; All corresponding details must populate correctly in the textboxes fields.
2. The Total Entry Count must update dynamically based on the number of records available in the Grid View.
 -&gt; If the Grid View is empty (no records), the Entry Count must be 0. </t>
  </si>
  <si>
    <t>Action_Master_06</t>
  </si>
  <si>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Enter valid &amp; Invalid value in Code textbox and observe the system behaviour.</t>
    </r>
  </si>
  <si>
    <r>
      <rPr>
        <b/>
        <sz val="11"/>
        <color theme="1"/>
        <rFont val="Calibri"/>
        <family val="2"/>
        <scheme val="minor"/>
      </rPr>
      <t xml:space="preserve">Textbox </t>
    </r>
    <r>
      <rPr>
        <sz val="11"/>
        <color theme="1"/>
        <rFont val="Calibri"/>
        <family val="2"/>
        <scheme val="minor"/>
      </rPr>
      <t xml:space="preserve">- Code
</t>
    </r>
    <r>
      <rPr>
        <b/>
        <sz val="11"/>
        <color theme="1"/>
        <rFont val="Calibri"/>
        <family val="2"/>
        <scheme val="minor"/>
      </rPr>
      <t>Valid Data</t>
    </r>
    <r>
      <rPr>
        <sz val="11"/>
        <color theme="1"/>
        <rFont val="Calibri"/>
        <family val="2"/>
        <scheme val="minor"/>
      </rPr>
      <t xml:space="preserve"> - Alphanumeric 
</t>
    </r>
    <r>
      <rPr>
        <b/>
        <sz val="11"/>
        <color theme="1"/>
        <rFont val="Calibri"/>
        <family val="2"/>
        <scheme val="minor"/>
      </rPr>
      <t xml:space="preserve">Invalid data - </t>
    </r>
    <r>
      <rPr>
        <sz val="11"/>
        <color theme="1"/>
        <rFont val="Calibri"/>
        <family val="2"/>
        <scheme val="minor"/>
      </rPr>
      <t>Only space value, special character value</t>
    </r>
  </si>
  <si>
    <r>
      <t xml:space="preserve">1. The functionality is not working as expected.
2. The textbox is accepting </t>
    </r>
    <r>
      <rPr>
        <b/>
        <sz val="11"/>
        <color theme="1"/>
        <rFont val="Calibri"/>
        <family val="2"/>
        <scheme val="minor"/>
      </rPr>
      <t>special character</t>
    </r>
    <r>
      <rPr>
        <sz val="11"/>
        <color theme="1"/>
        <rFont val="Calibri"/>
        <family val="2"/>
        <scheme val="minor"/>
      </rPr>
      <t>.
3. Textbox character limit of 3 characters is correctly implemented.</t>
    </r>
  </si>
  <si>
    <t>1. As per Use Case, Code textbox should accept only alphanumeric value.
2. It should not accept invalid value such as - 
 -&gt; Only Space value
 -&gt; Special character value
 -&gt; Letter of combination (Alphanumeric with speical character and space)
5.  Textbox limit should be maximum 3 characters.</t>
  </si>
  <si>
    <t>Action_Master_07</t>
  </si>
  <si>
    <r>
      <t xml:space="preserve">Validate the functionality of </t>
    </r>
    <r>
      <rPr>
        <b/>
        <sz val="11"/>
        <color theme="1"/>
        <rFont val="Calibri"/>
        <family val="2"/>
        <scheme val="minor"/>
      </rPr>
      <t>'Code'</t>
    </r>
    <r>
      <rPr>
        <sz val="11"/>
        <color theme="1"/>
        <rFont val="Calibri"/>
        <family val="2"/>
        <scheme val="minor"/>
      </rPr>
      <t xml:space="preserve"> textbox in the Action Master Page.</t>
    </r>
  </si>
  <si>
    <r>
      <t xml:space="preserve">Validate the functionality of </t>
    </r>
    <r>
      <rPr>
        <b/>
        <sz val="11"/>
        <color theme="1"/>
        <rFont val="Calibri"/>
        <family val="2"/>
        <scheme val="minor"/>
      </rPr>
      <t>'Name'</t>
    </r>
    <r>
      <rPr>
        <sz val="11"/>
        <color theme="1"/>
        <rFont val="Calibri"/>
        <family val="2"/>
        <scheme val="minor"/>
      </rPr>
      <t xml:space="preserve"> textbox in the Action Master Page.</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</si>
  <si>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Enter valid &amp; Invalid value in Name textbox and observe the system behaviour.</t>
    </r>
  </si>
  <si>
    <r>
      <rPr>
        <b/>
        <sz val="11"/>
        <color theme="1"/>
        <rFont val="Calibri"/>
        <family val="2"/>
        <scheme val="minor"/>
      </rPr>
      <t xml:space="preserve">Textbox </t>
    </r>
    <r>
      <rPr>
        <sz val="11"/>
        <color theme="1"/>
        <rFont val="Calibri"/>
        <family val="2"/>
        <scheme val="minor"/>
      </rPr>
      <t xml:space="preserve">- Name
</t>
    </r>
    <r>
      <rPr>
        <b/>
        <sz val="11"/>
        <color theme="1"/>
        <rFont val="Calibri"/>
        <family val="2"/>
        <scheme val="minor"/>
      </rPr>
      <t>Valid Data</t>
    </r>
    <r>
      <rPr>
        <sz val="11"/>
        <color theme="1"/>
        <rFont val="Calibri"/>
        <family val="2"/>
        <scheme val="minor"/>
      </rPr>
      <t xml:space="preserve"> - Alphanumeric with few special character
</t>
    </r>
    <r>
      <rPr>
        <b/>
        <sz val="11"/>
        <color theme="1"/>
        <rFont val="Calibri"/>
        <family val="2"/>
        <scheme val="minor"/>
      </rPr>
      <t xml:space="preserve">Invalid data - </t>
    </r>
    <r>
      <rPr>
        <sz val="11"/>
        <color theme="1"/>
        <rFont val="Calibri"/>
        <family val="2"/>
        <scheme val="minor"/>
      </rPr>
      <t>Only space value, special character value</t>
    </r>
  </si>
  <si>
    <t>1. As per Use Case, Name textbox should accept only alphanumeric value.
2. It should not accept invalid value such as - 
 -&gt; Only Space value
 -&gt; Special character value
 -&gt; Letter of combination (Alphanumeric with speical character and space)
5.  Textbox limit should be maximum 100 characters.</t>
  </si>
  <si>
    <r>
      <t xml:space="preserve">1. The functionality is not working as expected.
2. The textbox is accepting </t>
    </r>
    <r>
      <rPr>
        <b/>
        <sz val="11"/>
        <color theme="1"/>
        <rFont val="Calibri"/>
        <family val="2"/>
        <scheme val="minor"/>
      </rPr>
      <t>special character</t>
    </r>
    <r>
      <rPr>
        <sz val="11"/>
        <color theme="1"/>
        <rFont val="Calibri"/>
        <family val="2"/>
        <scheme val="minor"/>
      </rPr>
      <t xml:space="preserve">.
3. Textbox character limit of 100 characters is correctly implemented.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</si>
  <si>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Action_Master_08</t>
  </si>
  <si>
    <r>
      <t xml:space="preserve">Validate the functionality of </t>
    </r>
    <r>
      <rPr>
        <b/>
        <sz val="11"/>
        <color theme="1"/>
        <rFont val="Calibri"/>
        <family val="2"/>
        <scheme val="minor"/>
      </rPr>
      <t>'Follow Up Days'</t>
    </r>
    <r>
      <rPr>
        <sz val="11"/>
        <color theme="1"/>
        <rFont val="Calibri"/>
        <family val="2"/>
        <scheme val="minor"/>
      </rPr>
      <t xml:space="preserve"> textbox in the Action Master Page.</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</si>
  <si>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Enter valid &amp; Invalid value in Follow Up Days textbox and observe the system behaviour.</t>
    </r>
  </si>
  <si>
    <t>1.  Follow Up Days textbox should accept only Numeric value.
2. It should not accept invalid value such as - 
 -&gt; Only Space value
 -&gt; Special character value
 -&gt; Alphabetic Value
 -&gt; Letter of combination (Alphanumeric with speical character and space)
5.  Textbox limit should be maximum 10 characters.</t>
  </si>
  <si>
    <t>Action_Master_09</t>
  </si>
  <si>
    <r>
      <t xml:space="preserve">Validate the functionality of </t>
    </r>
    <r>
      <rPr>
        <b/>
        <sz val="11"/>
        <color theme="1"/>
        <rFont val="Calibri"/>
        <family val="2"/>
        <scheme val="minor"/>
      </rPr>
      <t>'Type'</t>
    </r>
    <r>
      <rPr>
        <sz val="11"/>
        <color theme="1"/>
        <rFont val="Calibri"/>
        <family val="2"/>
        <scheme val="minor"/>
      </rPr>
      <t xml:space="preserve"> textbox in the Action Master Page.</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</si>
  <si>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Enter valid &amp; Invalid value in Type textbox and observe the system behaviour.</t>
    </r>
  </si>
  <si>
    <t>1. As per Use Case, Type textbox should accept only alphanumeric value.
2. It should not accept invalid value such as - 
 -&gt; Only Space value
 -&gt; Special character value
 -&gt; Letter of combination (Alphanumeric with speical character and space)
5.  Textbox limit should be maximum 10 characters.</t>
  </si>
  <si>
    <r>
      <t xml:space="preserve">1. The functionality is not working as expected.
2. The textbox is accepting </t>
    </r>
    <r>
      <rPr>
        <b/>
        <sz val="11"/>
        <color theme="1"/>
        <rFont val="Calibri"/>
        <family val="2"/>
        <scheme val="minor"/>
      </rPr>
      <t>special character</t>
    </r>
    <r>
      <rPr>
        <sz val="11"/>
        <color theme="1"/>
        <rFont val="Calibri"/>
        <family val="2"/>
        <scheme val="minor"/>
      </rPr>
      <t xml:space="preserve">.
3. Textbox character limit of 10 characters is correctly implemented.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</si>
  <si>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Action_Master_10</t>
  </si>
  <si>
    <r>
      <t xml:space="preserve">Validate the functionality of </t>
    </r>
    <r>
      <rPr>
        <b/>
        <sz val="11"/>
        <color theme="1"/>
        <rFont val="Calibri"/>
        <family val="2"/>
        <scheme val="minor"/>
      </rPr>
      <t>'LOV Status'</t>
    </r>
    <r>
      <rPr>
        <sz val="11"/>
        <color theme="1"/>
        <rFont val="Calibri"/>
        <family val="2"/>
        <scheme val="minor"/>
      </rPr>
      <t xml:space="preserve"> dropdown in Action Master Page.</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</si>
  <si>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select a value from the dropdown list and oberve the system behaviour.</t>
    </r>
  </si>
  <si>
    <r>
      <t xml:space="preserve">Textbox - </t>
    </r>
    <r>
      <rPr>
        <b/>
        <sz val="11"/>
        <color theme="1"/>
        <rFont val="Calibri"/>
        <family val="2"/>
        <scheme val="minor"/>
      </rPr>
      <t>LOV Status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Display, Hidden</t>
    </r>
  </si>
  <si>
    <r>
      <t xml:space="preserve">1. </t>
    </r>
    <r>
      <rPr>
        <b/>
        <sz val="11"/>
        <color theme="1"/>
        <rFont val="Calibri"/>
        <family val="2"/>
        <scheme val="minor"/>
      </rPr>
      <t xml:space="preserve">LOV Status </t>
    </r>
    <r>
      <rPr>
        <sz val="11"/>
        <color theme="1"/>
        <rFont val="Calibri"/>
        <family val="2"/>
        <scheme val="minor"/>
      </rPr>
      <t>textbox should not accept any manual input.
2. User must be able to select values only from the dropdown list.
3. If the user types any invalid value or characters, the textbox should auto-clear the input.</t>
    </r>
  </si>
  <si>
    <t>Action_Master_11</t>
  </si>
  <si>
    <r>
      <t xml:space="preserve">Validate the Functionality of the </t>
    </r>
    <r>
      <rPr>
        <b/>
        <sz val="11"/>
        <color theme="1"/>
        <rFont val="Calibri"/>
        <family val="2"/>
        <scheme val="minor"/>
      </rPr>
      <t>Save</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Are Filled in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</si>
  <si>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Enter valid data in all fields and click the Save button and observe the system behavior.</t>
    </r>
  </si>
  <si>
    <t xml:space="preserve">1. The system should successfully save the record and display a confirmation pop-up message (e.g., “Record saved successfully”).
2. The saved record should be added in the left panel list.
3. The newly saved record should be searchable using the search box.
</t>
  </si>
  <si>
    <t>Action_Master_12</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</si>
  <si>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xml:space="preserve"> (non-mandatory fields left blank) on the Action Master Page.</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</si>
  <si>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Enter valid values in All mandatory fields only and leave non-mandatory fields blank.
5. Click Save and observe system behavior.</t>
    </r>
  </si>
  <si>
    <r>
      <t>1. The record should be saved successfully and a success message should be displayed.
2</t>
    </r>
    <r>
      <rPr>
        <b/>
        <sz val="11"/>
        <color theme="1"/>
        <rFont val="Calibri"/>
        <family val="2"/>
        <scheme val="minor"/>
      </rPr>
      <t>. If any mandatory field is left blank:</t>
    </r>
    <r>
      <rPr>
        <sz val="11"/>
        <color theme="1"/>
        <rFont val="Calibri"/>
        <family val="2"/>
        <scheme val="minor"/>
      </rPr>
      <t xml:space="preserve">
 -&gt; The record should not be saved.
 -&gt; A validation message should be displayed for the missing field.
3. The newly saved record should appear in the left-side panel list and searchable using the search box.</t>
    </r>
  </si>
  <si>
    <t>Action_Master_13</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</si>
  <si>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Action Master Page</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</si>
  <si>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Regional Master -&gt; Action Master</t>
    </r>
    <r>
      <rPr>
        <sz val="11"/>
        <color theme="1"/>
        <rFont val="Calibri"/>
        <family val="2"/>
        <scheme val="minor"/>
      </rPr>
      <t xml:space="preserve">
4. Without Filling any field in Action Master Page, click on save button and observe system behavior.</t>
    </r>
  </si>
  <si>
    <t>Click on Save button with filling any field.</t>
  </si>
  <si>
    <t>Action_Master_14</t>
  </si>
  <si>
    <r>
      <t xml:space="preserve">Validate the functionality of </t>
    </r>
    <r>
      <rPr>
        <b/>
        <sz val="11"/>
        <color theme="1"/>
        <rFont val="Calibri"/>
        <family val="2"/>
        <scheme val="minor"/>
      </rPr>
      <t>Modify</t>
    </r>
    <r>
      <rPr>
        <sz val="11"/>
        <color theme="1"/>
        <rFont val="Calibri"/>
        <family val="2"/>
        <scheme val="minor"/>
      </rPr>
      <t xml:space="preserve"> button on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</si>
  <si>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</si>
  <si>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1. The Modify button should remain disabled until a record is selected.
2. On selecting a record, its data should automatically load into the grid and text fields.
3. The Modify button should become enabled once data is loaded.
4. On clicking Modify, the record should be successfully updated.
5. The updated data should be visible in the left-side list.
6. The system should allow modifying the same record multiple times.</t>
  </si>
  <si>
    <t>Action_Master_15</t>
  </si>
  <si>
    <r>
      <t xml:space="preserve">Validate the functionality of </t>
    </r>
    <r>
      <rPr>
        <b/>
        <sz val="11"/>
        <color theme="1"/>
        <rFont val="Calibri"/>
        <family val="2"/>
        <scheme val="minor"/>
      </rPr>
      <t>Clear</t>
    </r>
    <r>
      <rPr>
        <sz val="11"/>
        <color theme="1"/>
        <rFont val="Calibri"/>
        <family val="2"/>
        <scheme val="minor"/>
      </rPr>
      <t xml:space="preserve"> button on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</si>
  <si>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Enter values in all or few input fields.
5. Click the Clear button and observe the system behavior.</t>
    </r>
  </si>
  <si>
    <r>
      <t xml:space="preserve">Validate the functionality of the </t>
    </r>
    <r>
      <rPr>
        <b/>
        <sz val="11"/>
        <color theme="1"/>
        <rFont val="Calibri"/>
        <family val="2"/>
        <scheme val="minor"/>
      </rPr>
      <t xml:space="preserve">Page Responsiveness </t>
    </r>
    <r>
      <rPr>
        <sz val="11"/>
        <color theme="1"/>
        <rFont val="Calibri"/>
        <family val="2"/>
        <scheme val="minor"/>
      </rPr>
      <t>on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</si>
  <si>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</si>
  <si>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Action</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</si>
  <si>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r>
      <t xml:space="preserve">Validate the functionality of </t>
    </r>
    <r>
      <rPr>
        <b/>
        <sz val="11"/>
        <color theme="1"/>
        <rFont val="Calibri"/>
        <family val="2"/>
        <scheme val="minor"/>
      </rPr>
      <t>Keyword Action</t>
    </r>
    <r>
      <rPr>
        <sz val="11"/>
        <color theme="1"/>
        <rFont val="Calibri"/>
        <family val="2"/>
        <scheme val="minor"/>
      </rPr>
      <t xml:space="preserve"> on the Action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</si>
  <si>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Use keyword button to fill the foam and observe the system behaviour.</t>
    </r>
  </si>
  <si>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</si>
  <si>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 Master
</t>
    </r>
    <r>
      <rPr>
        <sz val="11"/>
        <color theme="1"/>
        <rFont val="Calibri"/>
        <family val="2"/>
        <scheme val="minor"/>
      </rPr>
      <t>4. Observe the Success Pop-up and Error Pop-up Readibility.</t>
    </r>
  </si>
  <si>
    <t>Success and Error pop-up should appear with Correct message text with proper format.</t>
  </si>
  <si>
    <t>1. Functionality is not working as expected.
2. Text format is not correct, For Example:
 -&gt; Please enter  follow up day. - Extra space
 -&gt;  Please enter  ActionType. - Extra space and Action Type - it should be Type
 -&gt; Please enter  LoVStatus. - It should be Please Select LOV Status</t>
  </si>
  <si>
    <r>
      <t>Validate the functionality of</t>
    </r>
    <r>
      <rPr>
        <b/>
        <sz val="11"/>
        <color theme="1"/>
        <rFont val="Calibri"/>
        <family val="2"/>
        <scheme val="minor"/>
      </rPr>
      <t xml:space="preserve"> Session timeout</t>
    </r>
    <r>
      <rPr>
        <sz val="11"/>
        <color theme="1"/>
        <rFont val="Calibri"/>
        <family val="2"/>
        <scheme val="minor"/>
      </rPr>
      <t xml:space="preserve"> of the Action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</si>
  <si>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ActionMaster
</t>
    </r>
    <r>
      <rPr>
        <sz val="11"/>
        <color theme="1"/>
        <rFont val="Calibri"/>
        <family val="2"/>
        <scheme val="minor"/>
      </rPr>
      <t>4. Leave the Action Master page idle for long time and observe the system behaviour.</t>
    </r>
  </si>
  <si>
    <t>18-11-2025
09-12-2025</t>
  </si>
  <si>
    <r>
      <t>Local Environment
Testing Environment
(</t>
    </r>
    <r>
      <rPr>
        <b/>
        <sz val="11"/>
        <color theme="1"/>
        <rFont val="Calibri"/>
        <family val="2"/>
        <scheme val="minor"/>
      </rPr>
      <t>https://idp.icaffe.co.in/index.aspx</t>
    </r>
    <r>
      <rPr>
        <sz val="11"/>
        <color theme="1"/>
        <rFont val="Calibri"/>
        <family val="2"/>
        <scheme val="minor"/>
      </rPr>
      <t>)</t>
    </r>
  </si>
  <si>
    <r>
      <t xml:space="preserve">Local Environment
Testing Environment
</t>
    </r>
    <r>
      <rPr>
        <b/>
        <sz val="11"/>
        <color theme="1"/>
        <rFont val="Calibri"/>
        <family val="2"/>
        <scheme val="minor"/>
      </rPr>
      <t>(https://idp.icaffe.co.in/index.aspx)</t>
    </r>
  </si>
  <si>
    <t>17-11-2025
09-12-2025</t>
  </si>
  <si>
    <t>21-11-2025
09-12-2025</t>
  </si>
  <si>
    <t>25-11-2025
09-12-2025</t>
  </si>
  <si>
    <t>19-11-2025
09-12-2025</t>
  </si>
  <si>
    <t xml:space="preserve">Not Done </t>
  </si>
  <si>
    <t>29-11-2025
09-12-2025</t>
  </si>
  <si>
    <t>01-12-2025
09-12-2025</t>
  </si>
  <si>
    <t>01-12-2025 
09-12-2025</t>
  </si>
  <si>
    <t>Period_Master_01</t>
  </si>
  <si>
    <t xml:space="preserve">Regional Master -&gt; Period Master
</t>
  </si>
  <si>
    <r>
      <t xml:space="preserve">Validate the functionality of </t>
    </r>
    <r>
      <rPr>
        <b/>
        <sz val="11"/>
        <color theme="1"/>
        <rFont val="Calibri"/>
        <family val="2"/>
        <scheme val="minor"/>
      </rPr>
      <t>Period</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</si>
  <si>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Period</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</si>
  <si>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Regional Master -&gt; Period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</si>
  <si>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Period Master </t>
    </r>
    <r>
      <rPr>
        <sz val="11"/>
        <color theme="1"/>
        <rFont val="Calibri"/>
        <family val="2"/>
        <scheme val="minor"/>
      </rPr>
      <t>Page is opening properly.</t>
    </r>
  </si>
  <si>
    <t>Period_Master_02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</si>
  <si>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Period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</si>
  <si>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Observe how the record list is filtered based on the entered search keyword.</t>
    </r>
  </si>
  <si>
    <t>Search Data:
 -&gt; SACHIN TEST PERIOD</t>
  </si>
  <si>
    <r>
      <t xml:space="preserve">1. The Search textbox is working only for the first word of the record name.
</t>
    </r>
    <r>
      <rPr>
        <b/>
        <sz val="11"/>
        <color theme="1"/>
        <rFont val="Calibri"/>
        <family val="2"/>
        <scheme val="minor"/>
      </rPr>
      <t>Example record: 'SACHIN TEST PERIOD'
-&gt; Searching 'Schain' → Return Result
 -&gt; Searching 'Test' →  No result
 -&gt; Searching 'PERIOD' →  No result</t>
    </r>
  </si>
  <si>
    <t>Period_Master_03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</si>
  <si>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behavior in Left-Side List for </t>
    </r>
    <r>
      <rPr>
        <b/>
        <sz val="11"/>
        <color theme="1"/>
        <rFont val="Calibri"/>
        <family val="2"/>
        <scheme val="minor"/>
      </rPr>
      <t xml:space="preserve">Period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</si>
  <si>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Regional Master -&gt; Period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</si>
  <si>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Period_Master_04</t>
  </si>
  <si>
    <r>
      <t xml:space="preserve">1. Open the application and log in.
2. Select Branch: AHMEDABAD, Export Type: Export Sea, FY: 2025–2026, and click OK.
3. Navigate to </t>
    </r>
    <r>
      <rPr>
        <b/>
        <sz val="11"/>
        <color theme="1"/>
        <rFont val="Calibri"/>
        <family val="2"/>
        <scheme val="minor"/>
      </rPr>
      <t>Masters → Regional Master → Period Master.</t>
    </r>
    <r>
      <rPr>
        <sz val="11"/>
        <color theme="1"/>
        <rFont val="Calibri"/>
        <family val="2"/>
        <scheme val="minor"/>
      </rPr>
      <t xml:space="preserve">
4. From the left-side List panel, select any record and verify that the corresponding record are displayed in the Period Details Grid.
5. Now select a different record and confirm that the grid updates to show the new record.
6. Verify that the previously selected record returns to its default (non-highlighted) color.</t>
    </r>
  </si>
  <si>
    <t>Selected Records: 
 -&gt; SACHIN TEST PERIOD
 -&gt; PERIOD MASTER TESTING BY HANS</t>
  </si>
  <si>
    <r>
      <t xml:space="preserve">Validate that the selected record from the </t>
    </r>
    <r>
      <rPr>
        <b/>
        <sz val="11"/>
        <color theme="1"/>
        <rFont val="Calibri"/>
        <family val="2"/>
        <scheme val="minor"/>
      </rPr>
      <t>left-side list</t>
    </r>
    <r>
      <rPr>
        <sz val="11"/>
        <color theme="1"/>
        <rFont val="Calibri"/>
        <family val="2"/>
        <scheme val="minor"/>
      </rPr>
      <t xml:space="preserve"> is correctly reflected in the </t>
    </r>
    <r>
      <rPr>
        <b/>
        <sz val="11"/>
        <color theme="1"/>
        <rFont val="Calibri"/>
        <family val="2"/>
        <scheme val="minor"/>
      </rPr>
      <t>Period Details Grid</t>
    </r>
    <r>
      <rPr>
        <sz val="11"/>
        <color theme="1"/>
        <rFont val="Calibri"/>
        <family val="2"/>
        <scheme val="minor"/>
      </rPr>
      <t xml:space="preserve"> and that UI behavior works as expected.</t>
    </r>
  </si>
  <si>
    <t>Period_Master_05</t>
  </si>
  <si>
    <r>
      <t xml:space="preserve">Validate that the selected record from the </t>
    </r>
    <r>
      <rPr>
        <b/>
        <sz val="11"/>
        <color theme="1"/>
        <rFont val="Calibri"/>
        <family val="2"/>
        <scheme val="minor"/>
      </rPr>
      <t>Period Details Grid</t>
    </r>
    <r>
      <rPr>
        <sz val="11"/>
        <color theme="1"/>
        <rFont val="Calibri"/>
        <family val="2"/>
        <scheme val="minor"/>
      </rPr>
      <t xml:space="preserve"> is correctly reflected in the corresponding textboxes on the </t>
    </r>
    <r>
      <rPr>
        <b/>
        <sz val="11"/>
        <color theme="1"/>
        <rFont val="Calibri"/>
        <family val="2"/>
        <scheme val="minor"/>
      </rPr>
      <t>Period Master</t>
    </r>
    <r>
      <rPr>
        <sz val="11"/>
        <color theme="1"/>
        <rFont val="Calibri"/>
        <family val="2"/>
        <scheme val="minor"/>
      </rPr>
      <t xml:space="preserve"> page and that the </t>
    </r>
    <r>
      <rPr>
        <b/>
        <sz val="11"/>
        <color theme="1"/>
        <rFont val="Calibri"/>
        <family val="2"/>
        <scheme val="minor"/>
      </rPr>
      <t>Total Entry Count</t>
    </r>
    <r>
      <rPr>
        <sz val="11"/>
        <color theme="1"/>
        <rFont val="Calibri"/>
        <family val="2"/>
        <scheme val="minor"/>
      </rPr>
      <t xml:space="preserve"> updates correctly.</t>
    </r>
  </si>
  <si>
    <t>1. When a record is selected from the left panel list:
 -&gt; The selected record should be displayed in the Period Details Grid.
 -&gt; On selecting a record from the grid, its data should be reflected in the corresponding textboxes.
 -&gt; When another record is selected from the left panel list, the previously selected record should lose its highlight and return to the default white color.
 2. The Total Entry Count should update dynamically based on the number of records available in the grid.
 -&gt; If no records are available, the count should display 0.</t>
  </si>
  <si>
    <t>1. The functionality is not working as expected.
2. The selected record is correctly reflected in the corresponding textboxes.
3. The previously selected record remains highlighted in green even after selecting another record.
4. The Total Entry Count does not update even when no records are available in the Period Details Grid.</t>
  </si>
  <si>
    <t>Period_Master_06</t>
  </si>
  <si>
    <r>
      <t xml:space="preserve">Validate the functionality of </t>
    </r>
    <r>
      <rPr>
        <b/>
        <sz val="11"/>
        <color theme="1"/>
        <rFont val="Calibri"/>
        <family val="2"/>
        <scheme val="minor"/>
      </rPr>
      <t>'Code'</t>
    </r>
    <r>
      <rPr>
        <sz val="11"/>
        <color theme="1"/>
        <rFont val="Calibri"/>
        <family val="2"/>
        <scheme val="minor"/>
      </rPr>
      <t xml:space="preserve"> textbox in the Period Master Page.</t>
    </r>
  </si>
  <si>
    <r>
      <t xml:space="preserve">1. Open the application and log in 
2. Select Branch: AHMEDABAD, Export Type: Export Sea, FY 2025–2026, click OK.
3. Navigate to </t>
    </r>
    <r>
      <rPr>
        <b/>
        <sz val="11"/>
        <color theme="1"/>
        <rFont val="Calibri"/>
        <family val="2"/>
        <scheme val="minor"/>
      </rPr>
      <t>Masters -&gt; Regional Master -&gt; Period Master</t>
    </r>
    <r>
      <rPr>
        <sz val="11"/>
        <color theme="1"/>
        <rFont val="Calibri"/>
        <family val="2"/>
        <scheme val="minor"/>
      </rPr>
      <t xml:space="preserve">
4.  Enter valid &amp; Invalid value in Code textbox and observe the system behaviour.</t>
    </r>
  </si>
  <si>
    <r>
      <t xml:space="preserve">Validate the functionality of </t>
    </r>
    <r>
      <rPr>
        <b/>
        <sz val="11"/>
        <color theme="1"/>
        <rFont val="Calibri"/>
        <family val="2"/>
        <scheme val="minor"/>
      </rPr>
      <t>'Name'</t>
    </r>
    <r>
      <rPr>
        <sz val="11"/>
        <color theme="1"/>
        <rFont val="Calibri"/>
        <family val="2"/>
        <scheme val="minor"/>
      </rPr>
      <t xml:space="preserve"> textbox in the Period Master Page.</t>
    </r>
  </si>
  <si>
    <r>
      <t xml:space="preserve">1. Open the application and log in 
2. Select Branch: AHMEDABAD, Export Type: Export Sea, FY 2025–2026, click OK.
3. Navigate to </t>
    </r>
    <r>
      <rPr>
        <b/>
        <sz val="11"/>
        <color theme="1"/>
        <rFont val="Calibri"/>
        <family val="2"/>
        <scheme val="minor"/>
      </rPr>
      <t>Masters -&gt; Regional Master -&gt; Period Master</t>
    </r>
    <r>
      <rPr>
        <sz val="11"/>
        <color theme="1"/>
        <rFont val="Calibri"/>
        <family val="2"/>
        <scheme val="minor"/>
      </rPr>
      <t xml:space="preserve">
4.  Enter valid &amp; Invalid value in Name textbox and observe the system behaviour.</t>
    </r>
  </si>
  <si>
    <t>Period_Master_07</t>
  </si>
  <si>
    <r>
      <t xml:space="preserve">1. The functionality is not working as expected.
2. The textbox is accepting </t>
    </r>
    <r>
      <rPr>
        <b/>
        <sz val="11"/>
        <color theme="1"/>
        <rFont val="Calibri"/>
        <family val="2"/>
        <scheme val="minor"/>
      </rPr>
      <t>all type</t>
    </r>
    <r>
      <rPr>
        <sz val="11"/>
        <color theme="1"/>
        <rFont val="Calibri"/>
        <family val="2"/>
        <scheme val="minor"/>
      </rPr>
      <t xml:space="preserve"> </t>
    </r>
    <r>
      <rPr>
        <b/>
        <sz val="11"/>
        <color theme="1"/>
        <rFont val="Calibri"/>
        <family val="2"/>
        <scheme val="minor"/>
      </rPr>
      <t>special character</t>
    </r>
    <r>
      <rPr>
        <sz val="11"/>
        <color theme="1"/>
        <rFont val="Calibri"/>
        <family val="2"/>
        <scheme val="minor"/>
      </rPr>
      <t xml:space="preserve">.
3. Textbox character limit of 100 characters is correctly implemented.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</si>
  <si>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Period_Master_08</t>
  </si>
  <si>
    <r>
      <t xml:space="preserve">Validate the functionality of </t>
    </r>
    <r>
      <rPr>
        <b/>
        <sz val="11"/>
        <color theme="1"/>
        <rFont val="Calibri"/>
        <family val="2"/>
        <scheme val="minor"/>
      </rPr>
      <t>'Display Status'</t>
    </r>
    <r>
      <rPr>
        <sz val="11"/>
        <color theme="1"/>
        <rFont val="Calibri"/>
        <family val="2"/>
        <scheme val="minor"/>
      </rPr>
      <t xml:space="preserve"> dropdown in Period Master page.</t>
    </r>
  </si>
  <si>
    <r>
      <t xml:space="preserve">1. Open the application and log in 
2. Select Branch: AHMEDABAD, Export Type: Export Sea, FY 2025–2026, click OK.
3. Navigate to </t>
    </r>
    <r>
      <rPr>
        <b/>
        <sz val="11"/>
        <color theme="1"/>
        <rFont val="Calibri"/>
        <family val="2"/>
        <scheme val="minor"/>
      </rPr>
      <t>Masters -&gt; Regional Master -&gt; Period Master</t>
    </r>
    <r>
      <rPr>
        <sz val="11"/>
        <color theme="1"/>
        <rFont val="Calibri"/>
        <family val="2"/>
        <scheme val="minor"/>
      </rPr>
      <t xml:space="preserve">
4.  select a value from the dropdown list and oberve the system behaviour.</t>
    </r>
  </si>
  <si>
    <t>Period_Master_09</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</si>
  <si>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in the Period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</si>
  <si>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Enter valid data in all fields and click the Save button and observe the system behavior.</t>
    </r>
  </si>
  <si>
    <t>Period_Master_10</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</si>
  <si>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Period Master Page</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</si>
  <si>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Regional Master -&gt; Period Master</t>
    </r>
    <r>
      <rPr>
        <sz val="11"/>
        <color theme="1"/>
        <rFont val="Calibri"/>
        <family val="2"/>
        <scheme val="minor"/>
      </rPr>
      <t xml:space="preserve">
4. Without Filling any field in Period Master Page, click on save button and observe system behavior.</t>
    </r>
  </si>
  <si>
    <t>1. The record should not be saved.
2. Mandatory field validation messages should appear for all required fields.
3. Validation messages should be clear and field-specific.</t>
  </si>
  <si>
    <r>
      <t xml:space="preserve">1. Functionality is not working as expected.
2. When the Display Status field is left blank (after clicking the Clear button), an incorrect validation message is displayed:
</t>
    </r>
    <r>
      <rPr>
        <b/>
        <sz val="11"/>
        <color theme="1"/>
        <rFont val="Calibri"/>
        <family val="2"/>
        <scheme val="minor"/>
      </rPr>
      <t xml:space="preserve"> -&gt; Actual Message: Please enter LoVStatus
 -&gt; Expected Message: Please select Display Status</t>
    </r>
  </si>
  <si>
    <t>Period_Master_11</t>
  </si>
  <si>
    <r>
      <t xml:space="preserve">Validate the functionality of </t>
    </r>
    <r>
      <rPr>
        <b/>
        <sz val="11"/>
        <color theme="1"/>
        <rFont val="Calibri"/>
        <family val="2"/>
        <scheme val="minor"/>
      </rPr>
      <t>Modify</t>
    </r>
    <r>
      <rPr>
        <sz val="11"/>
        <color theme="1"/>
        <rFont val="Calibri"/>
        <family val="2"/>
        <scheme val="minor"/>
      </rPr>
      <t xml:space="preserve"> button on the Period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</si>
  <si>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</si>
  <si>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 xml:space="preserve">1. Functionality is working as Expected.
</t>
  </si>
  <si>
    <t>Period_Master_12</t>
  </si>
  <si>
    <r>
      <t xml:space="preserve">Validate the functionality of </t>
    </r>
    <r>
      <rPr>
        <b/>
        <sz val="11"/>
        <color theme="1"/>
        <rFont val="Calibri"/>
        <family val="2"/>
        <scheme val="minor"/>
      </rPr>
      <t>Clear</t>
    </r>
    <r>
      <rPr>
        <sz val="11"/>
        <color theme="1"/>
        <rFont val="Calibri"/>
        <family val="2"/>
        <scheme val="minor"/>
      </rPr>
      <t xml:space="preserve"> button on the Period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</si>
  <si>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Enter values in all or few input fields.
5. Click the Clear button and observe the system behavior.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</si>
  <si>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All input fields should be cleared.
</t>
    </r>
    <r>
      <rPr>
        <b/>
        <sz val="11"/>
        <color theme="1"/>
        <rFont val="Calibri"/>
        <family val="2"/>
        <scheme val="minor"/>
      </rPr>
      <t>If the user clicks No:</t>
    </r>
    <r>
      <rPr>
        <sz val="11"/>
        <color theme="1"/>
        <rFont val="Calibri"/>
        <family val="2"/>
        <scheme val="minor"/>
      </rPr>
      <t xml:space="preserve">
All entered values should remain unchanged.
</t>
    </r>
    <r>
      <rPr>
        <b/>
        <sz val="11"/>
        <color theme="1"/>
        <rFont val="Calibri"/>
        <family val="2"/>
        <scheme val="minor"/>
      </rPr>
      <t/>
    </r>
  </si>
  <si>
    <r>
      <t>1. Functionality is working as Expected.
Note -</t>
    </r>
    <r>
      <rPr>
        <b/>
        <sz val="11"/>
        <color theme="1"/>
        <rFont val="Calibri"/>
        <family val="2"/>
        <scheme val="minor"/>
      </rPr>
      <t xml:space="preserve"> The system is not asking for confirmation before clearing the page.</t>
    </r>
  </si>
  <si>
    <r>
      <t>1. Functionality is not working as Expected.
Note -</t>
    </r>
    <r>
      <rPr>
        <b/>
        <sz val="11"/>
        <color theme="1"/>
        <rFont val="Calibri"/>
        <family val="2"/>
        <scheme val="minor"/>
      </rPr>
      <t xml:space="preserve"> The system is not asking for confirmation before clearing the page.</t>
    </r>
  </si>
  <si>
    <r>
      <t xml:space="preserve">Validate the functionality of the </t>
    </r>
    <r>
      <rPr>
        <b/>
        <sz val="11"/>
        <color theme="1"/>
        <rFont val="Calibri"/>
        <family val="2"/>
        <scheme val="minor"/>
      </rPr>
      <t xml:space="preserve">Page Responsiveness </t>
    </r>
    <r>
      <rPr>
        <sz val="11"/>
        <color theme="1"/>
        <rFont val="Calibri"/>
        <family val="2"/>
        <scheme val="minor"/>
      </rPr>
      <t>on the Period Master Page.</t>
    </r>
  </si>
  <si>
    <r>
      <t xml:space="preserve">Validate the functionality of </t>
    </r>
    <r>
      <rPr>
        <b/>
        <sz val="11"/>
        <color theme="1"/>
        <rFont val="Calibri"/>
        <family val="2"/>
        <scheme val="minor"/>
      </rPr>
      <t>Keyword Action</t>
    </r>
    <r>
      <rPr>
        <sz val="11"/>
        <color theme="1"/>
        <rFont val="Calibri"/>
        <family val="2"/>
        <scheme val="minor"/>
      </rPr>
      <t xml:space="preserve"> on the Period Master Page (Tab button).</t>
    </r>
  </si>
  <si>
    <r>
      <t xml:space="preserve">Validate the functionality of  </t>
    </r>
    <r>
      <rPr>
        <b/>
        <sz val="11"/>
        <color theme="1"/>
        <rFont val="Calibri"/>
        <family val="2"/>
        <scheme val="minor"/>
      </rPr>
      <t xml:space="preserve">Success Pop-up </t>
    </r>
    <r>
      <rPr>
        <sz val="11"/>
        <color theme="1"/>
        <rFont val="Calibri"/>
        <family val="2"/>
        <scheme val="minor"/>
      </rPr>
      <t>and</t>
    </r>
    <r>
      <rPr>
        <b/>
        <sz val="11"/>
        <color theme="1"/>
        <rFont val="Calibri"/>
        <family val="2"/>
        <scheme val="minor"/>
      </rPr>
      <t xml:space="preserve"> Error message</t>
    </r>
    <r>
      <rPr>
        <sz val="11"/>
        <color theme="1"/>
        <rFont val="Calibri"/>
        <family val="2"/>
        <scheme val="minor"/>
      </rPr>
      <t xml:space="preserve"> Readibility on the Period Master Page.</t>
    </r>
  </si>
  <si>
    <r>
      <t>Validate the functionality of</t>
    </r>
    <r>
      <rPr>
        <b/>
        <sz val="11"/>
        <color theme="1"/>
        <rFont val="Calibri"/>
        <family val="2"/>
        <scheme val="minor"/>
      </rPr>
      <t xml:space="preserve"> Session timeout</t>
    </r>
    <r>
      <rPr>
        <sz val="11"/>
        <color theme="1"/>
        <rFont val="Calibri"/>
        <family val="2"/>
        <scheme val="minor"/>
      </rPr>
      <t xml:space="preserve"> of the Period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</si>
  <si>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</si>
  <si>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Period</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</si>
  <si>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Period_Master_13</t>
  </si>
  <si>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Use keyword button to fill the foam and observe the system behaviour.</t>
    </r>
  </si>
  <si>
    <t>Period_Master_14</t>
  </si>
  <si>
    <t>Period_Master_15</t>
  </si>
  <si>
    <t>Period_Master_16</t>
  </si>
  <si>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Observe the Success Pop-up and Error Pop-up Readibility.</t>
    </r>
  </si>
  <si>
    <r>
      <t xml:space="preserve">1. Open the application and log in 
2. Select Branch: AHMEDABAD, Export Type: Export Sea, FY 2025–2026, click OK.
3. Navigate to </t>
    </r>
    <r>
      <rPr>
        <b/>
        <sz val="11"/>
        <color theme="1"/>
        <rFont val="Calibri"/>
        <family val="2"/>
        <scheme val="minor"/>
      </rPr>
      <t xml:space="preserve">Masters -&gt; Regional Master -&gt; Period Master
</t>
    </r>
    <r>
      <rPr>
        <sz val="11"/>
        <color theme="1"/>
        <rFont val="Calibri"/>
        <family val="2"/>
        <scheme val="minor"/>
      </rPr>
      <t>4. Leave the Period Master page idle for long time and observe the system behaviour.</t>
    </r>
  </si>
  <si>
    <t>Cost_Center_Master_01</t>
  </si>
  <si>
    <t xml:space="preserve">Regional Master -&gt; Cost Center Master
</t>
  </si>
  <si>
    <r>
      <t xml:space="preserve">Validate the functionality of </t>
    </r>
    <r>
      <rPr>
        <b/>
        <sz val="11"/>
        <color theme="1"/>
        <rFont val="Calibri"/>
        <family val="2"/>
        <scheme val="minor"/>
      </rPr>
      <t>Cost Center</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Regional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</si>
  <si>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Regional Master</t>
    </r>
    <r>
      <rPr>
        <sz val="11"/>
        <color theme="1"/>
        <rFont val="Calibri"/>
        <family val="2"/>
        <scheme val="minor"/>
      </rPr>
      <t xml:space="preserve"> -&gt; </t>
    </r>
    <r>
      <rPr>
        <b/>
        <sz val="11"/>
        <color theme="1"/>
        <rFont val="Calibri"/>
        <family val="2"/>
        <scheme val="minor"/>
      </rPr>
      <t>Cost Center</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</si>
  <si>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Regional Master -&gt; Cost Center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</si>
  <si>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Cost Center Master </t>
    </r>
    <r>
      <rPr>
        <sz val="11"/>
        <color theme="1"/>
        <rFont val="Calibri"/>
        <family val="2"/>
        <scheme val="minor"/>
      </rPr>
      <t>Page is opening properly.</t>
    </r>
  </si>
  <si>
    <t>Cost_Center_Master_02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</si>
  <si>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Cost Center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</si>
  <si>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Observe how the record list is filtered based on the entered search keyword.</t>
    </r>
  </si>
  <si>
    <t>Search Data:
 -&gt; Cost Center Master Testing By Hans</t>
  </si>
  <si>
    <r>
      <t xml:space="preserve">1. The Search textbox is working only for the first word of the record name.
</t>
    </r>
    <r>
      <rPr>
        <b/>
        <sz val="11"/>
        <color theme="1"/>
        <rFont val="Calibri"/>
        <family val="2"/>
        <scheme val="minor"/>
      </rPr>
      <t>Example record: 'COST CENTER MASTER TESTING BY HANS'
-&gt; Searching 'Cost' → Return Result
 -&gt; Searching 'Center' →  No result
 -&gt; Searching 'Master' →  No result
-&gt; Searching 'Testing' →  No result
-&gt; Searching 'Hans' →  No result</t>
    </r>
  </si>
  <si>
    <t>Cost_Center_Master_03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</si>
  <si>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behavior in Left-Side List for </t>
    </r>
    <r>
      <rPr>
        <b/>
        <sz val="11"/>
        <color theme="1"/>
        <rFont val="Calibri"/>
        <family val="2"/>
        <scheme val="minor"/>
      </rPr>
      <t xml:space="preserve">Cost Center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</si>
  <si>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</si>
  <si>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Cost_Center_Master_04</t>
  </si>
  <si>
    <t>Selected Records: 
 -&gt; NOIDA
 -&gt; Cost Center Master Testing By Hans</t>
  </si>
  <si>
    <t>1. When the user selects a record from the left-side list, the Period Details Grid must display the corresponding record details.
2. On selecting another record, the grid should refresh and show the new record.
3. The previously selected record should lose its highlight and return to default white color.
4. The Save button should remain enabled after clicking on clear button.</t>
  </si>
  <si>
    <t>Cost_Center_Master_05</t>
  </si>
  <si>
    <r>
      <t xml:space="preserve">Validate that the selected record from the left-side list is correctly reflected in the </t>
    </r>
    <r>
      <rPr>
        <b/>
        <sz val="11"/>
        <color theme="1"/>
        <rFont val="Calibri"/>
        <family val="2"/>
        <scheme val="minor"/>
      </rPr>
      <t>Cost Center Details Grid in cost Center Master Page.</t>
    </r>
  </si>
  <si>
    <r>
      <t xml:space="preserve">1. Open the application and log in.
2. Select Branch: AHMEDABAD, Export Type: Export Sea, FY: 2025–2026, and click OK.
3. Navigate to </t>
    </r>
    <r>
      <rPr>
        <b/>
        <sz val="11"/>
        <color theme="1"/>
        <rFont val="Calibri"/>
        <family val="2"/>
        <scheme val="minor"/>
      </rPr>
      <t>Masters → Regional Master → Cost Center Master.</t>
    </r>
    <r>
      <rPr>
        <sz val="11"/>
        <color theme="1"/>
        <rFont val="Calibri"/>
        <family val="2"/>
        <scheme val="minor"/>
      </rPr>
      <t xml:space="preserve">
4. From the left-side list panel, select any record and verify that the corresponding details are displayed in the Cost Center Details Grid.
5. Select a different record and confirm that the grid updates accordingly.
6.Verify that the previously selected record returns to the default (non-highlighted) color.</t>
    </r>
  </si>
  <si>
    <t>1. The selected record details should be displayed correctly in the Cost Center Details Grid.
2. When another record is selected, the grid should refresh and display the new record.
3. The previously selected record should lose its highlight and return to the default white color.
4. The Save button should remain enabled after clicking the Clear button.</t>
  </si>
  <si>
    <r>
      <t xml:space="preserve">1. The selected record is displayed in the </t>
    </r>
    <r>
      <rPr>
        <b/>
        <sz val="11"/>
        <color theme="1"/>
        <rFont val="Calibri"/>
        <family val="2"/>
        <scheme val="minor"/>
      </rPr>
      <t>Cost Center Details Grid</t>
    </r>
    <r>
      <rPr>
        <sz val="11"/>
        <color theme="1"/>
        <rFont val="Calibri"/>
        <family val="2"/>
        <scheme val="minor"/>
      </rPr>
      <t xml:space="preserve">, but the </t>
    </r>
    <r>
      <rPr>
        <b/>
        <sz val="11"/>
        <color theme="1"/>
        <rFont val="Calibri"/>
        <family val="2"/>
        <scheme val="minor"/>
      </rPr>
      <t>Note</t>
    </r>
    <r>
      <rPr>
        <sz val="11"/>
        <color theme="1"/>
        <rFont val="Calibri"/>
        <family val="2"/>
        <scheme val="minor"/>
      </rPr>
      <t xml:space="preserve"> textbox values are not reflected properly in the grid.
2. The previously selected record remains highlighted in green even after selecting another record.
3. The Save button becomes disabled after clicking the Clear button, which is unexpected.
Note: </t>
    </r>
    <r>
      <rPr>
        <b/>
        <sz val="11"/>
        <color theme="1"/>
        <rFont val="Calibri"/>
        <family val="2"/>
        <scheme val="minor"/>
      </rPr>
      <t>The Save button should become enabled again after clicking the Clear button.</t>
    </r>
  </si>
  <si>
    <r>
      <t>1. Open the application and log in.
2. Select Branch: AHMEDABAD, Export Type: Export Sea, FY: 2025–2026, and click OK.
3. Navigate to</t>
    </r>
    <r>
      <rPr>
        <b/>
        <sz val="11"/>
        <color theme="1"/>
        <rFont val="Calibri"/>
        <family val="2"/>
        <scheme val="minor"/>
      </rPr>
      <t xml:space="preserve"> Masters → Regional Master → Period Master.</t>
    </r>
    <r>
      <rPr>
        <sz val="11"/>
        <color theme="1"/>
        <rFont val="Calibri"/>
        <family val="2"/>
        <scheme val="minor"/>
      </rPr>
      <t xml:space="preserve">
4. From the Left-side panel list, click Select for any existing Record.
5. Verify that the Period Details Grid is populated for the selected record.
6. Click Select on the reocrd in the Period Details Grid.
7. Verify that the selected grid record is reflected in the corresponding textboxes.
8. Verify that the Total Entry Count label displays the correct number of remaining records in the Grid View.</t>
    </r>
  </si>
  <si>
    <r>
      <t xml:space="preserve">Validate that a record selected from the </t>
    </r>
    <r>
      <rPr>
        <b/>
        <sz val="11"/>
        <color theme="1"/>
        <rFont val="Calibri"/>
        <family val="2"/>
        <scheme val="minor"/>
      </rPr>
      <t>Cost Center Details Grid i</t>
    </r>
    <r>
      <rPr>
        <sz val="11"/>
        <color theme="1"/>
        <rFont val="Calibri"/>
        <family val="2"/>
        <scheme val="minor"/>
      </rPr>
      <t xml:space="preserve">s correctly reflected in the corresponding textboxes on the </t>
    </r>
    <r>
      <rPr>
        <b/>
        <sz val="11"/>
        <color theme="1"/>
        <rFont val="Calibri"/>
        <family val="2"/>
        <scheme val="minor"/>
      </rPr>
      <t>Cost Center Master page</t>
    </r>
    <r>
      <rPr>
        <sz val="11"/>
        <color theme="1"/>
        <rFont val="Calibri"/>
        <family val="2"/>
        <scheme val="minor"/>
      </rPr>
      <t xml:space="preserve"> and that the Total Entry Count updates correctly in Cost Center Master Page.</t>
    </r>
  </si>
  <si>
    <r>
      <t>1. Open the application and log in.
2. Select Branch: AHMEDABAD, Export Type: Export Sea, FY: 2025–2026, and click OK.
3. Navigate to</t>
    </r>
    <r>
      <rPr>
        <b/>
        <sz val="11"/>
        <color theme="1"/>
        <rFont val="Calibri"/>
        <family val="2"/>
        <scheme val="minor"/>
      </rPr>
      <t xml:space="preserve"> Masters → Regional Master → Cost Center Master.</t>
    </r>
    <r>
      <rPr>
        <sz val="11"/>
        <color theme="1"/>
        <rFont val="Calibri"/>
        <family val="2"/>
        <scheme val="minor"/>
      </rPr>
      <t xml:space="preserve">
4. From the left-side panel list, click Select on any existing record.
5. Verify that the Cost Center Details Grid populates for the selected record.
6. Within the Cost Center Details Grid, click Select on the record.
7. Verify the selected grid record’s data is reflected in the corresponding textboxes on the page.
8. Check the Total Entry Count label and confirm it shows the correct number in the grid.
9. If you remove or clear records from the grid, verify the Total Entry Count updates accordingly (and shows 0 when the grid is empty).</t>
    </r>
  </si>
  <si>
    <t>1. The selected record should appear in the Cost Center Details Grid, and the grid’s textbox values should display the record data.
2. Selecting a record in the grid should populate the corresponding textboxes with that record’s data.
3. When selecting another record from the left panel, the previously selected record should lose its highlight and return to the default (white) color.
4. The Total Entry Count must update dynamically to reflect the number of records in the grid; if the grid is empty, it should display 0.
5. The Save button should behave normally after clicking on clear button.</t>
  </si>
  <si>
    <r>
      <t xml:space="preserve">1. The functionality is not working as expected.
2. The selected record is displayed in the Cost Center Details Grid, but the grid’s textboxes do not reflect </t>
    </r>
    <r>
      <rPr>
        <b/>
        <sz val="11"/>
        <color theme="1"/>
        <rFont val="Calibri"/>
        <family val="2"/>
        <scheme val="minor"/>
      </rPr>
      <t>Note</t>
    </r>
    <r>
      <rPr>
        <sz val="11"/>
        <color theme="1"/>
        <rFont val="Calibri"/>
        <family val="2"/>
        <scheme val="minor"/>
      </rPr>
      <t xml:space="preserve"> textbox values.
3. The previously selected record remains highlighted in green even after selecting another record.
4. The Total Entry Count does not update when records are removed 
5. The Save button becomes disabled after clicking Clear.
</t>
    </r>
  </si>
  <si>
    <t>Cost_Center_Master_06</t>
  </si>
  <si>
    <r>
      <t xml:space="preserve">Validate the functionality of </t>
    </r>
    <r>
      <rPr>
        <b/>
        <sz val="11"/>
        <color theme="1"/>
        <rFont val="Calibri"/>
        <family val="2"/>
        <scheme val="minor"/>
      </rPr>
      <t>'Code'</t>
    </r>
    <r>
      <rPr>
        <sz val="11"/>
        <color theme="1"/>
        <rFont val="Calibri"/>
        <family val="2"/>
        <scheme val="minor"/>
      </rPr>
      <t xml:space="preserve"> textbox in the Cost Center Master Page.</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</si>
  <si>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Enter valid &amp; Invalid value in Code textbox and observe the system behaviour.</t>
    </r>
  </si>
  <si>
    <t>Cost_Center_Master_07</t>
  </si>
  <si>
    <r>
      <t xml:space="preserve">Validate the functionality of </t>
    </r>
    <r>
      <rPr>
        <b/>
        <sz val="11"/>
        <color theme="1"/>
        <rFont val="Calibri"/>
        <family val="2"/>
        <scheme val="minor"/>
      </rPr>
      <t>'Name'</t>
    </r>
    <r>
      <rPr>
        <sz val="11"/>
        <color theme="1"/>
        <rFont val="Calibri"/>
        <family val="2"/>
        <scheme val="minor"/>
      </rPr>
      <t xml:space="preserve"> textbox in the Cost Center Master Page.</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</si>
  <si>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Enter valid &amp; Invalid value in Name textbox and observe the system behaviour.</t>
    </r>
  </si>
  <si>
    <t>Cost_Center_Master_08</t>
  </si>
  <si>
    <r>
      <t xml:space="preserve">Validate the functionality of </t>
    </r>
    <r>
      <rPr>
        <b/>
        <sz val="11"/>
        <color theme="1"/>
        <rFont val="Calibri"/>
        <family val="2"/>
        <scheme val="minor"/>
      </rPr>
      <t>'Display Status'</t>
    </r>
    <r>
      <rPr>
        <sz val="11"/>
        <color theme="1"/>
        <rFont val="Calibri"/>
        <family val="2"/>
        <scheme val="minor"/>
      </rPr>
      <t xml:space="preserve"> dropdown in Cost Center Master page.</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</si>
  <si>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select a value from the dropdown list and oberve the system behaviour.</t>
    </r>
  </si>
  <si>
    <t>Cost_Center_Master_09</t>
  </si>
  <si>
    <r>
      <t xml:space="preserve">Validate the functionality of </t>
    </r>
    <r>
      <rPr>
        <b/>
        <sz val="11"/>
        <color theme="1"/>
        <rFont val="Calibri"/>
        <family val="2"/>
        <scheme val="minor"/>
      </rPr>
      <t>'Note'</t>
    </r>
    <r>
      <rPr>
        <sz val="11"/>
        <color theme="1"/>
        <rFont val="Calibri"/>
        <family val="2"/>
        <scheme val="minor"/>
      </rPr>
      <t xml:space="preserve"> textbox in the Cost Center Master Page.</t>
    </r>
  </si>
  <si>
    <t>1. As Per business rule, This textbox should accept all type value such as a: Alphabetic value, Numeric Value and Special character value.
5.  Textbox limit should be maximum 250 characters.</t>
  </si>
  <si>
    <t>1. The functionality is working as expected.
2. This textbox is accepting all type of value.
3. Textbox character limit of 250 characters is correctly implemented.</t>
  </si>
  <si>
    <t>Cost_Center_Master_10</t>
  </si>
  <si>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Enter valid data in all fields of Cost Center Master Page and click the Save button and observe the system behavior.</t>
    </r>
  </si>
  <si>
    <r>
      <t>1. The system should successfully save the record and display a confirmation pop-up message (e.g., “</t>
    </r>
    <r>
      <rPr>
        <b/>
        <sz val="11"/>
        <color theme="1"/>
        <rFont val="Calibri"/>
        <family val="2"/>
        <scheme val="minor"/>
      </rPr>
      <t>Record saved successfully</t>
    </r>
    <r>
      <rPr>
        <sz val="11"/>
        <color theme="1"/>
        <rFont val="Calibri"/>
        <family val="2"/>
        <scheme val="minor"/>
      </rPr>
      <t xml:space="preserve">”).
2. The saved record should be added in the left panel list.
3. The newly saved record should be searchable using the search box.
</t>
    </r>
  </si>
  <si>
    <r>
      <t xml:space="preserve">Validate the Functionality of the </t>
    </r>
    <r>
      <rPr>
        <b/>
        <sz val="11"/>
        <color theme="1"/>
        <rFont val="Calibri"/>
        <family val="2"/>
        <scheme val="minor"/>
      </rPr>
      <t>Save</t>
    </r>
    <r>
      <rPr>
        <sz val="11"/>
        <color theme="1"/>
        <rFont val="Calibri"/>
        <family val="2"/>
        <scheme val="minor"/>
      </rPr>
      <t xml:space="preserve"> Button when All (Mandatory &amp; Non-Mandatory) fields are Filled in the Cost Center Master Page.</t>
    </r>
  </si>
  <si>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xml:space="preserve"> (non-mandatory fields left blank) on the Cost Center Master Page.</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</si>
  <si>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Enter valid values in All mandatory fields only and leave non-mandatory fields blank.
5. Click Save button and observe system behaviour.</t>
    </r>
  </si>
  <si>
    <r>
      <t>1. Record saved successfully and a success message is displayed.
2.</t>
    </r>
    <r>
      <rPr>
        <b/>
        <sz val="11"/>
        <color theme="1"/>
        <rFont val="Calibri"/>
        <family val="2"/>
        <scheme val="minor"/>
      </rPr>
      <t xml:space="preserve"> If any mandatory field is left blank, the validation message is displayed properly. ( Display Status Validation Message is showing wrongly ) - Updated in  Test Case</t>
    </r>
    <r>
      <rPr>
        <sz val="11"/>
        <color theme="1"/>
        <rFont val="Calibri"/>
        <family val="2"/>
        <scheme val="minor"/>
      </rPr>
      <t xml:space="preserve">
3. The newly saved record appears in the left-side panel list and searchable.</t>
    </r>
  </si>
  <si>
    <t>Cost_Center_Master_11</t>
  </si>
  <si>
    <t>Cost_Center_Master_12</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</si>
  <si>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Cost Center Master Page</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</si>
  <si>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Regional Master -&gt; cost Center Master</t>
    </r>
    <r>
      <rPr>
        <sz val="11"/>
        <color theme="1"/>
        <rFont val="Calibri"/>
        <family val="2"/>
        <scheme val="minor"/>
      </rPr>
      <t xml:space="preserve">
4. Without Filling any field in Cost Center Master Page, click on save button and observe system behaviour.</t>
    </r>
  </si>
  <si>
    <t>1. Functionality works as expected.
2. Record is not saved without filling mandatory fields.</t>
  </si>
  <si>
    <t>Cost_Center_Master_13</t>
  </si>
  <si>
    <r>
      <t xml:space="preserve">Validate the functionality of </t>
    </r>
    <r>
      <rPr>
        <b/>
        <sz val="11"/>
        <color theme="1"/>
        <rFont val="Calibri"/>
        <family val="2"/>
        <scheme val="minor"/>
      </rPr>
      <t>Modify</t>
    </r>
    <r>
      <rPr>
        <sz val="11"/>
        <color theme="1"/>
        <rFont val="Calibri"/>
        <family val="2"/>
        <scheme val="minor"/>
      </rPr>
      <t xml:space="preserve"> button on the cost Center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</si>
  <si>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</si>
  <si>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Cost_Center_Master_14</t>
  </si>
  <si>
    <r>
      <t xml:space="preserve">Validate the functionality of </t>
    </r>
    <r>
      <rPr>
        <b/>
        <sz val="11"/>
        <color theme="1"/>
        <rFont val="Calibri"/>
        <family val="2"/>
        <scheme val="minor"/>
      </rPr>
      <t>Clear</t>
    </r>
    <r>
      <rPr>
        <sz val="11"/>
        <color theme="1"/>
        <rFont val="Calibri"/>
        <family val="2"/>
        <scheme val="minor"/>
      </rPr>
      <t xml:space="preserve"> button on the Cost Center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</si>
  <si>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Enter values in all or few input fields.
5. Click the Clear button and observe the system behavior.</t>
    </r>
  </si>
  <si>
    <r>
      <t xml:space="preserve">Validate the functionality of the </t>
    </r>
    <r>
      <rPr>
        <b/>
        <sz val="11"/>
        <color theme="1"/>
        <rFont val="Calibri"/>
        <family val="2"/>
        <scheme val="minor"/>
      </rPr>
      <t xml:space="preserve">Page Responsiveness </t>
    </r>
    <r>
      <rPr>
        <sz val="11"/>
        <color theme="1"/>
        <rFont val="Calibri"/>
        <family val="2"/>
        <scheme val="minor"/>
      </rPr>
      <t>on the Cost Center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</si>
  <si>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</si>
  <si>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Cost Center</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</si>
  <si>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Cost_Center_Master_15</t>
  </si>
  <si>
    <r>
      <t xml:space="preserve">Validate the functionality of </t>
    </r>
    <r>
      <rPr>
        <b/>
        <sz val="11"/>
        <color theme="1"/>
        <rFont val="Calibri"/>
        <family val="2"/>
        <scheme val="minor"/>
      </rPr>
      <t>Keyword Action</t>
    </r>
    <r>
      <rPr>
        <sz val="11"/>
        <color theme="1"/>
        <rFont val="Calibri"/>
        <family val="2"/>
        <scheme val="minor"/>
      </rPr>
      <t xml:space="preserve"> on the Cost Center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</si>
  <si>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Use keyword button to fill the foam and observe the system behaviour.</t>
    </r>
  </si>
  <si>
    <t xml:space="preserve">Functionality is working as expected.
</t>
  </si>
  <si>
    <t>Cost_Center_Master_16</t>
  </si>
  <si>
    <t>Cost_Center_Master_17</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</si>
  <si>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and Error pop-up messages </t>
    </r>
    <r>
      <rPr>
        <sz val="11"/>
        <color theme="1"/>
        <rFont val="Calibri"/>
        <family val="2"/>
        <scheme val="minor"/>
      </rPr>
      <t xml:space="preserve">on the </t>
    </r>
    <r>
      <rPr>
        <b/>
        <sz val="11"/>
        <color theme="1"/>
        <rFont val="Calibri"/>
        <family val="2"/>
        <scheme val="minor"/>
      </rPr>
      <t>Cost Center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</si>
  <si>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Observe the Success Pop-up and Error Pop-up Readibility for each field.</t>
    </r>
  </si>
  <si>
    <t>1. Success and Error pop-ups should appear with clear, readable messages.
2. Messages should be properly formatted and user-friendly.
3. Correct validation message should be displayed.</t>
  </si>
  <si>
    <r>
      <t xml:space="preserve">1. Functionality is not working as expected.
2. An incorrect validation message is displayed when the Display Status field is left blank (Clicking on clear button)
</t>
    </r>
    <r>
      <rPr>
        <b/>
        <sz val="11"/>
        <color theme="1"/>
        <rFont val="Calibri"/>
        <family val="2"/>
        <scheme val="minor"/>
      </rPr>
      <t xml:space="preserve"> -&gt; Actual Message: Please enter LoVStatus
 -&gt; Expected Message: Please select Display Status</t>
    </r>
    <r>
      <rPr>
        <sz val="11"/>
        <color theme="1"/>
        <rFont val="Calibri"/>
        <family val="2"/>
        <scheme val="minor"/>
      </rPr>
      <t xml:space="preserve">
</t>
    </r>
  </si>
  <si>
    <t>Cost_Center_Master_18</t>
  </si>
  <si>
    <r>
      <t>Validate the functionality of</t>
    </r>
    <r>
      <rPr>
        <b/>
        <sz val="11"/>
        <color theme="1"/>
        <rFont val="Calibri"/>
        <family val="2"/>
        <scheme val="minor"/>
      </rPr>
      <t xml:space="preserve"> Session timeout</t>
    </r>
    <r>
      <rPr>
        <sz val="11"/>
        <color theme="1"/>
        <rFont val="Calibri"/>
        <family val="2"/>
        <scheme val="minor"/>
      </rPr>
      <t xml:space="preserve"> of the Cost Center Master Page.</t>
    </r>
  </si>
  <si>
    <r>
      <t xml:space="preserve">1. Open the application and log in 
2. Select Branch: AHMEDABAD, Export Type: Export Sea, FY 2025–2026, click OK.
3. Navigate to </t>
    </r>
    <r>
      <rPr>
        <b/>
        <sz val="11"/>
        <color theme="1"/>
        <rFont val="Calibri"/>
        <family val="2"/>
        <scheme val="minor"/>
      </rPr>
      <t xml:space="preserve">Masters -&gt; Regional Master -&gt; Cost Center Master
</t>
    </r>
    <r>
      <rPr>
        <sz val="11"/>
        <color theme="1"/>
        <rFont val="Calibri"/>
        <family val="2"/>
        <scheme val="minor"/>
      </rPr>
      <t>4. Leave the Cost Center Master page idle for long time and observe the system behaviour.</t>
    </r>
  </si>
  <si>
    <t>Regional Master --&gt; Cost Center Master</t>
  </si>
  <si>
    <t>IMO_Master_01</t>
  </si>
  <si>
    <t xml:space="preserve">Shipment Info -&gt; IMO Master
</t>
  </si>
  <si>
    <r>
      <t xml:space="preserve">Validate the functionality of </t>
    </r>
    <r>
      <rPr>
        <b/>
        <sz val="11"/>
        <color theme="1"/>
        <rFont val="Calibri"/>
        <family val="2"/>
        <scheme val="minor"/>
      </rPr>
      <t>IMO</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Shipment Info</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</si>
  <si>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Info</t>
    </r>
    <r>
      <rPr>
        <sz val="11"/>
        <color theme="1"/>
        <rFont val="Calibri"/>
        <family val="2"/>
        <scheme val="minor"/>
      </rPr>
      <t xml:space="preserve"> -&gt; </t>
    </r>
    <r>
      <rPr>
        <b/>
        <sz val="11"/>
        <color theme="1"/>
        <rFont val="Calibri"/>
        <family val="2"/>
        <scheme val="minor"/>
      </rPr>
      <t>IMO</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</si>
  <si>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Shipment Info -&gt; IMO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</si>
  <si>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IMO</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 is opening properly.</t>
    </r>
  </si>
  <si>
    <t>BA-258</t>
  </si>
  <si>
    <t>BA-259</t>
  </si>
  <si>
    <t>BA-260</t>
  </si>
  <si>
    <t>1. Functionality is not working as expected.
2. Textbox is accepting invalid value - special character, alphabetic value. 
(if enter special character then wrong validation message is coming)
3. Textbox character limit of 10 characters is correctly implemented.</t>
  </si>
  <si>
    <t>BA-261</t>
  </si>
  <si>
    <t>BA-262</t>
  </si>
  <si>
    <t>Action_Master_18</t>
  </si>
  <si>
    <t>BA-263</t>
  </si>
  <si>
    <r>
      <t xml:space="preserve">1. The selected record is reflected correctly in the Period Details Grid.
2. The previously selected record remains highlighted in green even after selecting another record.
3. The Save button becomes disabled even after clicking on Clear button. This behaviour is not expected.
</t>
    </r>
    <r>
      <rPr>
        <b/>
        <sz val="11"/>
        <color theme="1"/>
        <rFont val="Calibri"/>
        <family val="2"/>
        <scheme val="minor"/>
      </rPr>
      <t xml:space="preserve">
Note: Save button should be enabled, after clicking on Clear button.</t>
    </r>
  </si>
  <si>
    <t>BA-264</t>
  </si>
  <si>
    <t>BA-265</t>
  </si>
  <si>
    <t>BA-266</t>
  </si>
  <si>
    <t>BA-267</t>
  </si>
  <si>
    <t>BA-270</t>
  </si>
  <si>
    <t>BA-271</t>
  </si>
  <si>
    <t>BA-272</t>
  </si>
  <si>
    <t>BA-273</t>
  </si>
  <si>
    <t>BA-274</t>
  </si>
  <si>
    <t>BA-275</t>
  </si>
  <si>
    <t>BA-276</t>
  </si>
  <si>
    <t>IMO_Master_02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</si>
  <si>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IMO Master Page.</t>
    </r>
  </si>
  <si>
    <t>Search Data:
 -&gt; IMO Master testing 1</t>
  </si>
  <si>
    <r>
      <t xml:space="preserve">1. The Search textbox is working only for the first word of the record name.
</t>
    </r>
    <r>
      <rPr>
        <b/>
        <sz val="11"/>
        <color theme="1"/>
        <rFont val="Calibri"/>
        <family val="2"/>
        <scheme val="minor"/>
      </rPr>
      <t>Example record: 'IMO Master testing 1' recrod
-&gt; Searching 'IMO' → Return Result
 -&gt; Searching 'Master' →  No result
 -&gt; Searching 'Testing' →  No result
-&gt; Searching '1' →  No result</t>
    </r>
  </si>
  <si>
    <r>
      <t xml:space="preserve">1. Open the application and log in 
2. Select Branch: AHMEDABAD, Export Type: Export Sea, FY 2025–2026, click OK.
3. Navigate to </t>
    </r>
    <r>
      <rPr>
        <b/>
        <sz val="11"/>
        <color theme="1"/>
        <rFont val="Calibri"/>
        <family val="2"/>
        <scheme val="minor"/>
      </rPr>
      <t xml:space="preserve">Masters -&gt; Shipment Info -&gt; IMO Master
</t>
    </r>
    <r>
      <rPr>
        <sz val="11"/>
        <color theme="1"/>
        <rFont val="Calibri"/>
        <family val="2"/>
        <scheme val="minor"/>
      </rPr>
      <t>4. Observe how the record list is filtered based on the entered search keyword.</t>
    </r>
  </si>
  <si>
    <t>IMO_Master_03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</si>
  <si>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behavior in Left-Side List for </t>
    </r>
    <r>
      <rPr>
        <b/>
        <sz val="11"/>
        <color theme="1"/>
        <rFont val="Calibri"/>
        <family val="2"/>
        <scheme val="minor"/>
      </rPr>
      <t>IMO</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</si>
  <si>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Shupment Info -&gt; IMO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</si>
  <si>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IMO_Master_04</t>
  </si>
  <si>
    <r>
      <t xml:space="preserve">Validate that the selected record from the left-side list is correctly reflected in the </t>
    </r>
    <r>
      <rPr>
        <b/>
        <sz val="11"/>
        <color theme="1"/>
        <rFont val="Calibri"/>
        <family val="2"/>
        <scheme val="minor"/>
      </rPr>
      <t>IMO Master Details Grid in IMO Master Page.</t>
    </r>
  </si>
  <si>
    <r>
      <t xml:space="preserve">1. Open the application and log in.
2. Select Branch: AHMEDABAD, Export Type: Export Sea, FY: 2025–2026, and click OK.
3. Navigate to </t>
    </r>
    <r>
      <rPr>
        <b/>
        <sz val="11"/>
        <color theme="1"/>
        <rFont val="Calibri"/>
        <family val="2"/>
        <scheme val="minor"/>
      </rPr>
      <t>Masters -&gt; Shupment Info -&gt; IMO Master</t>
    </r>
    <r>
      <rPr>
        <sz val="11"/>
        <color theme="1"/>
        <rFont val="Calibri"/>
        <family val="2"/>
        <scheme val="minor"/>
      </rPr>
      <t xml:space="preserve">
4. From the left-side list panel, select any record and verify that the corresponding details are displayed in the IMO Master Details Grid.
5. Select a different record and confirm that the grid updates accordingly.
6.Verify that the previously selected record returns to the default (non-highlighted) color.</t>
    </r>
  </si>
  <si>
    <t>Select any Record from left side panel list.</t>
  </si>
  <si>
    <t>1. The selected record details should be displayed correctly in the IMO Master Details Grid.
2. When another record is selected, the grid should refresh and display the new record.
3. The previously selected record should lose its highlight and return to the default white color.
4. The Save button should remain enabled after clicking the Clear button.</t>
  </si>
  <si>
    <r>
      <t xml:space="preserve">1. The selected record is displayed in the </t>
    </r>
    <r>
      <rPr>
        <b/>
        <sz val="11"/>
        <color theme="1"/>
        <rFont val="Calibri"/>
        <family val="2"/>
        <scheme val="minor"/>
      </rPr>
      <t>IMO Master</t>
    </r>
    <r>
      <rPr>
        <sz val="11"/>
        <color theme="1"/>
        <rFont val="Calibri"/>
        <family val="2"/>
        <scheme val="minor"/>
      </rPr>
      <t xml:space="preserve"> </t>
    </r>
    <r>
      <rPr>
        <b/>
        <sz val="11"/>
        <color theme="1"/>
        <rFont val="Calibri"/>
        <family val="2"/>
        <scheme val="minor"/>
      </rPr>
      <t xml:space="preserve"> Details Grid </t>
    </r>
    <r>
      <rPr>
        <sz val="11"/>
        <color theme="1"/>
        <rFont val="Calibri"/>
        <family val="2"/>
        <scheme val="minor"/>
      </rPr>
      <t>properly.
2. The previously selected record remains highlighted in green even after selecting another record.
3. The Save button becomes enabled after clicking the Clear button.</t>
    </r>
  </si>
  <si>
    <t>IMO_Master_05</t>
  </si>
  <si>
    <r>
      <t xml:space="preserve">Validate that a record selected from the </t>
    </r>
    <r>
      <rPr>
        <b/>
        <sz val="11"/>
        <color theme="1"/>
        <rFont val="Calibri"/>
        <family val="2"/>
        <scheme val="minor"/>
      </rPr>
      <t>IMO Master</t>
    </r>
    <r>
      <rPr>
        <sz val="11"/>
        <color theme="1"/>
        <rFont val="Calibri"/>
        <family val="2"/>
        <scheme val="minor"/>
      </rPr>
      <t xml:space="preserve"> </t>
    </r>
    <r>
      <rPr>
        <b/>
        <sz val="11"/>
        <color theme="1"/>
        <rFont val="Calibri"/>
        <family val="2"/>
        <scheme val="minor"/>
      </rPr>
      <t>Details Grid i</t>
    </r>
    <r>
      <rPr>
        <sz val="11"/>
        <color theme="1"/>
        <rFont val="Calibri"/>
        <family val="2"/>
        <scheme val="minor"/>
      </rPr>
      <t xml:space="preserve">s correctly reflected in the corresponding textboxes on the </t>
    </r>
    <r>
      <rPr>
        <b/>
        <sz val="11"/>
        <color theme="1"/>
        <rFont val="Calibri"/>
        <family val="2"/>
        <scheme val="minor"/>
      </rPr>
      <t>IMO Master page.</t>
    </r>
  </si>
  <si>
    <r>
      <t>1. Open the application and log in.
2. Select Branch: AHMEDABAD, Export Type: Export Sea, FY: 2025–2026, and click OK.
3. Navigate to</t>
    </r>
    <r>
      <rPr>
        <b/>
        <sz val="11"/>
        <color theme="1"/>
        <rFont val="Calibri"/>
        <family val="2"/>
        <scheme val="minor"/>
      </rPr>
      <t xml:space="preserve"> Masters -&gt; Shupment Info -&gt; IMO Master.</t>
    </r>
    <r>
      <rPr>
        <sz val="11"/>
        <color theme="1"/>
        <rFont val="Calibri"/>
        <family val="2"/>
        <scheme val="minor"/>
      </rPr>
      <t xml:space="preserve">
4. From the left-side panel list, click Select on any existing record.
5. Verify that the IMO Master Details Grid populates for the selected record.
6. Within the IMO Master Details Grid, click Select on the record.
7. Verify the selected grid record’s data is reflected in the corresponding textboxes on the page.
8. Check the Total Entry Count label and confirm it shows the correct entry count.
9. If you remove or clear records from the grid, verify the Total Entry Count updates accordingly (and shows 0 when the grid is empty).</t>
    </r>
  </si>
  <si>
    <t>1. The selected record should appear in the IMO Master Details Grid. 
2. Selecting a record in the grid should populate the corresponding textboxes with that record’s data.
3. When selecting another record from the left panel, the previously selected record should lose its highlight and return to the default (white) color.
4. The Total Entry Count must update dynamically to reflect the number of records in the grid; if the grid is empty, it should display 0.</t>
  </si>
  <si>
    <t xml:space="preserve">1. The functionality is not working as expected.
2. The selected record is displayed in the co-responding textboxes.
4. The Total Entry Count does not update when records are removed 
</t>
  </si>
  <si>
    <t>IMO_Master_06</t>
  </si>
  <si>
    <r>
      <t xml:space="preserve">Validate the functionality of </t>
    </r>
    <r>
      <rPr>
        <b/>
        <sz val="11"/>
        <color theme="1"/>
        <rFont val="Calibri"/>
        <family val="2"/>
        <scheme val="minor"/>
      </rPr>
      <t>'Name'</t>
    </r>
    <r>
      <rPr>
        <sz val="11"/>
        <color theme="1"/>
        <rFont val="Calibri"/>
        <family val="2"/>
        <scheme val="minor"/>
      </rPr>
      <t xml:space="preserve"> textbox in the IMO Master Master Page.</t>
    </r>
  </si>
  <si>
    <r>
      <t xml:space="preserve">1. Open the application and log in 
2. Select Branch: AHMEDABAD, Export Type: Export Sea, FY 2025–2026, click OK.
3. Navigate to </t>
    </r>
    <r>
      <rPr>
        <b/>
        <sz val="11"/>
        <color theme="1"/>
        <rFont val="Calibri"/>
        <family val="2"/>
        <scheme val="minor"/>
      </rPr>
      <t>Masters -&gt; Shupment Info -&gt; IMO Master.</t>
    </r>
    <r>
      <rPr>
        <sz val="11"/>
        <color theme="1"/>
        <rFont val="Calibri"/>
        <family val="2"/>
        <scheme val="minor"/>
      </rPr>
      <t xml:space="preserve">
4.  Enter valid &amp; Invalid value in Name textbox and observe the system behaviour.</t>
    </r>
  </si>
  <si>
    <t>1. As per Use Case, Name textbox should accept only alphanumeric value.
2. It should not accept invalid value such as - 
 -&gt; Only Space value
 -&gt; Special character value
 -&gt; Letter of combination (Alphanumeric with speical character and space)
5.  Textbox limit should be maximum 50 characters.</t>
  </si>
  <si>
    <r>
      <t xml:space="preserve">1. The functionality is not working as expected.
2. The textbox is accepting </t>
    </r>
    <r>
      <rPr>
        <b/>
        <sz val="11"/>
        <color theme="1"/>
        <rFont val="Calibri"/>
        <family val="2"/>
        <scheme val="minor"/>
      </rPr>
      <t>all type</t>
    </r>
    <r>
      <rPr>
        <sz val="11"/>
        <color theme="1"/>
        <rFont val="Calibri"/>
        <family val="2"/>
        <scheme val="minor"/>
      </rPr>
      <t xml:space="preserve"> </t>
    </r>
    <r>
      <rPr>
        <b/>
        <sz val="11"/>
        <color theme="1"/>
        <rFont val="Calibri"/>
        <family val="2"/>
        <scheme val="minor"/>
      </rPr>
      <t>special character</t>
    </r>
    <r>
      <rPr>
        <sz val="11"/>
        <color theme="1"/>
        <rFont val="Calibri"/>
        <family val="2"/>
        <scheme val="minor"/>
      </rPr>
      <t xml:space="preserve">.
3. Textbox character limit of 50 characters is correctly implemented.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</si>
  <si>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IMO_Master_07</t>
  </si>
  <si>
    <r>
      <t xml:space="preserve">Validate the functionality of </t>
    </r>
    <r>
      <rPr>
        <b/>
        <sz val="11"/>
        <color theme="1"/>
        <rFont val="Calibri"/>
        <family val="2"/>
        <scheme val="minor"/>
      </rPr>
      <t>'Display Status'</t>
    </r>
    <r>
      <rPr>
        <sz val="11"/>
        <color theme="1"/>
        <rFont val="Calibri"/>
        <family val="2"/>
        <scheme val="minor"/>
      </rPr>
      <t xml:space="preserve"> dropdown in IMO Master page.</t>
    </r>
  </si>
  <si>
    <r>
      <t>1. Open the application and log in 
2. Select Branch: AHMEDABAD, Export Type: Export Sea, FY 2025–2026, click OK.
3. Navigate to</t>
    </r>
    <r>
      <rPr>
        <b/>
        <sz val="11"/>
        <color theme="1"/>
        <rFont val="Calibri"/>
        <family val="2"/>
        <scheme val="minor"/>
      </rPr>
      <t xml:space="preserve"> Masters -&gt; Shupment Info -&gt; IMO Master</t>
    </r>
    <r>
      <rPr>
        <sz val="11"/>
        <color theme="1"/>
        <rFont val="Calibri"/>
        <family val="2"/>
        <scheme val="minor"/>
      </rPr>
      <t xml:space="preserve">
4.  select a value from the dropdown list and oberve the system behaviour.</t>
    </r>
  </si>
  <si>
    <t>IMO_Master_08</t>
  </si>
  <si>
    <r>
      <t xml:space="preserve">Validate the functionality of </t>
    </r>
    <r>
      <rPr>
        <b/>
        <sz val="11"/>
        <color theme="1"/>
        <rFont val="Calibri"/>
        <family val="2"/>
        <scheme val="minor"/>
      </rPr>
      <t>'Note'</t>
    </r>
    <r>
      <rPr>
        <sz val="11"/>
        <color theme="1"/>
        <rFont val="Calibri"/>
        <family val="2"/>
        <scheme val="minor"/>
      </rPr>
      <t xml:space="preserve"> textbox in the IMO Master Page.</t>
    </r>
  </si>
  <si>
    <r>
      <t xml:space="preserve">1. Open the application and log in 
2. Select Branch: AHMEDABAD, Export Type: Export Sea, FY 2025–2026, click OK.
3. Navigate to </t>
    </r>
    <r>
      <rPr>
        <b/>
        <sz val="11"/>
        <color theme="1"/>
        <rFont val="Calibri"/>
        <family val="2"/>
        <scheme val="minor"/>
      </rPr>
      <t>Masters -&gt; Shupment Info -&gt; IMO Master</t>
    </r>
    <r>
      <rPr>
        <sz val="11"/>
        <color theme="1"/>
        <rFont val="Calibri"/>
        <family val="2"/>
        <scheme val="minor"/>
      </rPr>
      <t xml:space="preserve">
4.  Enter valid &amp; Invalid value in Name textbox and observe the system behaviour.</t>
    </r>
  </si>
  <si>
    <r>
      <rPr>
        <b/>
        <sz val="11"/>
        <color theme="1"/>
        <rFont val="Calibri"/>
        <family val="2"/>
        <scheme val="minor"/>
      </rPr>
      <t xml:space="preserve">Textbox </t>
    </r>
    <r>
      <rPr>
        <sz val="11"/>
        <color theme="1"/>
        <rFont val="Calibri"/>
        <family val="2"/>
        <scheme val="minor"/>
      </rPr>
      <t xml:space="preserve">- Name
</t>
    </r>
    <r>
      <rPr>
        <b/>
        <sz val="11"/>
        <color theme="1"/>
        <rFont val="Calibri"/>
        <family val="2"/>
        <scheme val="minor"/>
      </rPr>
      <t>Valid Data</t>
    </r>
    <r>
      <rPr>
        <sz val="11"/>
        <color theme="1"/>
        <rFont val="Calibri"/>
        <family val="2"/>
        <scheme val="minor"/>
      </rPr>
      <t xml:space="preserve"> - Alphanumeric with special character
</t>
    </r>
    <r>
      <rPr>
        <b/>
        <sz val="11"/>
        <color theme="1"/>
        <rFont val="Calibri"/>
        <family val="2"/>
        <scheme val="minor"/>
      </rPr>
      <t xml:space="preserve">Invalid data - </t>
    </r>
    <r>
      <rPr>
        <sz val="11"/>
        <color theme="1"/>
        <rFont val="Calibri"/>
        <family val="2"/>
        <scheme val="minor"/>
      </rPr>
      <t>Only space value</t>
    </r>
  </si>
  <si>
    <t>IMO_Master_09</t>
  </si>
  <si>
    <r>
      <t xml:space="preserve">Validate the Functionality of the </t>
    </r>
    <r>
      <rPr>
        <b/>
        <sz val="11"/>
        <color theme="1"/>
        <rFont val="Calibri"/>
        <family val="2"/>
        <scheme val="minor"/>
      </rPr>
      <t>Save</t>
    </r>
    <r>
      <rPr>
        <sz val="11"/>
        <color theme="1"/>
        <rFont val="Calibri"/>
        <family val="2"/>
        <scheme val="minor"/>
      </rPr>
      <t xml:space="preserve"> Button when All (Mandatory &amp; Non-Mandatory) fields are Filled in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</si>
  <si>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Enter valid data in all fields of IMO Master Page and click the Save button and observe the system behaviour.</t>
    </r>
  </si>
  <si>
    <t>IMO_Master_10</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</si>
  <si>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xml:space="preserve"> (non-mandatory fields left blank) on the IMO Master Page.</t>
    </r>
  </si>
  <si>
    <r>
      <t xml:space="preserve">1. Open the application and log in 
2. Select Branch: AHMEDABAD, Export Type: Export Sea, FY 2025–2026, click OK.
3. Navigate to </t>
    </r>
    <r>
      <rPr>
        <b/>
        <sz val="11"/>
        <color theme="1"/>
        <rFont val="Calibri"/>
        <family val="2"/>
        <scheme val="minor"/>
      </rPr>
      <t>Masters -&gt; Shupment Info -&gt; IMO Master</t>
    </r>
    <r>
      <rPr>
        <sz val="11"/>
        <color theme="1"/>
        <rFont val="Calibri"/>
        <family val="2"/>
        <scheme val="minor"/>
      </rPr>
      <t xml:space="preserve">
4. Enter valid values in All mandatory fields only and leave non-mandatory fields blank.
5. Click Save button and observe system behaviour.</t>
    </r>
  </si>
  <si>
    <r>
      <t>1. Record saved successfully and a success message is displayed.
2.</t>
    </r>
    <r>
      <rPr>
        <b/>
        <sz val="11"/>
        <color theme="1"/>
        <rFont val="Calibri"/>
        <family val="2"/>
        <scheme val="minor"/>
      </rPr>
      <t xml:space="preserve"> If any mandatory field is left blank, the validation message is displayed properly. ( Display Status Validation Message is showing wrongly )</t>
    </r>
    <r>
      <rPr>
        <sz val="11"/>
        <color theme="1"/>
        <rFont val="Calibri"/>
        <family val="2"/>
        <scheme val="minor"/>
      </rPr>
      <t xml:space="preserve">
3. The newly saved record appears in the left-side panel list and searchable.</t>
    </r>
  </si>
  <si>
    <t>IMO_Master_11</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</si>
  <si>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IMO Master Page</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</si>
  <si>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Shupment Info -&gt; IMO Master</t>
    </r>
    <r>
      <rPr>
        <sz val="11"/>
        <color theme="1"/>
        <rFont val="Calibri"/>
        <family val="2"/>
        <scheme val="minor"/>
      </rPr>
      <t xml:space="preserve">
4. Without Filling any field in IMO Master Page, click on save button and observe system behaviour.</t>
    </r>
  </si>
  <si>
    <t>IMO_Master_12</t>
  </si>
  <si>
    <r>
      <t xml:space="preserve">Validate the functionality of </t>
    </r>
    <r>
      <rPr>
        <b/>
        <sz val="11"/>
        <color theme="1"/>
        <rFont val="Calibri"/>
        <family val="2"/>
        <scheme val="minor"/>
      </rPr>
      <t>Modify</t>
    </r>
    <r>
      <rPr>
        <sz val="11"/>
        <color theme="1"/>
        <rFont val="Calibri"/>
        <family val="2"/>
        <scheme val="minor"/>
      </rPr>
      <t xml:space="preserve"> button on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</si>
  <si>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</si>
  <si>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IMO_Master_13</t>
  </si>
  <si>
    <r>
      <t xml:space="preserve">Validate the functionality of </t>
    </r>
    <r>
      <rPr>
        <b/>
        <sz val="11"/>
        <color theme="1"/>
        <rFont val="Calibri"/>
        <family val="2"/>
        <scheme val="minor"/>
      </rPr>
      <t>Delete</t>
    </r>
    <r>
      <rPr>
        <sz val="11"/>
        <color theme="1"/>
        <rFont val="Calibri"/>
        <family val="2"/>
        <scheme val="minor"/>
      </rPr>
      <t xml:space="preserve"> button in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</si>
  <si>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From the left-side panel list, select any existing record.
5. Verify that the corresponding record details are populated in the input fields.
6. Click on the Delete button and observe the system behavior.</t>
    </r>
  </si>
  <si>
    <r>
      <t xml:space="preserve">Select any existing </t>
    </r>
    <r>
      <rPr>
        <sz val="11"/>
        <color theme="1"/>
        <rFont val="Calibri"/>
        <family val="2"/>
        <scheme val="minor"/>
      </rPr>
      <t>record from the left-side list.</t>
    </r>
  </si>
  <si>
    <r>
      <t xml:space="preserve">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left-side panel list.
If the user selects No →
The deletion process should be cancelled.
The record should remain unchanged.</t>
    </r>
  </si>
  <si>
    <r>
      <t xml:space="preserve">Functionality is working as Expected.
</t>
    </r>
    <r>
      <rPr>
        <b/>
        <sz val="11"/>
        <color theme="1"/>
        <rFont val="Calibri"/>
        <family val="2"/>
        <scheme val="minor"/>
      </rPr>
      <t xml:space="preserve">Note: System is not asking a confirmation message before delating a record, it directly delete the record. </t>
    </r>
  </si>
  <si>
    <t>IMO_Master_14</t>
  </si>
  <si>
    <r>
      <t xml:space="preserve">Validate the functionality of </t>
    </r>
    <r>
      <rPr>
        <b/>
        <sz val="11"/>
        <color theme="1"/>
        <rFont val="Calibri"/>
        <family val="2"/>
        <scheme val="minor"/>
      </rPr>
      <t>Clear</t>
    </r>
    <r>
      <rPr>
        <sz val="11"/>
        <color theme="1"/>
        <rFont val="Calibri"/>
        <family val="2"/>
        <scheme val="minor"/>
      </rPr>
      <t xml:space="preserve"> button on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</si>
  <si>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Enter values in all or few input fields.
5. Click the Clear button and observe the system behavior.</t>
    </r>
  </si>
  <si>
    <r>
      <t xml:space="preserve">Validate the functionality of the </t>
    </r>
    <r>
      <rPr>
        <b/>
        <sz val="11"/>
        <color theme="1"/>
        <rFont val="Calibri"/>
        <family val="2"/>
        <scheme val="minor"/>
      </rPr>
      <t xml:space="preserve">Page Responsiveness </t>
    </r>
    <r>
      <rPr>
        <sz val="11"/>
        <color theme="1"/>
        <rFont val="Calibri"/>
        <family val="2"/>
        <scheme val="minor"/>
      </rPr>
      <t>on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</si>
  <si>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</si>
  <si>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IMO</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</si>
  <si>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IMO_Master_15</t>
  </si>
  <si>
    <r>
      <t xml:space="preserve">Validate the functionality of </t>
    </r>
    <r>
      <rPr>
        <b/>
        <sz val="11"/>
        <color theme="1"/>
        <rFont val="Calibri"/>
        <family val="2"/>
        <scheme val="minor"/>
      </rPr>
      <t>Keyword Action</t>
    </r>
    <r>
      <rPr>
        <sz val="11"/>
        <color theme="1"/>
        <rFont val="Calibri"/>
        <family val="2"/>
        <scheme val="minor"/>
      </rPr>
      <t xml:space="preserve"> on the IMO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</si>
  <si>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Use keyword button to fill the foam and observe the system behaviour.</t>
    </r>
  </si>
  <si>
    <t>IMO_Master_16</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</si>
  <si>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readibility,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and Error pop-up messages </t>
    </r>
    <r>
      <rPr>
        <sz val="11"/>
        <color theme="1"/>
        <rFont val="Calibri"/>
        <family val="2"/>
        <scheme val="minor"/>
      </rPr>
      <t xml:space="preserve">on the </t>
    </r>
    <r>
      <rPr>
        <b/>
        <sz val="11"/>
        <color theme="1"/>
        <rFont val="Calibri"/>
        <family val="2"/>
        <scheme val="minor"/>
      </rPr>
      <t>IMO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</si>
  <si>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Observe the Success Pop-up and Error Pop-up Readibility for each field.</t>
    </r>
  </si>
  <si>
    <r>
      <t xml:space="preserve">1. Functionality is not working as expected.
2. An incorrect validation message is displayed when the Display Status field is left blank (Clicking on clear button)
</t>
    </r>
    <r>
      <rPr>
        <b/>
        <sz val="11"/>
        <color theme="1"/>
        <rFont val="Calibri"/>
        <family val="2"/>
        <scheme val="minor"/>
      </rPr>
      <t xml:space="preserve"> -&gt; Actual Message: Please Select Status!
 -&gt; Expected Message: Please Select Display Status!</t>
    </r>
    <r>
      <rPr>
        <sz val="11"/>
        <color theme="1"/>
        <rFont val="Calibri"/>
        <family val="2"/>
        <scheme val="minor"/>
      </rPr>
      <t xml:space="preserve">
</t>
    </r>
  </si>
  <si>
    <t>IMO_Master_17</t>
  </si>
  <si>
    <r>
      <t>Validate the functionality of</t>
    </r>
    <r>
      <rPr>
        <b/>
        <sz val="11"/>
        <color theme="1"/>
        <rFont val="Calibri"/>
        <family val="2"/>
        <scheme val="minor"/>
      </rPr>
      <t xml:space="preserve"> Session timeout</t>
    </r>
    <r>
      <rPr>
        <sz val="11"/>
        <color theme="1"/>
        <rFont val="Calibri"/>
        <family val="2"/>
        <scheme val="minor"/>
      </rPr>
      <t xml:space="preserve"> of the IMO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</si>
  <si>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IMO Master
</t>
    </r>
    <r>
      <rPr>
        <sz val="11"/>
        <color theme="1"/>
        <rFont val="Calibri"/>
        <family val="2"/>
        <scheme val="minor"/>
      </rPr>
      <t>4. Leave the IMO Master page idle for long time and observe the system behaviour.</t>
    </r>
  </si>
  <si>
    <t>IMO_Master_18</t>
  </si>
  <si>
    <t>Unit_Master_01</t>
  </si>
  <si>
    <t xml:space="preserve">Shipment Info -&gt; Unit Master
</t>
  </si>
  <si>
    <r>
      <t xml:space="preserve">Validate the functionality of </t>
    </r>
    <r>
      <rPr>
        <b/>
        <sz val="11"/>
        <color theme="1"/>
        <rFont val="Calibri"/>
        <family val="2"/>
        <scheme val="minor"/>
      </rPr>
      <t>Unit</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Shipment Info</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</si>
  <si>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Info</t>
    </r>
    <r>
      <rPr>
        <sz val="11"/>
        <color theme="1"/>
        <rFont val="Calibri"/>
        <family val="2"/>
        <scheme val="minor"/>
      </rPr>
      <t xml:space="preserve"> -&gt; </t>
    </r>
    <r>
      <rPr>
        <b/>
        <sz val="11"/>
        <color theme="1"/>
        <rFont val="Calibri"/>
        <family val="2"/>
        <scheme val="minor"/>
      </rPr>
      <t>Unit</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</si>
  <si>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Shipment Info -&gt; Unit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</si>
  <si>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Unit</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 is opening properly.</t>
    </r>
  </si>
  <si>
    <t>Unit_Master_02</t>
  </si>
  <si>
    <r>
      <t xml:space="preserve">1. Open the application and log in 
2. Select Branch: AHMEDABAD, Export Type: Export Sea, FY 2025–2026, click OK.
3. Navigate to </t>
    </r>
    <r>
      <rPr>
        <b/>
        <sz val="11"/>
        <color theme="1"/>
        <rFont val="Calibri"/>
        <family val="2"/>
        <scheme val="minor"/>
      </rPr>
      <t xml:space="preserve">Masters -&gt; Shipment Info -&gt; Unit Master
</t>
    </r>
    <r>
      <rPr>
        <sz val="11"/>
        <color theme="1"/>
        <rFont val="Calibri"/>
        <family val="2"/>
        <scheme val="minor"/>
      </rPr>
      <t>4. Observe how the record list is filtered based on the entered search keyword.</t>
    </r>
  </si>
  <si>
    <t>Search Data:
 -&gt; UNIT MASTER TESTING1</t>
  </si>
  <si>
    <t xml:space="preserve">1. The Search textbox functionality is not working properly.
2. Invalid value is not filtering properly. </t>
  </si>
  <si>
    <t>Unit_Master_03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</si>
  <si>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selection behavior in Left-Side List for </t>
    </r>
    <r>
      <rPr>
        <b/>
        <sz val="11"/>
        <color theme="1"/>
        <rFont val="Calibri"/>
        <family val="2"/>
        <scheme val="minor"/>
      </rPr>
      <t>Unit</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t>
    </r>
  </si>
  <si>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t>
    </r>
    <r>
      <rPr>
        <b/>
        <sz val="11"/>
        <color theme="1"/>
        <rFont val="Calibri"/>
        <family val="2"/>
        <scheme val="minor"/>
      </rPr>
      <t xml:space="preserve">Unit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</si>
  <si>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Shupment Info -&gt; Unit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</si>
  <si>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Unit_Master_04</t>
  </si>
  <si>
    <t>Validate that the selected record from the left-side list is correctly reflected in the corresponding textboxes of the Unit Master Page.</t>
  </si>
  <si>
    <r>
      <t xml:space="preserve">1. Open the application and log in.
2. Select Branch: AHMEDABAD, Export Type: Export Sea, FY: 2025–2026, and click OK.
3. Navigate to </t>
    </r>
    <r>
      <rPr>
        <b/>
        <sz val="11"/>
        <color theme="1"/>
        <rFont val="Calibri"/>
        <family val="2"/>
        <scheme val="minor"/>
      </rPr>
      <t>Masters -&gt; Shupment Info -&gt; Unit Master</t>
    </r>
    <r>
      <rPr>
        <sz val="11"/>
        <color theme="1"/>
        <rFont val="Calibri"/>
        <family val="2"/>
        <scheme val="minor"/>
      </rPr>
      <t xml:space="preserve">
4. From the left-side list panel, select any record.
5. Verify the selected record details displayed in the Unit Master textboxes.
6. Ensure the selected record is not removed from the left list.
7. Select another record from the left panel.
8. Verify the textboxes update with the newly selected record and the previous record loses its highlight.
</t>
    </r>
  </si>
  <si>
    <t>1. The selected record details must be displayed correctly in the Unit Master textboxes.
2. The selected record should remain visible in the left-side list (not removed).
 -&gt; When a new record is selected:
 -&gt; Textboxes should refresh with the new record’s data.
 -&gt; The previous record should return to default (white) color.
 -&gt; No record should disappear from the list.</t>
  </si>
  <si>
    <t>Unit_Master_05</t>
  </si>
  <si>
    <r>
      <t xml:space="preserve">Validate the functionality of </t>
    </r>
    <r>
      <rPr>
        <b/>
        <sz val="11"/>
        <color theme="1"/>
        <rFont val="Calibri"/>
        <family val="2"/>
        <scheme val="minor"/>
      </rPr>
      <t>'Code'</t>
    </r>
    <r>
      <rPr>
        <sz val="11"/>
        <color theme="1"/>
        <rFont val="Calibri"/>
        <family val="2"/>
        <scheme val="minor"/>
      </rPr>
      <t xml:space="preserve"> textbox in the Unit Master Page.</t>
    </r>
  </si>
  <si>
    <r>
      <t xml:space="preserve">1. Open the application and log in 
2. Select Branch: AHMEDABAD, Export Type: Export Sea, FY 2025–2026, click OK.
3. Navigate to </t>
    </r>
    <r>
      <rPr>
        <b/>
        <sz val="11"/>
        <color theme="1"/>
        <rFont val="Calibri"/>
        <family val="2"/>
        <scheme val="minor"/>
      </rPr>
      <t>Masters -&gt; Regional Master -&gt; Unit Master</t>
    </r>
    <r>
      <rPr>
        <sz val="11"/>
        <color theme="1"/>
        <rFont val="Calibri"/>
        <family val="2"/>
        <scheme val="minor"/>
      </rPr>
      <t xml:space="preserve">
4.  Enter valid &amp; Invalid value in Code textbox and observe the system behaviour.</t>
    </r>
  </si>
  <si>
    <t>1. As per Use Case, Code textbox should accept only alphanumeric value.
2. It should not accept invalid value such as - 
 -&gt; Only Space value
 -&gt; Special character value
 -&gt; Letter of combination (Alphanumeric with speical character and space)
5.  Textbox limit should be maximum 4 characters.</t>
  </si>
  <si>
    <r>
      <t xml:space="preserve">1. The functionality is not working as expected.
2. The textbox is accepting </t>
    </r>
    <r>
      <rPr>
        <b/>
        <sz val="11"/>
        <color theme="1"/>
        <rFont val="Calibri"/>
        <family val="2"/>
        <scheme val="minor"/>
      </rPr>
      <t>special character</t>
    </r>
    <r>
      <rPr>
        <sz val="11"/>
        <color theme="1"/>
        <rFont val="Calibri"/>
        <family val="2"/>
        <scheme val="minor"/>
      </rPr>
      <t>.
3. Textbox character limit of 4 characters is correctly implemented.</t>
    </r>
  </si>
  <si>
    <t>Unit_Master_06</t>
  </si>
  <si>
    <r>
      <t xml:space="preserve">Validate the functionality of </t>
    </r>
    <r>
      <rPr>
        <b/>
        <sz val="11"/>
        <color theme="1"/>
        <rFont val="Calibri"/>
        <family val="2"/>
        <scheme val="minor"/>
      </rPr>
      <t>'Name'</t>
    </r>
    <r>
      <rPr>
        <sz val="11"/>
        <color theme="1"/>
        <rFont val="Calibri"/>
        <family val="2"/>
        <scheme val="minor"/>
      </rPr>
      <t xml:space="preserve"> textbox in the Unit Master Page.</t>
    </r>
  </si>
  <si>
    <r>
      <t xml:space="preserve">1. Open the application and log in 
2. Select Branch: AHMEDABAD, Export Type: Export Sea, FY 2025–2026, click OK.
3. Navigate to </t>
    </r>
    <r>
      <rPr>
        <b/>
        <sz val="11"/>
        <color theme="1"/>
        <rFont val="Calibri"/>
        <family val="2"/>
        <scheme val="minor"/>
      </rPr>
      <t>Masters -&gt; Shupment Info -&gt; Unit Master.</t>
    </r>
    <r>
      <rPr>
        <sz val="11"/>
        <color theme="1"/>
        <rFont val="Calibri"/>
        <family val="2"/>
        <scheme val="minor"/>
      </rPr>
      <t xml:space="preserve">
4.  Enter valid &amp; Invalid value in Name textbox and observe the system behaviour.</t>
    </r>
  </si>
  <si>
    <t>Unit_Master_07</t>
  </si>
  <si>
    <r>
      <t xml:space="preserve">Validate the functionality of </t>
    </r>
    <r>
      <rPr>
        <b/>
        <sz val="11"/>
        <color theme="1"/>
        <rFont val="Calibri"/>
        <family val="2"/>
        <scheme val="minor"/>
      </rPr>
      <t>'Type'</t>
    </r>
    <r>
      <rPr>
        <sz val="11"/>
        <color theme="1"/>
        <rFont val="Calibri"/>
        <family val="2"/>
        <scheme val="minor"/>
      </rPr>
      <t xml:space="preserve"> dropdown in Unit Master page.</t>
    </r>
  </si>
  <si>
    <r>
      <t>1. Open the application and log in 
2. Select Branch: AHMEDABAD, Export Type: Export Sea, FY 2025–2026, click OK.
3. Navigate to</t>
    </r>
    <r>
      <rPr>
        <b/>
        <sz val="11"/>
        <color theme="1"/>
        <rFont val="Calibri"/>
        <family val="2"/>
        <scheme val="minor"/>
      </rPr>
      <t xml:space="preserve"> Masters -&gt; Shupment Info -&gt; Unit Master</t>
    </r>
    <r>
      <rPr>
        <sz val="11"/>
        <color theme="1"/>
        <rFont val="Calibri"/>
        <family val="2"/>
        <scheme val="minor"/>
      </rPr>
      <t xml:space="preserve">
4.  select a value from the dropdown list and oberve the system behaviour.</t>
    </r>
  </si>
  <si>
    <r>
      <t>Textbox - Type</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Container, Shipment, Unit, Job</t>
    </r>
  </si>
  <si>
    <r>
      <t xml:space="preserve">1. </t>
    </r>
    <r>
      <rPr>
        <b/>
        <sz val="11"/>
        <color theme="1"/>
        <rFont val="Calibri"/>
        <family val="2"/>
        <scheme val="minor"/>
      </rPr>
      <t xml:space="preserve">Type </t>
    </r>
    <r>
      <rPr>
        <sz val="11"/>
        <color theme="1"/>
        <rFont val="Calibri"/>
        <family val="2"/>
        <scheme val="minor"/>
      </rPr>
      <t>textbox should not accept any manual input.
2. User must be able to select values only from the dropdown list.
3. If the user types any invalid value or characters, the textbox should auto-clear the input.</t>
    </r>
  </si>
  <si>
    <t>Unit_Master_08</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</si>
  <si>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in the Unit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</si>
  <si>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-&gt;Unit Master
</t>
    </r>
    <r>
      <rPr>
        <sz val="11"/>
        <color theme="1"/>
        <rFont val="Calibri"/>
        <family val="2"/>
        <scheme val="minor"/>
      </rPr>
      <t>4. Enter valid data in all fields of Unit Master Page and click the Save button and observe the system behaviour.</t>
    </r>
  </si>
  <si>
    <t>Unit_Master_09</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</si>
  <si>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Unit Master Page</t>
    </r>
    <r>
      <rPr>
        <sz val="11"/>
        <color theme="1"/>
        <rFont val="Calibri"/>
        <family val="2"/>
        <scheme val="minor"/>
      </rPr>
      <t>.</t>
    </r>
  </si>
  <si>
    <t>1. Record should not be saved.
2. Mandatory field validation messages should appear properly for all required fields.
3. Validation message sequence must follow the field order on the form (i.e., sequence: Code → Name → Type).</t>
  </si>
  <si>
    <t>1. The record is not saved (correct).
2. Mandatory validation messages are displayed for required fields (correct).
3. Validation message sequence is incorrect.
 -&gt; Field order on form: Code, Name, Type.
 -&gt; Validation messages appear in order: Name, Type, Code.</t>
  </si>
  <si>
    <t>Unit_Master_10</t>
  </si>
  <si>
    <r>
      <t xml:space="preserve">Validate the functionality of </t>
    </r>
    <r>
      <rPr>
        <b/>
        <sz val="11"/>
        <color theme="1"/>
        <rFont val="Calibri"/>
        <family val="2"/>
        <scheme val="minor"/>
      </rPr>
      <t>Modify</t>
    </r>
    <r>
      <rPr>
        <sz val="11"/>
        <color theme="1"/>
        <rFont val="Calibri"/>
        <family val="2"/>
        <scheme val="minor"/>
      </rPr>
      <t xml:space="preserve"> button on the Unit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</si>
  <si>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-&gt;Unit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</si>
  <si>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Unit_Master_11</t>
  </si>
  <si>
    <r>
      <t xml:space="preserve">Validate the functionality of </t>
    </r>
    <r>
      <rPr>
        <b/>
        <sz val="11"/>
        <color theme="1"/>
        <rFont val="Calibri"/>
        <family val="2"/>
        <scheme val="minor"/>
      </rPr>
      <t>Clear</t>
    </r>
    <r>
      <rPr>
        <sz val="11"/>
        <color theme="1"/>
        <rFont val="Calibri"/>
        <family val="2"/>
        <scheme val="minor"/>
      </rPr>
      <t xml:space="preserve"> button on the Unit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</si>
  <si>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Unit Master
</t>
    </r>
    <r>
      <rPr>
        <sz val="11"/>
        <color theme="1"/>
        <rFont val="Calibri"/>
        <family val="2"/>
        <scheme val="minor"/>
      </rPr>
      <t>4. Enter values in all or few input fields.
5. Click the Clear button and observe the system behaviour.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</si>
  <si>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All input fields should be cleared.
The left-side panel list should remain intact (no records removed).
</t>
    </r>
    <r>
      <rPr>
        <b/>
        <sz val="11"/>
        <color theme="1"/>
        <rFont val="Calibri"/>
        <family val="2"/>
        <scheme val="minor"/>
      </rPr>
      <t>If the user clicks No:</t>
    </r>
    <r>
      <rPr>
        <sz val="11"/>
        <color theme="1"/>
        <rFont val="Calibri"/>
        <family val="2"/>
        <scheme val="minor"/>
      </rPr>
      <t xml:space="preserve">
All entered values should remain unchanged.
</t>
    </r>
    <r>
      <rPr>
        <b/>
        <sz val="11"/>
        <color theme="1"/>
        <rFont val="Calibri"/>
        <family val="2"/>
        <scheme val="minor"/>
      </rPr>
      <t/>
    </r>
  </si>
  <si>
    <r>
      <t xml:space="preserve">Validate the functionality of the </t>
    </r>
    <r>
      <rPr>
        <b/>
        <sz val="11"/>
        <color theme="1"/>
        <rFont val="Calibri"/>
        <family val="2"/>
        <scheme val="minor"/>
      </rPr>
      <t xml:space="preserve">Page Responsiveness </t>
    </r>
    <r>
      <rPr>
        <sz val="11"/>
        <color theme="1"/>
        <rFont val="Calibri"/>
        <family val="2"/>
        <scheme val="minor"/>
      </rPr>
      <t>on the Unit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</si>
  <si>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Unit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</si>
  <si>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Unit</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</si>
  <si>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Unit_Master_12</t>
  </si>
  <si>
    <r>
      <t xml:space="preserve">Validate the functionality of </t>
    </r>
    <r>
      <rPr>
        <b/>
        <sz val="11"/>
        <color theme="1"/>
        <rFont val="Calibri"/>
        <family val="2"/>
        <scheme val="minor"/>
      </rPr>
      <t>Keyword Action</t>
    </r>
    <r>
      <rPr>
        <sz val="11"/>
        <color theme="1"/>
        <rFont val="Calibri"/>
        <family val="2"/>
        <scheme val="minor"/>
      </rPr>
      <t xml:space="preserve"> on the Unit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</si>
  <si>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Shupment Info -&gt; Unit Master
</t>
    </r>
    <r>
      <rPr>
        <sz val="11"/>
        <color theme="1"/>
        <rFont val="Calibri"/>
        <family val="2"/>
        <scheme val="minor"/>
      </rPr>
      <t>4. Use keyword button to fill the foam and observe the system behaviour.</t>
    </r>
  </si>
  <si>
    <t>Unit_Master_13</t>
  </si>
  <si>
    <t>Unit_Master_14</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</si>
  <si>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readibility,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and Error pop-up messages </t>
    </r>
    <r>
      <rPr>
        <sz val="11"/>
        <color theme="1"/>
        <rFont val="Calibri"/>
        <family val="2"/>
        <scheme val="minor"/>
      </rPr>
      <t xml:space="preserve">on the </t>
    </r>
    <r>
      <rPr>
        <b/>
        <sz val="11"/>
        <color theme="1"/>
        <rFont val="Calibri"/>
        <family val="2"/>
        <scheme val="minor"/>
      </rPr>
      <t>Unit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</si>
  <si>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Unit Master
</t>
    </r>
    <r>
      <rPr>
        <sz val="11"/>
        <color theme="1"/>
        <rFont val="Calibri"/>
        <family val="2"/>
        <scheme val="minor"/>
      </rPr>
      <t>4. Observe the Success Pop-up and Error Pop-up Readibility for each field.</t>
    </r>
  </si>
  <si>
    <r>
      <t xml:space="preserve">1. Functionality is not working as expected.
2. An incorrect validation message is displayed for the Code textbox and Validation message sequence is also not correct.
</t>
    </r>
    <r>
      <rPr>
        <b/>
        <sz val="11"/>
        <color theme="1"/>
        <rFont val="Calibri"/>
        <family val="2"/>
        <scheme val="minor"/>
      </rPr>
      <t xml:space="preserve"> -&gt; Actual Message: Please select service code. 
 -&gt; Expected Message: Please select  code. </t>
    </r>
    <r>
      <rPr>
        <sz val="11"/>
        <color theme="1"/>
        <rFont val="Calibri"/>
        <family val="2"/>
        <scheme val="minor"/>
      </rPr>
      <t xml:space="preserve">
</t>
    </r>
  </si>
  <si>
    <t>Unit_Master_15</t>
  </si>
  <si>
    <r>
      <t>Validate the functionality of</t>
    </r>
    <r>
      <rPr>
        <b/>
        <sz val="11"/>
        <color theme="1"/>
        <rFont val="Calibri"/>
        <family val="2"/>
        <scheme val="minor"/>
      </rPr>
      <t xml:space="preserve"> Session timeout</t>
    </r>
    <r>
      <rPr>
        <sz val="11"/>
        <color theme="1"/>
        <rFont val="Calibri"/>
        <family val="2"/>
        <scheme val="minor"/>
      </rPr>
      <t xml:space="preserve"> of the Unit Master Page.</t>
    </r>
  </si>
  <si>
    <t>CHA_Service_01</t>
  </si>
  <si>
    <t xml:space="preserve">Shipment Info -&gt; CHA Service Master
</t>
  </si>
  <si>
    <r>
      <t xml:space="preserve">Validate the functionality of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 xml:space="preserve">Under </t>
    </r>
    <r>
      <rPr>
        <b/>
        <sz val="11"/>
        <color theme="1"/>
        <rFont val="Calibri"/>
        <family val="2"/>
        <scheme val="minor"/>
      </rPr>
      <t>Shipment Info</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</si>
  <si>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Info</t>
    </r>
    <r>
      <rPr>
        <sz val="11"/>
        <color theme="1"/>
        <rFont val="Calibri"/>
        <family val="2"/>
        <scheme val="minor"/>
      </rPr>
      <t xml:space="preserve"> -&gt;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</si>
  <si>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Shipment Info -&gt; CHA Service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</si>
  <si>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 is opening properly.</t>
    </r>
  </si>
  <si>
    <t>CHA_Service_02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</si>
  <si>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t>
    </r>
    <r>
      <rPr>
        <b/>
        <sz val="11"/>
        <color theme="1"/>
        <rFont val="Calibri"/>
        <family val="2"/>
        <scheme val="minor"/>
      </rPr>
      <t xml:space="preserve">CHA Service Master </t>
    </r>
    <r>
      <rPr>
        <sz val="11"/>
        <color theme="1"/>
        <rFont val="Calibri"/>
        <family val="2"/>
        <scheme val="minor"/>
      </rPr>
      <t>Page.</t>
    </r>
  </si>
  <si>
    <t>Search Data:
 -&gt; cha service master testing by hans</t>
  </si>
  <si>
    <r>
      <t xml:space="preserve">1. Open the application and log in 
2. Select Branch: AHMEDABAD, Export Type: Export Sea, FY 2025–2026, click OK.
3. Navigate to </t>
    </r>
    <r>
      <rPr>
        <b/>
        <sz val="11"/>
        <color theme="1"/>
        <rFont val="Calibri"/>
        <family val="2"/>
        <scheme val="minor"/>
      </rPr>
      <t xml:space="preserve">Masters -&gt; Shipment Info -&gt; CHA Service Master
</t>
    </r>
    <r>
      <rPr>
        <sz val="11"/>
        <color theme="1"/>
        <rFont val="Calibri"/>
        <family val="2"/>
        <scheme val="minor"/>
      </rPr>
      <t>4. Observe how the record list is filtered based on the entered search keyword.</t>
    </r>
  </si>
  <si>
    <t xml:space="preserve">1. The Search textbox functionality is not working properly.
2. Invalid value is not filtering properly. 
</t>
  </si>
  <si>
    <t>CHA_Service_03</t>
  </si>
  <si>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selection behavior in Left-Side List for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</si>
  <si>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</si>
  <si>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t>CHA_Service_04</t>
  </si>
  <si>
    <r>
      <t xml:space="preserve">Validate that the selected record from the left-side list is correctly reflected in the corresponding textboxes of the </t>
    </r>
    <r>
      <rPr>
        <b/>
        <sz val="11"/>
        <color theme="1"/>
        <rFont val="Calibri"/>
        <family val="2"/>
        <scheme val="minor"/>
      </rPr>
      <t>CHA Service Master Page.</t>
    </r>
  </si>
  <si>
    <r>
      <t xml:space="preserve">1. Open the application and log in.
2. Select Branch: AHMEDABAD, Export Type: Export Sea, FY: 2025–2026, and click OK.
3. Navigate to </t>
    </r>
    <r>
      <rPr>
        <b/>
        <sz val="11"/>
        <color theme="1"/>
        <rFont val="Calibri"/>
        <family val="2"/>
        <scheme val="minor"/>
      </rPr>
      <t>Masters -&gt; Shupment Info -&gt; CHA Service Master</t>
    </r>
    <r>
      <rPr>
        <sz val="11"/>
        <color theme="1"/>
        <rFont val="Calibri"/>
        <family val="2"/>
        <scheme val="minor"/>
      </rPr>
      <t xml:space="preserve">
4. From the left-side list panel, select any record.
5. Verify the selected record details displayed in the CHA Service Master textboxes.
6. Ensure the selected record is not removed from the left list.
7. Select another record from the left panel.
8. Verify the textboxes update with the newly selected record and the previous record loses its highlight.</t>
    </r>
  </si>
  <si>
    <t>1. The selected record details must be displayed correctly in the CHA Service Master textboxes.
2. The selected record should remain visible in the left-side list (not removed).
 -&gt; When a new record is selected:
 -&gt; Textboxes should refresh with the new record’s data.
 -&gt; The previous record should return to default (white) color.
 -&gt; No record should disappear from the list.</t>
  </si>
  <si>
    <t>1. Selected record details are displayed correctly in the textboxes, but the selected record is removed from the left-side list. It reappears only after clear the page.
2. When selecting another record, the textboxes update, but that selected record is also removed from the list.
3. On Clicking on Clear button all list from the left panel is appeared.</t>
  </si>
  <si>
    <t>CHA_Service_05</t>
  </si>
  <si>
    <r>
      <t xml:space="preserve">Validate the functionality of </t>
    </r>
    <r>
      <rPr>
        <b/>
        <sz val="11"/>
        <color theme="1"/>
        <rFont val="Calibri"/>
        <family val="2"/>
        <scheme val="minor"/>
      </rPr>
      <t>'Service Name'</t>
    </r>
    <r>
      <rPr>
        <sz val="11"/>
        <color theme="1"/>
        <rFont val="Calibri"/>
        <family val="2"/>
        <scheme val="minor"/>
      </rPr>
      <t xml:space="preserve"> textbox in the CHA Service Master Page.</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</si>
  <si>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Enter valid &amp; Invalid value in Name textbox and observe the system behaviour.</t>
    </r>
  </si>
  <si>
    <t>1. As per Use Case, Name textbox should accept only alphanumeric value.
2. It should not accept invalid value such as - 
 -&gt; Only Space value
 -&gt; Special character value
 -&gt; Letter of combination (Alphanumeric with speical character and space only value)
5.  Textbox limit should be maximum 200 characters.</t>
  </si>
  <si>
    <r>
      <t xml:space="preserve">1. The functionality is not working as expected.
2. The textbox is accepting </t>
    </r>
    <r>
      <rPr>
        <b/>
        <sz val="11"/>
        <color theme="1"/>
        <rFont val="Calibri"/>
        <family val="2"/>
        <scheme val="minor"/>
      </rPr>
      <t>all type</t>
    </r>
    <r>
      <rPr>
        <sz val="11"/>
        <color theme="1"/>
        <rFont val="Calibri"/>
        <family val="2"/>
        <scheme val="minor"/>
      </rPr>
      <t xml:space="preserve"> </t>
    </r>
    <r>
      <rPr>
        <b/>
        <sz val="11"/>
        <color theme="1"/>
        <rFont val="Calibri"/>
        <family val="2"/>
        <scheme val="minor"/>
      </rPr>
      <t>special character</t>
    </r>
    <r>
      <rPr>
        <sz val="11"/>
        <color theme="1"/>
        <rFont val="Calibri"/>
        <family val="2"/>
        <scheme val="minor"/>
      </rPr>
      <t xml:space="preserve">.
3. Textbox character limit of 200 characters is correctly implemented.
4. While saved a name record with more than 100 character value, it is not saving and sohwing an error message.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</si>
  <si>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CHA_Service_06</t>
  </si>
  <si>
    <r>
      <t xml:space="preserve">Validate the functionality of </t>
    </r>
    <r>
      <rPr>
        <b/>
        <sz val="11"/>
        <color theme="1"/>
        <rFont val="Calibri"/>
        <family val="2"/>
        <scheme val="minor"/>
      </rPr>
      <t>'Display Status'</t>
    </r>
    <r>
      <rPr>
        <sz val="11"/>
        <color theme="1"/>
        <rFont val="Calibri"/>
        <family val="2"/>
        <scheme val="minor"/>
      </rPr>
      <t xml:space="preserve"> dropdown in CHA Service Master page.</t>
    </r>
  </si>
  <si>
    <r>
      <t>1. Open the application and log in 
2. Select Branch: AHMEDABAD, Export Type: Export Sea, FY 2025–2026, click OK.
3. Navigate to</t>
    </r>
    <r>
      <rPr>
        <b/>
        <sz val="11"/>
        <color theme="1"/>
        <rFont val="Calibri"/>
        <family val="2"/>
        <scheme val="minor"/>
      </rPr>
      <t xml:space="preserve"> Masters -&gt; Shupment Info -&gt; CHA Service Master</t>
    </r>
    <r>
      <rPr>
        <sz val="11"/>
        <color theme="1"/>
        <rFont val="Calibri"/>
        <family val="2"/>
        <scheme val="minor"/>
      </rPr>
      <t xml:space="preserve">
4.  select a value from the dropdown list and oberve the system behaviour.</t>
    </r>
  </si>
  <si>
    <t>CHA_Service_07</t>
  </si>
  <si>
    <r>
      <t xml:space="preserve">Validate the functionality of </t>
    </r>
    <r>
      <rPr>
        <b/>
        <sz val="11"/>
        <color theme="1"/>
        <rFont val="Calibri"/>
        <family val="2"/>
        <scheme val="minor"/>
      </rPr>
      <t>'Trade Code'</t>
    </r>
    <r>
      <rPr>
        <sz val="11"/>
        <color theme="1"/>
        <rFont val="Calibri"/>
        <family val="2"/>
        <scheme val="minor"/>
      </rPr>
      <t xml:space="preserve"> dropdown in CHA Service Master page.</t>
    </r>
  </si>
  <si>
    <r>
      <t xml:space="preserve">Textbox - </t>
    </r>
    <r>
      <rPr>
        <b/>
        <sz val="11"/>
        <color theme="1"/>
        <rFont val="Calibri"/>
        <family val="2"/>
        <scheme val="minor"/>
      </rPr>
      <t>Trade Code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Import &amp; Export</t>
    </r>
  </si>
  <si>
    <r>
      <t xml:space="preserve">1. </t>
    </r>
    <r>
      <rPr>
        <b/>
        <sz val="11"/>
        <color theme="1"/>
        <rFont val="Calibri"/>
        <family val="2"/>
        <scheme val="minor"/>
      </rPr>
      <t xml:space="preserve">Trade Code </t>
    </r>
    <r>
      <rPr>
        <sz val="11"/>
        <color theme="1"/>
        <rFont val="Calibri"/>
        <family val="2"/>
        <scheme val="minor"/>
      </rPr>
      <t>textbox should not accept any manual input.
2. User must be able to select values only from the dropdown list.
3. If the user types any invalid value or characters, the textbox should auto-clear the input.</t>
    </r>
  </si>
  <si>
    <t>CHA_Service_08</t>
  </si>
  <si>
    <r>
      <t xml:space="preserve">Validate the functionality of </t>
    </r>
    <r>
      <rPr>
        <b/>
        <sz val="11"/>
        <color theme="1"/>
        <rFont val="Calibri"/>
        <family val="2"/>
        <scheme val="minor"/>
      </rPr>
      <t>'Charge'</t>
    </r>
    <r>
      <rPr>
        <sz val="11"/>
        <color theme="1"/>
        <rFont val="Calibri"/>
        <family val="2"/>
        <scheme val="minor"/>
      </rPr>
      <t xml:space="preserve"> textbox in CHA Service Master page.</t>
    </r>
  </si>
  <si>
    <r>
      <t>1. Open the application and log in 
2. Select Branch: AHMEDABAD, Export Type: Export Sea, FY 2025–2026, click OK.
3. Navigate to</t>
    </r>
    <r>
      <rPr>
        <b/>
        <sz val="11"/>
        <color theme="1"/>
        <rFont val="Calibri"/>
        <family val="2"/>
        <scheme val="minor"/>
      </rPr>
      <t xml:space="preserve"> Masters -&gt; Shupment Info -&gt; CHA Service Master</t>
    </r>
    <r>
      <rPr>
        <sz val="11"/>
        <color theme="1"/>
        <rFont val="Calibri"/>
        <family val="2"/>
        <scheme val="minor"/>
      </rPr>
      <t xml:space="preserve">
4. Enter Valid and invalid value in Charge textbox and observe the system behaviour.</t>
    </r>
  </si>
  <si>
    <t>1. The Charge textbox should not accept any manual input.
2. User should be able to select values only from the autosuggest dropdown by using persentage (%).
3. If the user types any invalid or unsupported characters, the textbox should auto-clear the input.</t>
  </si>
  <si>
    <t>CHA_Service_09</t>
  </si>
  <si>
    <r>
      <t xml:space="preserve">Validate the functionality of </t>
    </r>
    <r>
      <rPr>
        <b/>
        <sz val="11"/>
        <color theme="1"/>
        <rFont val="Calibri"/>
        <family val="2"/>
        <scheme val="minor"/>
      </rPr>
      <t>'Stage'</t>
    </r>
    <r>
      <rPr>
        <sz val="11"/>
        <color theme="1"/>
        <rFont val="Calibri"/>
        <family val="2"/>
        <scheme val="minor"/>
      </rPr>
      <t xml:space="preserve"> textbox in CHA Service Master page.</t>
    </r>
  </si>
  <si>
    <r>
      <t>1. Open the application and log in 
2. Select Branch: AHMEDABAD, Export Type: Export Sea, FY 2025–2026, click OK.
3. Navigate to</t>
    </r>
    <r>
      <rPr>
        <b/>
        <sz val="11"/>
        <color theme="1"/>
        <rFont val="Calibri"/>
        <family val="2"/>
        <scheme val="minor"/>
      </rPr>
      <t xml:space="preserve"> Masters -&gt; Shupment Info -&gt; CHA Service Master</t>
    </r>
    <r>
      <rPr>
        <sz val="11"/>
        <color theme="1"/>
        <rFont val="Calibri"/>
        <family val="2"/>
        <scheme val="minor"/>
      </rPr>
      <t xml:space="preserve">
4. Enter Valid and invalid value in Stage textbox and observe the system behaviour.</t>
    </r>
  </si>
  <si>
    <r>
      <t>Textbox - Charge</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afr charges</t>
    </r>
  </si>
  <si>
    <r>
      <t>Textbox - Stage</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Bihar, Delhi etc.</t>
    </r>
  </si>
  <si>
    <t>1. The Stage textbox should not accept any manual input.
2. User should be able to select values only from the autosuggest dropdown by using persentage (%).
3. If the user types any invalid or unsupported characters, the textbox should auto-clear the input.</t>
  </si>
  <si>
    <t>Functionality is working as expected.
Textbox name should be changed and it should be State.</t>
  </si>
  <si>
    <t>CHA_Service_10</t>
  </si>
  <si>
    <r>
      <t xml:space="preserve">Validate the functionality of </t>
    </r>
    <r>
      <rPr>
        <b/>
        <sz val="11"/>
        <color theme="1"/>
        <rFont val="Calibri"/>
        <family val="2"/>
        <scheme val="minor"/>
      </rPr>
      <t>'Customer'</t>
    </r>
    <r>
      <rPr>
        <sz val="11"/>
        <color theme="1"/>
        <rFont val="Calibri"/>
        <family val="2"/>
        <scheme val="minor"/>
      </rPr>
      <t xml:space="preserve"> textbox in CHA Service Master page.</t>
    </r>
  </si>
  <si>
    <r>
      <t>1. Open the application and log in 
2. Select Branch: AHMEDABAD, Export Type: Export Sea, FY 2025–2026, click OK.
3. Navigate to</t>
    </r>
    <r>
      <rPr>
        <b/>
        <sz val="11"/>
        <color theme="1"/>
        <rFont val="Calibri"/>
        <family val="2"/>
        <scheme val="minor"/>
      </rPr>
      <t xml:space="preserve"> Masters -&gt; Shupment Info -&gt; CHA Service Master</t>
    </r>
    <r>
      <rPr>
        <sz val="11"/>
        <color theme="1"/>
        <rFont val="Calibri"/>
        <family val="2"/>
        <scheme val="minor"/>
      </rPr>
      <t xml:space="preserve">
4. Enter Valid and invalid value in Customer textbox and observe the system behaviour.</t>
    </r>
  </si>
  <si>
    <r>
      <t>Textbox - Customer</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 R CHEMICAL.</t>
    </r>
  </si>
  <si>
    <t>1. The Customer textbox should not accept any manual input.
2. User should be able to select values only from the autosuggest dropdown by using persentage (%).
3. If the user types any invalid or unsupported characters, the textbox should auto-clear the input.</t>
  </si>
  <si>
    <t>CHA_Service_11</t>
  </si>
  <si>
    <r>
      <t xml:space="preserve">Validate the functionality of </t>
    </r>
    <r>
      <rPr>
        <b/>
        <sz val="11"/>
        <color theme="1"/>
        <rFont val="Calibri"/>
        <family val="2"/>
        <scheme val="minor"/>
      </rPr>
      <t>'Segment'</t>
    </r>
    <r>
      <rPr>
        <sz val="11"/>
        <color theme="1"/>
        <rFont val="Calibri"/>
        <family val="2"/>
        <scheme val="minor"/>
      </rPr>
      <t xml:space="preserve"> textbox in CHA Service Master page.</t>
    </r>
  </si>
  <si>
    <r>
      <t>1. Open the application and log in 
2. Select Branch: AHMEDABAD, Export Type: Export Sea, FY 2025–2026, click OK.
3. Navigate to</t>
    </r>
    <r>
      <rPr>
        <b/>
        <sz val="11"/>
        <color theme="1"/>
        <rFont val="Calibri"/>
        <family val="2"/>
        <scheme val="minor"/>
      </rPr>
      <t xml:space="preserve"> Masters -&gt; Shupment Info -&gt; CHA Service Master</t>
    </r>
    <r>
      <rPr>
        <sz val="11"/>
        <color theme="1"/>
        <rFont val="Calibri"/>
        <family val="2"/>
        <scheme val="minor"/>
      </rPr>
      <t xml:space="preserve">
4. Enter Valid and invalid value in Segment textbox and observe the system behaviour.</t>
    </r>
  </si>
  <si>
    <r>
      <t>Textbox - Segment</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FCL, TESTING etc.</t>
    </r>
  </si>
  <si>
    <t>1. The Segment textbox should not accept any manual input.
2. User should be able to select values only from the autosuggest dropdown by using persentage (%).
3. If the user types any invalid or unsupported characters, the textbox should auto-clear the input.</t>
  </si>
  <si>
    <t>CHA_Service_12</t>
  </si>
  <si>
    <r>
      <t xml:space="preserve">Validate the functionality of </t>
    </r>
    <r>
      <rPr>
        <b/>
        <sz val="11"/>
        <color theme="1"/>
        <rFont val="Calibri"/>
        <family val="2"/>
        <scheme val="minor"/>
      </rPr>
      <t>'Note'</t>
    </r>
    <r>
      <rPr>
        <sz val="11"/>
        <color theme="1"/>
        <rFont val="Calibri"/>
        <family val="2"/>
        <scheme val="minor"/>
      </rPr>
      <t xml:space="preserve"> textbox in the CHA Service Master Page.</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</si>
  <si>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Enter valid &amp; Invalid value in Note textbox and observe the system behaviour.</t>
    </r>
  </si>
  <si>
    <r>
      <rPr>
        <b/>
        <sz val="11"/>
        <color theme="1"/>
        <rFont val="Calibri"/>
        <family val="2"/>
        <scheme val="minor"/>
      </rPr>
      <t xml:space="preserve">Textbox </t>
    </r>
    <r>
      <rPr>
        <sz val="11"/>
        <color theme="1"/>
        <rFont val="Calibri"/>
        <family val="2"/>
        <scheme val="minor"/>
      </rPr>
      <t xml:space="preserve">- Name
</t>
    </r>
    <r>
      <rPr>
        <b/>
        <sz val="11"/>
        <color theme="1"/>
        <rFont val="Calibri"/>
        <family val="2"/>
        <scheme val="minor"/>
      </rPr>
      <t>Valid Data</t>
    </r>
    <r>
      <rPr>
        <sz val="11"/>
        <color theme="1"/>
        <rFont val="Calibri"/>
        <family val="2"/>
        <scheme val="minor"/>
      </rPr>
      <t xml:space="preserve"> - Alphanumeric with special character
</t>
    </r>
    <r>
      <rPr>
        <b/>
        <sz val="11"/>
        <color theme="1"/>
        <rFont val="Calibri"/>
        <family val="2"/>
        <scheme val="minor"/>
      </rPr>
      <t xml:space="preserve">Invalid data - </t>
    </r>
    <r>
      <rPr>
        <sz val="11"/>
        <color theme="1"/>
        <rFont val="Calibri"/>
        <family val="2"/>
        <scheme val="minor"/>
      </rPr>
      <t>Only space value.</t>
    </r>
  </si>
  <si>
    <t>CHA_Service_13</t>
  </si>
  <si>
    <r>
      <t xml:space="preserve">Validate the Functionality of the </t>
    </r>
    <r>
      <rPr>
        <b/>
        <sz val="11"/>
        <color theme="1"/>
        <rFont val="Calibri"/>
        <family val="2"/>
        <scheme val="minor"/>
      </rPr>
      <t>Save</t>
    </r>
    <r>
      <rPr>
        <sz val="11"/>
        <color theme="1"/>
        <rFont val="Calibri"/>
        <family val="2"/>
        <scheme val="minor"/>
      </rPr>
      <t xml:space="preserve"> Button when All (Mandatory &amp; Non-Mandatory) fields are Filled in the CHA Service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</si>
  <si>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Enter valid data in all fields of CHA Service Master Page and click the Save button and observe the system behaviour.</t>
    </r>
  </si>
  <si>
    <t>CHA_Service_14</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</si>
  <si>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xml:space="preserve"> (non-mandatory fields left blank) on the CHA Service Master Page.</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</si>
  <si>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Enter valid values in All mandatory fields only and leave non-mandatory fields blank.
5. Click Save button and observe system behaviour.</t>
    </r>
  </si>
  <si>
    <t>1. Record saved successfully and a success message is displayed.
2. The newly saved record appears in the left-side panel list and searchable.</t>
  </si>
  <si>
    <t>CHA_Service_15</t>
  </si>
  <si>
    <t xml:space="preserve"> -&gt; Enter values only in non-mandatory fields
 -&gt; Leave all mandatory fields blank</t>
  </si>
  <si>
    <t>1. Record should not be saved if any mandatory field is blank.
2. Mandatory field validation should work properly:
 -&gt; Correct validation message displayed for each missing mandatory field
 -&gt; Validation text must match the respective textbox label
 -&gt; Validation messages must display in the same order as the textbox sequence
3. Once all mandatory fields are filled:
 -&gt; Record should be saved successfully
 -&gt; Saved record should appear in the left-side panel list
 -&gt; Record should also be searchable</t>
  </si>
  <si>
    <t>CHA_Service_16</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</si>
  <si>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Master Page</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</si>
  <si>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Masters -&gt; Shupment Info -&gt; Unit Master</t>
    </r>
    <r>
      <rPr>
        <sz val="11"/>
        <color theme="1"/>
        <rFont val="Calibri"/>
        <family val="2"/>
        <scheme val="minor"/>
      </rPr>
      <t xml:space="preserve">
4. Without Filling any field in Unit Master Page, click on save button and observe system behaviour.</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</si>
  <si>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Without Filling any field in CHA Service Master Page, click on save button and observe system behaviour.</t>
    </r>
  </si>
  <si>
    <t>1. Record should not be saved.
2. Mandatory field validation messages should appear properly for all required fields.
3. Validation message sequence must follow the field order on the form.</t>
  </si>
  <si>
    <t xml:space="preserve">1. The record is not saved (correct).
2. Mandatory validation messages are displayed for required fields (correct).
3. Validation message sequence is incorrect. (Test Case16)
 </t>
  </si>
  <si>
    <t>CHA_Service_17</t>
  </si>
  <si>
    <r>
      <t xml:space="preserve">Validate the functionality of </t>
    </r>
    <r>
      <rPr>
        <b/>
        <sz val="11"/>
        <color theme="1"/>
        <rFont val="Calibri"/>
        <family val="2"/>
        <scheme val="minor"/>
      </rPr>
      <t>Modify</t>
    </r>
    <r>
      <rPr>
        <sz val="11"/>
        <color theme="1"/>
        <rFont val="Calibri"/>
        <family val="2"/>
        <scheme val="minor"/>
      </rPr>
      <t xml:space="preserve"> button on the CHA Service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</si>
  <si>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-&gt;CHA Service Master
</t>
    </r>
    <r>
      <rPr>
        <sz val="11"/>
        <color theme="1"/>
        <rFont val="Calibri"/>
        <family val="2"/>
        <scheme val="minor"/>
      </rPr>
      <t>4. From the left-side list, select a pre-existing record and modify one or more fields with new valid data.
5. Click modify button and Re-select the same value and observe the changed value.</t>
    </r>
  </si>
  <si>
    <t>CHA_Service_18</t>
  </si>
  <si>
    <t>CHA_Service_19</t>
  </si>
  <si>
    <r>
      <t xml:space="preserve">Validate the functionality of </t>
    </r>
    <r>
      <rPr>
        <b/>
        <sz val="11"/>
        <color theme="1"/>
        <rFont val="Calibri"/>
        <family val="2"/>
        <scheme val="minor"/>
      </rPr>
      <t>Clear</t>
    </r>
    <r>
      <rPr>
        <sz val="11"/>
        <color theme="1"/>
        <rFont val="Calibri"/>
        <family val="2"/>
        <scheme val="minor"/>
      </rPr>
      <t xml:space="preserve"> button on the CHA Service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</si>
  <si>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Enter values in all or few input fields.
5. Click the Clear button and observe the system behaviour.</t>
    </r>
  </si>
  <si>
    <r>
      <t>1. Functionality is working as Expected.
Note -</t>
    </r>
    <r>
      <rPr>
        <b/>
        <sz val="11"/>
        <color theme="1"/>
        <rFont val="Calibri"/>
        <family val="2"/>
        <scheme val="minor"/>
      </rPr>
      <t xml:space="preserve"> The system is not asking for confirmation before clearing the page.</t>
    </r>
  </si>
  <si>
    <r>
      <t xml:space="preserve">Validate the functionality of the </t>
    </r>
    <r>
      <rPr>
        <b/>
        <sz val="11"/>
        <color theme="1"/>
        <rFont val="Calibri"/>
        <family val="2"/>
        <scheme val="minor"/>
      </rPr>
      <t xml:space="preserve">Page Responsiveness </t>
    </r>
    <r>
      <rPr>
        <sz val="11"/>
        <color theme="1"/>
        <rFont val="Calibri"/>
        <family val="2"/>
        <scheme val="minor"/>
      </rPr>
      <t>on the CHA Service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</si>
  <si>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</si>
  <si>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</si>
  <si>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CHA_Service_20</t>
  </si>
  <si>
    <r>
      <t xml:space="preserve">Validate the functionality of </t>
    </r>
    <r>
      <rPr>
        <b/>
        <sz val="11"/>
        <color theme="1"/>
        <rFont val="Calibri"/>
        <family val="2"/>
        <scheme val="minor"/>
      </rPr>
      <t>Keyword Action</t>
    </r>
    <r>
      <rPr>
        <sz val="11"/>
        <color theme="1"/>
        <rFont val="Calibri"/>
        <family val="2"/>
        <scheme val="minor"/>
      </rPr>
      <t xml:space="preserve"> on the CHA Service Master Page (Tab button).</t>
    </r>
  </si>
  <si>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Use keyword button to fill the foam and observe the system behaviour.</t>
    </r>
  </si>
  <si>
    <t>CHA_Service_21</t>
  </si>
  <si>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Observe the Success Pop-up and Error Pop-up Readibility for each field.</t>
    </r>
  </si>
  <si>
    <r>
      <t xml:space="preserve">1. Functionality is not working as expected.
2. For each mandatory field, validation message is appearing properly but validation message text and message sequenxe is not correct as per the textbox lavle ans sequenxce.
</t>
    </r>
    <r>
      <rPr>
        <b/>
        <sz val="11"/>
        <color theme="1"/>
        <rFont val="Calibri"/>
        <family val="2"/>
        <scheme val="minor"/>
      </rPr>
      <t xml:space="preserve">Textbox Sequence:
</t>
    </r>
    <r>
      <rPr>
        <sz val="11"/>
        <color theme="1"/>
        <rFont val="Calibri"/>
        <family val="2"/>
        <scheme val="minor"/>
      </rPr>
      <t xml:space="preserve">Service Name - Display Status - Trade Code - Charge - Customer - Segment
</t>
    </r>
    <r>
      <rPr>
        <b/>
        <sz val="11"/>
        <color theme="1"/>
        <rFont val="Calibri"/>
        <family val="2"/>
        <scheme val="minor"/>
      </rPr>
      <t xml:space="preserve">Validation Message Sequence:
</t>
    </r>
    <r>
      <rPr>
        <sz val="11"/>
        <color theme="1"/>
        <rFont val="Calibri"/>
        <family val="2"/>
        <scheme val="minor"/>
      </rPr>
      <t xml:space="preserve">Service Name - Display Status - Trade Code - Segment - Charge - Customer
</t>
    </r>
    <r>
      <rPr>
        <b/>
        <sz val="11"/>
        <color theme="1"/>
        <rFont val="Calibri"/>
        <family val="2"/>
        <scheme val="minor"/>
      </rPr>
      <t xml:space="preserve">
Validation Message:</t>
    </r>
    <r>
      <rPr>
        <sz val="11"/>
        <color theme="1"/>
        <rFont val="Calibri"/>
        <family val="2"/>
        <scheme val="minor"/>
      </rPr>
      <t xml:space="preserve">
For Display Status - Please Select Status - It Should be Please Select Display Stauts </t>
    </r>
    <r>
      <rPr>
        <b/>
        <sz val="11"/>
        <color theme="1"/>
        <rFont val="Calibri"/>
        <family val="2"/>
        <scheme val="minor"/>
      </rPr>
      <t>( Test Case 15)</t>
    </r>
  </si>
  <si>
    <t>CHA_Service_22</t>
  </si>
  <si>
    <t>CHA_Service_23</t>
  </si>
  <si>
    <r>
      <t>Validate the functionality of</t>
    </r>
    <r>
      <rPr>
        <b/>
        <sz val="11"/>
        <color theme="1"/>
        <rFont val="Calibri"/>
        <family val="2"/>
        <scheme val="minor"/>
      </rPr>
      <t xml:space="preserve"> Session timeout</t>
    </r>
    <r>
      <rPr>
        <sz val="11"/>
        <color theme="1"/>
        <rFont val="Calibri"/>
        <family val="2"/>
        <scheme val="minor"/>
      </rPr>
      <t xml:space="preserve"> of the CHA Service Master Page.</t>
    </r>
  </si>
  <si>
    <r>
      <t xml:space="preserve">1. Open the application and log in 
2. Select Branch: AHMEDABAD, Export Type: Export Sea, FY 2025–2026, click OK.
3. Navigate to </t>
    </r>
    <r>
      <rPr>
        <b/>
        <sz val="11"/>
        <color theme="1"/>
        <rFont val="Calibri"/>
        <family val="2"/>
        <scheme val="minor"/>
      </rPr>
      <t xml:space="preserve">Masters -&gt; Shupment Info -&gt; Unit Master
</t>
    </r>
    <r>
      <rPr>
        <sz val="11"/>
        <color theme="1"/>
        <rFont val="Calibri"/>
        <family val="2"/>
        <scheme val="minor"/>
      </rPr>
      <t>4. Leave the Unit Master page idle for long time and observe the system behaviour.</t>
    </r>
  </si>
  <si>
    <r>
      <t xml:space="preserve">1. Open the application and log in 
2. Select Branch: AHMEDABAD, Export Type: Export Sea, FY 2025–2026, click OK.
3. Navigate to </t>
    </r>
    <r>
      <rPr>
        <b/>
        <sz val="11"/>
        <color theme="1"/>
        <rFont val="Calibri"/>
        <family val="2"/>
        <scheme val="minor"/>
      </rPr>
      <t xml:space="preserve">Masters -&gt; Shupment Info -&gt; CHA Service Master
</t>
    </r>
    <r>
      <rPr>
        <sz val="11"/>
        <color theme="1"/>
        <rFont val="Calibri"/>
        <family val="2"/>
        <scheme val="minor"/>
      </rPr>
      <t>4. Leave the CHA Service Master page idle for long time and observe the system behaviour.</t>
    </r>
  </si>
  <si>
    <t>Pricing_01</t>
  </si>
  <si>
    <t xml:space="preserve">Charge Master -&gt; Pricing
</t>
  </si>
  <si>
    <r>
      <t xml:space="preserve">Validate the functionality of </t>
    </r>
    <r>
      <rPr>
        <b/>
        <sz val="11"/>
        <color theme="1"/>
        <rFont val="Calibri"/>
        <family val="2"/>
        <scheme val="minor"/>
      </rPr>
      <t xml:space="preserve">Pricing Page, </t>
    </r>
    <r>
      <rPr>
        <sz val="11"/>
        <color theme="1"/>
        <rFont val="Calibri"/>
        <family val="2"/>
        <scheme val="minor"/>
      </rPr>
      <t xml:space="preserve">Under </t>
    </r>
    <r>
      <rPr>
        <b/>
        <sz val="11"/>
        <color theme="1"/>
        <rFont val="Calibri"/>
        <family val="2"/>
        <scheme val="minor"/>
      </rPr>
      <t>Charge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</si>
  <si>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t>Pricing_02</t>
  </si>
  <si>
    <r>
      <t xml:space="preserve">Validate the functionality of </t>
    </r>
    <r>
      <rPr>
        <b/>
        <sz val="11"/>
        <color theme="1"/>
        <rFont val="Calibri"/>
        <family val="2"/>
        <scheme val="minor"/>
      </rPr>
      <t>'Origin Country'</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</si>
  <si>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Charge Master</t>
    </r>
    <r>
      <rPr>
        <sz val="11"/>
        <color theme="1"/>
        <rFont val="Calibri"/>
        <family val="2"/>
        <scheme val="minor"/>
      </rPr>
      <t xml:space="preserve"> -&gt; </t>
    </r>
    <r>
      <rPr>
        <b/>
        <sz val="11"/>
        <color theme="1"/>
        <rFont val="Calibri"/>
        <family val="2"/>
        <scheme val="minor"/>
      </rPr>
      <t xml:space="preserve">Pricing
</t>
    </r>
  </si>
  <si>
    <r>
      <t xml:space="preserve">On Mouse Hovering action on </t>
    </r>
    <r>
      <rPr>
        <b/>
        <sz val="11"/>
        <color theme="1"/>
        <rFont val="Calibri"/>
        <family val="2"/>
        <scheme val="minor"/>
      </rPr>
      <t>Masters -&gt; Charge Master -&gt; Pricing</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</si>
  <si>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Pricing </t>
    </r>
    <r>
      <rPr>
        <sz val="11"/>
        <color theme="1"/>
        <rFont val="Calibri"/>
        <family val="2"/>
        <scheme val="minor"/>
      </rPr>
      <t>Page is opening properly.</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</si>
  <si>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and observe the system behaviour.</t>
    </r>
  </si>
  <si>
    <r>
      <t xml:space="preserve">Textbox - </t>
    </r>
    <r>
      <rPr>
        <b/>
        <sz val="11"/>
        <color theme="1"/>
        <rFont val="Calibri"/>
        <family val="2"/>
        <scheme val="minor"/>
      </rPr>
      <t>Origin Country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India, Sri Lanka etc.</t>
    </r>
  </si>
  <si>
    <t>1. Manual input should not be allowed in the Origin Country field.
2. User must be able to choose country only from the autosuggest list.
3. If the user types anything invalid (not matching autosuggest items), the textbox should automatically clear.
4. Autosuggest should display relevant values when the user types correct starting characters.</t>
  </si>
  <si>
    <t>1. Functionality is working as expected.
2. Origin Country value can be selected only from the autosuggest list.</t>
  </si>
  <si>
    <t>Pricing_03</t>
  </si>
  <si>
    <r>
      <t xml:space="preserve">Validate the functionality of </t>
    </r>
    <r>
      <rPr>
        <b/>
        <sz val="11"/>
        <color theme="1"/>
        <rFont val="Calibri"/>
        <family val="2"/>
        <scheme val="minor"/>
      </rPr>
      <t>'Origin Port'</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</si>
  <si>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Origin Port</t>
    </r>
    <r>
      <rPr>
        <sz val="11"/>
        <color theme="1"/>
        <rFont val="Calibri"/>
        <family val="2"/>
        <scheme val="minor"/>
      </rPr>
      <t xml:space="preserve"> value from the Autosuggest list and observe the system behaviour.</t>
    </r>
  </si>
  <si>
    <r>
      <t xml:space="preserve">Textbox - </t>
    </r>
    <r>
      <rPr>
        <b/>
        <sz val="11"/>
        <color theme="1"/>
        <rFont val="Calibri"/>
        <family val="2"/>
        <scheme val="minor"/>
      </rPr>
      <t>Origin Port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 &gt; NHAVE:INNHV
 -&gt; ABCDF:INABC </t>
    </r>
  </si>
  <si>
    <r>
      <t xml:space="preserve">1. Origin Port values should auto-populate based on the selected Origin Country.
2. If the user tries to select Origin Port without selecting Origin Country, a validation message should be displayed:
</t>
    </r>
    <r>
      <rPr>
        <b/>
        <sz val="11"/>
        <color theme="1"/>
        <rFont val="Calibri"/>
        <family val="2"/>
        <scheme val="minor"/>
      </rPr>
      <t>Expected Message: “Please Select Origin Country!”</t>
    </r>
    <r>
      <rPr>
        <sz val="11"/>
        <color theme="1"/>
        <rFont val="Calibri"/>
        <family val="2"/>
        <scheme val="minor"/>
      </rPr>
      <t xml:space="preserve">
3. Manual input should not be allowed in the Origin Port field.
4. User must be able to select values only from the autosuggest list.
5. If input is invalid or does not match autosuggest items, the textbox should automatically clear.</t>
    </r>
  </si>
  <si>
    <r>
      <t xml:space="preserve">1. Functionality is working as expected:
 -&gt; Origin Port cannot be selected without selecting Origin Country.
 -&gt; Manual and invalid input is not accepting.
</t>
    </r>
    <r>
      <rPr>
        <b/>
        <sz val="11"/>
        <color rgb="FF3F3F76"/>
        <rFont val="Calibri"/>
        <family val="2"/>
        <scheme val="minor"/>
      </rPr>
      <t>2. A validation message appears when Origin Country is not selected.
Actual Message: “Please Select Country!”
Expected Message: “Please Select Origin Country!”</t>
    </r>
  </si>
  <si>
    <t>Pricing_04</t>
  </si>
  <si>
    <r>
      <t xml:space="preserve">Validate the functionality of </t>
    </r>
    <r>
      <rPr>
        <b/>
        <sz val="11"/>
        <color theme="1"/>
        <rFont val="Calibri"/>
        <family val="2"/>
        <scheme val="minor"/>
      </rPr>
      <t>'Dstn. Country'</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</si>
  <si>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Dstn. Country</t>
    </r>
    <r>
      <rPr>
        <sz val="11"/>
        <color theme="1"/>
        <rFont val="Calibri"/>
        <family val="2"/>
        <scheme val="minor"/>
      </rPr>
      <t xml:space="preserve"> value from the Autosuggest list and observe the system behaviour.</t>
    </r>
  </si>
  <si>
    <r>
      <t xml:space="preserve">Textbox - </t>
    </r>
    <r>
      <rPr>
        <b/>
        <sz val="11"/>
        <color theme="1"/>
        <rFont val="Calibri"/>
        <family val="2"/>
        <scheme val="minor"/>
      </rPr>
      <t>Dstn. Country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India, Sri Lanka etc.</t>
    </r>
  </si>
  <si>
    <r>
      <t xml:space="preserve">1. Manual input should not be allowed in the </t>
    </r>
    <r>
      <rPr>
        <b/>
        <sz val="11"/>
        <color theme="1"/>
        <rFont val="Calibri"/>
        <family val="2"/>
        <scheme val="minor"/>
      </rPr>
      <t>Dstn. Country</t>
    </r>
    <r>
      <rPr>
        <sz val="11"/>
        <color theme="1"/>
        <rFont val="Calibri"/>
        <family val="2"/>
        <scheme val="minor"/>
      </rPr>
      <t xml:space="preserve"> field.
2. User must be able to choose </t>
    </r>
    <r>
      <rPr>
        <b/>
        <sz val="11"/>
        <color theme="1"/>
        <rFont val="Calibri"/>
        <family val="2"/>
        <scheme val="minor"/>
      </rPr>
      <t>Dstn. Country</t>
    </r>
    <r>
      <rPr>
        <sz val="11"/>
        <color theme="1"/>
        <rFont val="Calibri"/>
        <family val="2"/>
        <scheme val="minor"/>
      </rPr>
      <t xml:space="preserve"> only from the autosuggest list.
3. If the user types anything invalid (not matching autosuggest items), the textbox should automatically clear.</t>
    </r>
  </si>
  <si>
    <r>
      <t xml:space="preserve">1. Functionality is working as expected.
2. </t>
    </r>
    <r>
      <rPr>
        <b/>
        <sz val="11"/>
        <color theme="1"/>
        <rFont val="Calibri"/>
        <family val="2"/>
        <scheme val="minor"/>
      </rPr>
      <t>Dstn. Country</t>
    </r>
    <r>
      <rPr>
        <sz val="11"/>
        <color theme="1"/>
        <rFont val="Calibri"/>
        <family val="2"/>
        <scheme val="minor"/>
      </rPr>
      <t xml:space="preserve"> value can be selected only from the autosuggest list.</t>
    </r>
  </si>
  <si>
    <t>Pricing_05</t>
  </si>
  <si>
    <r>
      <t xml:space="preserve">Validate the functionality of </t>
    </r>
    <r>
      <rPr>
        <b/>
        <sz val="11"/>
        <color theme="1"/>
        <rFont val="Calibri"/>
        <family val="2"/>
        <scheme val="minor"/>
      </rPr>
      <t>'Dstn. Port'</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</si>
  <si>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Dstn. Port</t>
    </r>
    <r>
      <rPr>
        <sz val="11"/>
        <color theme="1"/>
        <rFont val="Calibri"/>
        <family val="2"/>
        <scheme val="minor"/>
      </rPr>
      <t xml:space="preserve"> value from the Autosuggest list and observe the system behaviour.</t>
    </r>
  </si>
  <si>
    <r>
      <t xml:space="preserve">Textbox - </t>
    </r>
    <r>
      <rPr>
        <b/>
        <sz val="11"/>
        <color theme="1"/>
        <rFont val="Calibri"/>
        <family val="2"/>
        <scheme val="minor"/>
      </rPr>
      <t>Dstn. Port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 &gt; KILINOCHCHI:LKKIL
 -&gt; INGIRIYA:LKING etc.</t>
    </r>
  </si>
  <si>
    <r>
      <t xml:space="preserve">1. </t>
    </r>
    <r>
      <rPr>
        <b/>
        <sz val="11"/>
        <color theme="1"/>
        <rFont val="Calibri"/>
        <family val="2"/>
        <scheme val="minor"/>
      </rPr>
      <t>Dstn. Port</t>
    </r>
    <r>
      <rPr>
        <sz val="11"/>
        <color theme="1"/>
        <rFont val="Calibri"/>
        <family val="2"/>
        <scheme val="minor"/>
      </rPr>
      <t xml:space="preserve"> values should auto-populate based on the selected </t>
    </r>
    <r>
      <rPr>
        <b/>
        <sz val="11"/>
        <color theme="1"/>
        <rFont val="Calibri"/>
        <family val="2"/>
        <scheme val="minor"/>
      </rPr>
      <t>Dstn. Country</t>
    </r>
    <r>
      <rPr>
        <sz val="11"/>
        <color theme="1"/>
        <rFont val="Calibri"/>
        <family val="2"/>
        <scheme val="minor"/>
      </rPr>
      <t xml:space="preserve">.
2. If the user tries to </t>
    </r>
    <r>
      <rPr>
        <b/>
        <sz val="11"/>
        <color theme="1"/>
        <rFont val="Calibri"/>
        <family val="2"/>
        <scheme val="minor"/>
      </rPr>
      <t>Dstn. Origin</t>
    </r>
    <r>
      <rPr>
        <sz val="11"/>
        <color theme="1"/>
        <rFont val="Calibri"/>
        <family val="2"/>
        <scheme val="minor"/>
      </rPr>
      <t xml:space="preserve"> Port without selecting Dstn. Country, a validation message should be displayed:
</t>
    </r>
    <r>
      <rPr>
        <b/>
        <sz val="11"/>
        <color theme="1"/>
        <rFont val="Calibri"/>
        <family val="2"/>
        <scheme val="minor"/>
      </rPr>
      <t>Expected Message: “Please Select Dstn. Country!”</t>
    </r>
    <r>
      <rPr>
        <sz val="11"/>
        <color theme="1"/>
        <rFont val="Calibri"/>
        <family val="2"/>
        <scheme val="minor"/>
      </rPr>
      <t xml:space="preserve">
3. Manual input should not be allowed in the Dstn. Port field.
4. User must be able to select values only from the autosuggest list.
5. If input is invalid or does not match autosuggest items, the textbox should automatically clear.</t>
    </r>
  </si>
  <si>
    <r>
      <t xml:space="preserve">1. Functionality is working as expected:
 -&gt; Dstn. Port cannot be selected without selecting Dstn. Country.
 -&gt; Manual and invalid input is not accepting.
</t>
    </r>
    <r>
      <rPr>
        <b/>
        <sz val="11"/>
        <color rgb="FF3F3F76"/>
        <rFont val="Calibri"/>
        <family val="2"/>
        <scheme val="minor"/>
      </rPr>
      <t>2. A validation message appears when Dstn. Country is not selected.
Actual Message: “Please Select Country!”
Expected Message: “Please Select Dstn. Country!”</t>
    </r>
  </si>
  <si>
    <t>Pricing_06</t>
  </si>
  <si>
    <r>
      <t xml:space="preserve">Validate the functionality of </t>
    </r>
    <r>
      <rPr>
        <b/>
        <sz val="11"/>
        <color theme="1"/>
        <rFont val="Calibri"/>
        <family val="2"/>
        <scheme val="minor"/>
      </rPr>
      <t>'Tranahip. Port'</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</si>
  <si>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Tranship.</t>
    </r>
    <r>
      <rPr>
        <sz val="11"/>
        <color theme="1"/>
        <rFont val="Calibri"/>
        <family val="2"/>
        <scheme val="minor"/>
      </rPr>
      <t xml:space="preserve"> </t>
    </r>
    <r>
      <rPr>
        <b/>
        <sz val="11"/>
        <color theme="1"/>
        <rFont val="Calibri"/>
        <family val="2"/>
        <scheme val="minor"/>
      </rPr>
      <t>Port</t>
    </r>
    <r>
      <rPr>
        <sz val="11"/>
        <color theme="1"/>
        <rFont val="Calibri"/>
        <family val="2"/>
        <scheme val="minor"/>
      </rPr>
      <t xml:space="preserve"> value from the Autosuggest list and observe the system behaviour.</t>
    </r>
  </si>
  <si>
    <r>
      <t xml:space="preserve">Textbox - </t>
    </r>
    <r>
      <rPr>
        <b/>
        <sz val="11"/>
        <color theme="1"/>
        <rFont val="Calibri"/>
        <family val="2"/>
        <scheme val="minor"/>
      </rPr>
      <t>Tranship. Port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</si>
  <si>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Tranship. Port</t>
    </r>
    <r>
      <rPr>
        <sz val="11"/>
        <color theme="1"/>
        <rFont val="Calibri"/>
        <family val="2"/>
        <scheme val="minor"/>
      </rPr>
      <t xml:space="preserve"> field.
2. User must be able to choose </t>
    </r>
    <r>
      <rPr>
        <b/>
        <sz val="11"/>
        <color theme="1"/>
        <rFont val="Calibri"/>
        <family val="2"/>
        <scheme val="minor"/>
      </rPr>
      <t>Tranship. Port</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</si>
  <si>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Tranship. Port</t>
    </r>
    <r>
      <rPr>
        <sz val="11"/>
        <color theme="1"/>
        <rFont val="Calibri"/>
        <family val="2"/>
        <scheme val="minor"/>
      </rPr>
      <t xml:space="preserve"> value can be selected only from the autosuggest list.</t>
    </r>
  </si>
  <si>
    <t>Pricing_07</t>
  </si>
  <si>
    <r>
      <t xml:space="preserve">Validate the functionality of </t>
    </r>
    <r>
      <rPr>
        <b/>
        <sz val="11"/>
        <color theme="1"/>
        <rFont val="Calibri"/>
        <family val="2"/>
        <scheme val="minor"/>
      </rPr>
      <t>'Who Routed'</t>
    </r>
    <r>
      <rPr>
        <sz val="11"/>
        <color theme="1"/>
        <rFont val="Calibri"/>
        <family val="2"/>
        <scheme val="minor"/>
      </rPr>
      <t xml:space="preserve"> dropdown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</si>
  <si>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Who Routed</t>
    </r>
    <r>
      <rPr>
        <sz val="11"/>
        <color theme="1"/>
        <rFont val="Calibri"/>
        <family val="2"/>
        <scheme val="minor"/>
      </rPr>
      <t xml:space="preserve"> value from the dropdown and observe the system behaviour.</t>
    </r>
  </si>
  <si>
    <r>
      <t xml:space="preserve">Textbox - </t>
    </r>
    <r>
      <rPr>
        <b/>
        <sz val="11"/>
        <color theme="1"/>
        <rFont val="Calibri"/>
        <family val="2"/>
        <scheme val="minor"/>
      </rPr>
      <t>Who Routed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Self
-&gt; Agent</t>
    </r>
  </si>
  <si>
    <r>
      <t xml:space="preserve">1. Manual input should not be allowed in the </t>
    </r>
    <r>
      <rPr>
        <b/>
        <sz val="11"/>
        <color theme="1"/>
        <rFont val="Calibri"/>
        <family val="2"/>
        <scheme val="minor"/>
      </rPr>
      <t>Who Routed</t>
    </r>
    <r>
      <rPr>
        <sz val="11"/>
        <color theme="1"/>
        <rFont val="Calibri"/>
        <family val="2"/>
        <scheme val="minor"/>
      </rPr>
      <t xml:space="preserve"> field.
2. User must be able to choose </t>
    </r>
    <r>
      <rPr>
        <b/>
        <sz val="11"/>
        <color theme="1"/>
        <rFont val="Calibri"/>
        <family val="2"/>
        <scheme val="minor"/>
      </rPr>
      <t>Who Routed</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</si>
  <si>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Who Routed</t>
    </r>
    <r>
      <rPr>
        <sz val="11"/>
        <color theme="1"/>
        <rFont val="Calibri"/>
        <family val="2"/>
        <scheme val="minor"/>
      </rPr>
      <t xml:space="preserve"> value can be selected only from the dropdown.</t>
    </r>
  </si>
  <si>
    <t>Pricing_08</t>
  </si>
  <si>
    <r>
      <t xml:space="preserve">Validate the functionality of </t>
    </r>
    <r>
      <rPr>
        <b/>
        <sz val="11"/>
        <color theme="1"/>
        <rFont val="Calibri"/>
        <family val="2"/>
        <scheme val="minor"/>
      </rPr>
      <t>'Segment'</t>
    </r>
    <r>
      <rPr>
        <sz val="11"/>
        <color theme="1"/>
        <rFont val="Calibri"/>
        <family val="2"/>
        <scheme val="minor"/>
      </rPr>
      <t xml:space="preserve"> dropdown textbox in Pricing Tab on Pricing Page.</t>
    </r>
  </si>
  <si>
    <r>
      <t xml:space="preserve">Textbox - </t>
    </r>
    <r>
      <rPr>
        <b/>
        <sz val="11"/>
        <color theme="1"/>
        <rFont val="Calibri"/>
        <family val="2"/>
        <scheme val="minor"/>
      </rPr>
      <t>Segment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FCL
-&gt; LCL etc.</t>
    </r>
  </si>
  <si>
    <t>Pricing_09</t>
  </si>
  <si>
    <r>
      <t xml:space="preserve">1. Open the application and log in 
2. Select Branch: AHMEDABAD, Export Type: Export Sea, FY 2025–2026, click OK.
3. Navigate to </t>
    </r>
    <r>
      <rPr>
        <b/>
        <sz val="11"/>
        <color theme="1"/>
        <rFont val="Calibri"/>
        <family val="2"/>
        <scheme val="minor"/>
      </rPr>
      <t xml:space="preserve">Masters -&gt; Charge Master -&gt; Pricing
</t>
    </r>
    <r>
      <rPr>
        <sz val="11"/>
        <color theme="1"/>
        <rFont val="Calibri"/>
        <family val="2"/>
        <scheme val="minor"/>
      </rPr>
      <t xml:space="preserve">4. Enter or Select value on </t>
    </r>
    <r>
      <rPr>
        <b/>
        <sz val="11"/>
        <color theme="1"/>
        <rFont val="Calibri"/>
        <family val="2"/>
        <scheme val="minor"/>
      </rPr>
      <t xml:space="preserve">Origin Country/Origin Port/Dstn. Country/Dstn. Port/Tranship.Port/Who Routed/Segment </t>
    </r>
    <r>
      <rPr>
        <sz val="11"/>
        <color theme="1"/>
        <rFont val="Calibri"/>
        <family val="2"/>
        <scheme val="minor"/>
      </rPr>
      <t>textbox and click on clear button and observe t he system behaviour on these fields.</t>
    </r>
  </si>
  <si>
    <r>
      <t xml:space="preserve">Validate the functionality of the </t>
    </r>
    <r>
      <rPr>
        <b/>
        <sz val="11"/>
        <color theme="1"/>
        <rFont val="Calibri"/>
        <family val="2"/>
        <scheme val="minor"/>
      </rPr>
      <t>Clear</t>
    </r>
    <r>
      <rPr>
        <sz val="11"/>
        <color theme="1"/>
        <rFont val="Calibri"/>
        <family val="2"/>
        <scheme val="minor"/>
      </rPr>
      <t xml:space="preserve"> button (</t>
    </r>
    <r>
      <rPr>
        <b/>
        <sz val="11"/>
        <color theme="1"/>
        <rFont val="Calibri"/>
        <family val="2"/>
        <scheme val="minor"/>
      </rPr>
      <t>located below the Dstn. Port textbox</t>
    </r>
    <r>
      <rPr>
        <sz val="11"/>
        <color theme="1"/>
        <rFont val="Calibri"/>
        <family val="2"/>
        <scheme val="minor"/>
      </rPr>
      <t xml:space="preserve">) and ensure it works correctly for all specified fields in </t>
    </r>
    <r>
      <rPr>
        <b/>
        <sz val="11"/>
        <color theme="1"/>
        <rFont val="Calibri"/>
        <family val="2"/>
        <scheme val="minor"/>
      </rPr>
      <t>Pricing Tab</t>
    </r>
    <r>
      <rPr>
        <sz val="11"/>
        <color theme="1"/>
        <rFont val="Calibri"/>
        <family val="2"/>
        <scheme val="minor"/>
      </rPr>
      <t xml:space="preserve"> on </t>
    </r>
    <r>
      <rPr>
        <b/>
        <sz val="11"/>
        <color theme="1"/>
        <rFont val="Calibri"/>
        <family val="2"/>
        <scheme val="minor"/>
      </rPr>
      <t>Pricing Page</t>
    </r>
    <r>
      <rPr>
        <sz val="11"/>
        <color theme="1"/>
        <rFont val="Calibri"/>
        <family val="2"/>
        <scheme val="minor"/>
      </rPr>
      <t>.</t>
    </r>
  </si>
  <si>
    <r>
      <t xml:space="preserve">1. Upon clicking the Clear button, the system should show a confirmation popup:
</t>
    </r>
    <r>
      <rPr>
        <b/>
        <sz val="11"/>
        <color theme="1"/>
        <rFont val="Calibri"/>
        <family val="2"/>
        <scheme val="minor"/>
      </rPr>
      <t>Are you sure you want to clear the data?</t>
    </r>
    <r>
      <rPr>
        <sz val="11"/>
        <color theme="1"/>
        <rFont val="Calibri"/>
        <family val="2"/>
        <scheme val="minor"/>
      </rPr>
      <t xml:space="preserve">
 -&gt; </t>
    </r>
    <r>
      <rPr>
        <b/>
        <sz val="11"/>
        <color theme="1"/>
        <rFont val="Calibri"/>
        <family val="2"/>
        <scheme val="minor"/>
      </rPr>
      <t>If Yes → All specified fields must be cleared</t>
    </r>
    <r>
      <rPr>
        <sz val="11"/>
        <color theme="1"/>
        <rFont val="Calibri"/>
        <family val="2"/>
        <scheme val="minor"/>
      </rPr>
      <t xml:space="preserve">
 </t>
    </r>
    <r>
      <rPr>
        <b/>
        <sz val="11"/>
        <color theme="1"/>
        <rFont val="Calibri"/>
        <family val="2"/>
        <scheme val="minor"/>
      </rPr>
      <t>-&gt; If No → All fields must remain unchanged</t>
    </r>
    <r>
      <rPr>
        <sz val="11"/>
        <color theme="1"/>
        <rFont val="Calibri"/>
        <family val="2"/>
        <scheme val="minor"/>
      </rPr>
      <t xml:space="preserve">
2. The Clear button must only affect the following fields:
 -&gt; Origin Country
 -&gt; Origin Port
 -&gt; Dstn. Country
 -&gt; Dstn. Port
 -&gt; Tranship. Port
 -&gt; Who Routed
 -&gt; Segment
3. No other fields should be cleared.
</t>
    </r>
    <r>
      <rPr>
        <b/>
        <sz val="11"/>
        <color theme="1"/>
        <rFont val="Calibri"/>
        <family val="2"/>
        <scheme val="minor"/>
      </rPr>
      <t/>
    </r>
  </si>
  <si>
    <t>Pricing_10</t>
  </si>
  <si>
    <r>
      <t xml:space="preserve">Validate the functionality of </t>
    </r>
    <r>
      <rPr>
        <b/>
        <sz val="11"/>
        <color theme="1"/>
        <rFont val="Calibri"/>
        <family val="2"/>
        <scheme val="minor"/>
      </rPr>
      <t>'Type'</t>
    </r>
    <r>
      <rPr>
        <sz val="11"/>
        <color theme="1"/>
        <rFont val="Calibri"/>
        <family val="2"/>
        <scheme val="minor"/>
      </rPr>
      <t xml:space="preserve"> dropdown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</si>
  <si>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Type</t>
    </r>
    <r>
      <rPr>
        <sz val="11"/>
        <color theme="1"/>
        <rFont val="Calibri"/>
        <family val="2"/>
        <scheme val="minor"/>
      </rPr>
      <t xml:space="preserve"> value from the dropdown and observe the system behaviour.</t>
    </r>
  </si>
  <si>
    <r>
      <t xml:space="preserve">Textbox - </t>
    </r>
    <r>
      <rPr>
        <b/>
        <sz val="11"/>
        <color theme="1"/>
        <rFont val="Calibri"/>
        <family val="2"/>
        <scheme val="minor"/>
      </rPr>
      <t>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Freight Charges
-&gt; Origin Charges</t>
    </r>
  </si>
  <si>
    <r>
      <t xml:space="preserve">1. Manual input should not be allowed in the </t>
    </r>
    <r>
      <rPr>
        <b/>
        <sz val="11"/>
        <color theme="1"/>
        <rFont val="Calibri"/>
        <family val="2"/>
        <scheme val="minor"/>
      </rPr>
      <t>Type</t>
    </r>
    <r>
      <rPr>
        <sz val="11"/>
        <color theme="1"/>
        <rFont val="Calibri"/>
        <family val="2"/>
        <scheme val="minor"/>
      </rPr>
      <t xml:space="preserve"> field.
2. User must be able to choose </t>
    </r>
    <r>
      <rPr>
        <b/>
        <sz val="11"/>
        <color theme="1"/>
        <rFont val="Calibri"/>
        <family val="2"/>
        <scheme val="minor"/>
      </rPr>
      <t>Type</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</si>
  <si>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Type</t>
    </r>
    <r>
      <rPr>
        <sz val="11"/>
        <color theme="1"/>
        <rFont val="Calibri"/>
        <family val="2"/>
        <scheme val="minor"/>
      </rPr>
      <t xml:space="preserve"> value can be selected only from the dropdown.</t>
    </r>
  </si>
  <si>
    <t>Pricing_11</t>
  </si>
  <si>
    <r>
      <t xml:space="preserve">Validate the functionality of </t>
    </r>
    <r>
      <rPr>
        <b/>
        <sz val="11"/>
        <color theme="1"/>
        <rFont val="Calibri"/>
        <family val="2"/>
        <scheme val="minor"/>
      </rPr>
      <t>'Charge Name'</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</si>
  <si>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in Charge Name textbox and observe the system behaviour.</t>
    </r>
  </si>
  <si>
    <r>
      <t xml:space="preserve">Textbox - </t>
    </r>
    <r>
      <rPr>
        <b/>
        <sz val="11"/>
        <color theme="1"/>
        <rFont val="Calibri"/>
        <family val="2"/>
        <scheme val="minor"/>
      </rPr>
      <t>Charge Name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Brokerage
 -&gt; Lifting Shifting etc.</t>
    </r>
  </si>
  <si>
    <r>
      <t xml:space="preserve">1. Manual input should not be allowed in the </t>
    </r>
    <r>
      <rPr>
        <b/>
        <sz val="11"/>
        <color theme="1"/>
        <rFont val="Calibri"/>
        <family val="2"/>
        <scheme val="minor"/>
      </rPr>
      <t xml:space="preserve">Charge Name </t>
    </r>
    <r>
      <rPr>
        <sz val="11"/>
        <color theme="1"/>
        <rFont val="Calibri"/>
        <family val="2"/>
        <scheme val="minor"/>
      </rPr>
      <t xml:space="preserve">field.
2. User must be able to choose </t>
    </r>
    <r>
      <rPr>
        <b/>
        <sz val="11"/>
        <color theme="1"/>
        <rFont val="Calibri"/>
        <family val="2"/>
        <scheme val="minor"/>
      </rPr>
      <t>Charge Name</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</si>
  <si>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Charge Name</t>
    </r>
    <r>
      <rPr>
        <sz val="11"/>
        <color theme="1"/>
        <rFont val="Calibri"/>
        <family val="2"/>
        <scheme val="minor"/>
      </rPr>
      <t xml:space="preserve"> value can be selected only from the autosuggest list.</t>
    </r>
  </si>
  <si>
    <t>Pricing_12</t>
  </si>
  <si>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in </t>
    </r>
    <r>
      <rPr>
        <b/>
        <sz val="11"/>
        <color theme="1"/>
        <rFont val="Calibri"/>
        <family val="2"/>
        <scheme val="minor"/>
      </rPr>
      <t>Unit</t>
    </r>
    <r>
      <rPr>
        <sz val="11"/>
        <color theme="1"/>
        <rFont val="Calibri"/>
        <family val="2"/>
        <scheme val="minor"/>
      </rPr>
      <t xml:space="preserve"> textbox and observe the system behaviour.</t>
    </r>
  </si>
  <si>
    <r>
      <t xml:space="preserve">Textbox - </t>
    </r>
    <r>
      <rPr>
        <b/>
        <sz val="11"/>
        <color theme="1"/>
        <rFont val="Calibri"/>
        <family val="2"/>
        <scheme val="minor"/>
      </rPr>
      <t>Unit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DOZEN
 -&gt; FEET etc.</t>
    </r>
  </si>
  <si>
    <r>
      <t xml:space="preserve">1. Manual input should not be allowed in the </t>
    </r>
    <r>
      <rPr>
        <b/>
        <sz val="11"/>
        <color theme="1"/>
        <rFont val="Calibri"/>
        <family val="2"/>
        <scheme val="minor"/>
      </rPr>
      <t>Unit</t>
    </r>
    <r>
      <rPr>
        <sz val="11"/>
        <color theme="1"/>
        <rFont val="Calibri"/>
        <family val="2"/>
        <scheme val="minor"/>
      </rPr>
      <t xml:space="preserve"> field.
2. User must be able to choose </t>
    </r>
    <r>
      <rPr>
        <b/>
        <sz val="11"/>
        <color theme="1"/>
        <rFont val="Calibri"/>
        <family val="2"/>
        <scheme val="minor"/>
      </rPr>
      <t>Unit</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</si>
  <si>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Unit</t>
    </r>
    <r>
      <rPr>
        <sz val="11"/>
        <color theme="1"/>
        <rFont val="Calibri"/>
        <family val="2"/>
        <scheme val="minor"/>
      </rPr>
      <t xml:space="preserve"> value can be selected only from the autosuggest list.</t>
    </r>
  </si>
  <si>
    <r>
      <t xml:space="preserve">Validate the functionality of </t>
    </r>
    <r>
      <rPr>
        <b/>
        <sz val="11"/>
        <color theme="1"/>
        <rFont val="Calibri"/>
        <family val="2"/>
        <scheme val="minor"/>
      </rPr>
      <t>'Unit'</t>
    </r>
    <r>
      <rPr>
        <sz val="11"/>
        <color theme="1"/>
        <rFont val="Calibri"/>
        <family val="2"/>
        <scheme val="minor"/>
      </rPr>
      <t xml:space="preserve"> textbox in Pricing Tab on Pricing Page.</t>
    </r>
  </si>
  <si>
    <t>Pricing_13</t>
  </si>
  <si>
    <r>
      <t xml:space="preserve">Validate the functionality of </t>
    </r>
    <r>
      <rPr>
        <b/>
        <sz val="11"/>
        <color theme="1"/>
        <rFont val="Calibri"/>
        <family val="2"/>
        <scheme val="minor"/>
      </rPr>
      <t>'Currency'</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</si>
  <si>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in </t>
    </r>
    <r>
      <rPr>
        <b/>
        <sz val="11"/>
        <color theme="1"/>
        <rFont val="Calibri"/>
        <family val="2"/>
        <scheme val="minor"/>
      </rPr>
      <t>Currency</t>
    </r>
    <r>
      <rPr>
        <sz val="11"/>
        <color theme="1"/>
        <rFont val="Calibri"/>
        <family val="2"/>
        <scheme val="minor"/>
      </rPr>
      <t xml:space="preserve"> textbox and observe the system behaviour.</t>
    </r>
  </si>
  <si>
    <r>
      <t xml:space="preserve">Textbox - </t>
    </r>
    <r>
      <rPr>
        <b/>
        <sz val="11"/>
        <color theme="1"/>
        <rFont val="Calibri"/>
        <family val="2"/>
        <scheme val="minor"/>
      </rPr>
      <t>Currency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Euro
 -&gt; Indian National Rupee etc.</t>
    </r>
  </si>
  <si>
    <r>
      <t xml:space="preserve">1. Manual input should not be allowed in the </t>
    </r>
    <r>
      <rPr>
        <b/>
        <sz val="11"/>
        <color theme="1"/>
        <rFont val="Calibri"/>
        <family val="2"/>
        <scheme val="minor"/>
      </rPr>
      <t>Currency</t>
    </r>
    <r>
      <rPr>
        <sz val="11"/>
        <color theme="1"/>
        <rFont val="Calibri"/>
        <family val="2"/>
        <scheme val="minor"/>
      </rPr>
      <t xml:space="preserve"> field.
2. User must be able to choose </t>
    </r>
    <r>
      <rPr>
        <b/>
        <sz val="11"/>
        <color theme="1"/>
        <rFont val="Calibri"/>
        <family val="2"/>
        <scheme val="minor"/>
      </rPr>
      <t>Currency</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</si>
  <si>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Currency</t>
    </r>
    <r>
      <rPr>
        <sz val="11"/>
        <color theme="1"/>
        <rFont val="Calibri"/>
        <family val="2"/>
        <scheme val="minor"/>
      </rPr>
      <t xml:space="preserve"> value can be selected only from the autosuggest list.</t>
    </r>
  </si>
  <si>
    <t>Pricing_14</t>
  </si>
  <si>
    <r>
      <t xml:space="preserve">Validate the functionality of </t>
    </r>
    <r>
      <rPr>
        <b/>
        <sz val="11"/>
        <color theme="1"/>
        <rFont val="Calibri"/>
        <family val="2"/>
        <scheme val="minor"/>
      </rPr>
      <t>'Carrier'</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</si>
  <si>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in </t>
    </r>
    <r>
      <rPr>
        <b/>
        <sz val="11"/>
        <color theme="1"/>
        <rFont val="Calibri"/>
        <family val="2"/>
        <scheme val="minor"/>
      </rPr>
      <t>Carrier</t>
    </r>
    <r>
      <rPr>
        <sz val="11"/>
        <color theme="1"/>
        <rFont val="Calibri"/>
        <family val="2"/>
        <scheme val="minor"/>
      </rPr>
      <t xml:space="preserve"> textbox and observe the system behaviour.</t>
    </r>
  </si>
  <si>
    <r>
      <t xml:space="preserve">Textbox - </t>
    </r>
    <r>
      <rPr>
        <b/>
        <sz val="11"/>
        <color theme="1"/>
        <rFont val="Calibri"/>
        <family val="2"/>
        <scheme val="minor"/>
      </rPr>
      <t>Carrier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ANL INDIA
 -&gt; AP LOGISTICS etc.</t>
    </r>
  </si>
  <si>
    <r>
      <t xml:space="preserve">1. Manual input should not be allowed in the </t>
    </r>
    <r>
      <rPr>
        <b/>
        <sz val="11"/>
        <color theme="1"/>
        <rFont val="Calibri"/>
        <family val="2"/>
        <scheme val="minor"/>
      </rPr>
      <t>Carrier</t>
    </r>
    <r>
      <rPr>
        <sz val="11"/>
        <color theme="1"/>
        <rFont val="Calibri"/>
        <family val="2"/>
        <scheme val="minor"/>
      </rPr>
      <t xml:space="preserve"> field.
2. User must be able to choose </t>
    </r>
    <r>
      <rPr>
        <b/>
        <sz val="11"/>
        <color theme="1"/>
        <rFont val="Calibri"/>
        <family val="2"/>
        <scheme val="minor"/>
      </rPr>
      <t>Carrier</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</si>
  <si>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Carrier</t>
    </r>
    <r>
      <rPr>
        <sz val="11"/>
        <color theme="1"/>
        <rFont val="Calibri"/>
        <family val="2"/>
        <scheme val="minor"/>
      </rPr>
      <t xml:space="preserve"> value can be selected only from the autosuggest list.</t>
    </r>
  </si>
  <si>
    <t>Pricing_15</t>
  </si>
  <si>
    <r>
      <t xml:space="preserve">Validate the functionality of </t>
    </r>
    <r>
      <rPr>
        <b/>
        <sz val="11"/>
        <color theme="1"/>
        <rFont val="Calibri"/>
        <family val="2"/>
        <scheme val="minor"/>
      </rPr>
      <t>'Agent'</t>
    </r>
    <r>
      <rPr>
        <sz val="11"/>
        <color theme="1"/>
        <rFont val="Calibri"/>
        <family val="2"/>
        <scheme val="minor"/>
      </rPr>
      <t xml:space="preserve">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</si>
  <si>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a value from the Autosuggest list in </t>
    </r>
    <r>
      <rPr>
        <b/>
        <sz val="11"/>
        <color theme="1"/>
        <rFont val="Calibri"/>
        <family val="2"/>
        <scheme val="minor"/>
      </rPr>
      <t>Agent</t>
    </r>
    <r>
      <rPr>
        <sz val="11"/>
        <color theme="1"/>
        <rFont val="Calibri"/>
        <family val="2"/>
        <scheme val="minor"/>
      </rPr>
      <t xml:space="preserve"> textbox and observe the system behaviour.</t>
    </r>
  </si>
  <si>
    <r>
      <t xml:space="preserve">Textbox - </t>
    </r>
    <r>
      <rPr>
        <b/>
        <sz val="11"/>
        <color theme="1"/>
        <rFont val="Calibri"/>
        <family val="2"/>
        <scheme val="minor"/>
      </rPr>
      <t>Agent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ABB B.V
 -&gt; ABCL LTD etc.</t>
    </r>
  </si>
  <si>
    <r>
      <t xml:space="preserve">1. Manual input should not be allowed in the </t>
    </r>
    <r>
      <rPr>
        <b/>
        <sz val="11"/>
        <color theme="1"/>
        <rFont val="Calibri"/>
        <family val="2"/>
        <scheme val="minor"/>
      </rPr>
      <t>Agent</t>
    </r>
    <r>
      <rPr>
        <sz val="11"/>
        <color theme="1"/>
        <rFont val="Calibri"/>
        <family val="2"/>
        <scheme val="minor"/>
      </rPr>
      <t xml:space="preserve"> field.
2. User must be able to choose </t>
    </r>
    <r>
      <rPr>
        <b/>
        <sz val="11"/>
        <color theme="1"/>
        <rFont val="Calibri"/>
        <family val="2"/>
        <scheme val="minor"/>
      </rPr>
      <t>Agent</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</si>
  <si>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Agent</t>
    </r>
    <r>
      <rPr>
        <sz val="11"/>
        <color theme="1"/>
        <rFont val="Calibri"/>
        <family val="2"/>
        <scheme val="minor"/>
      </rPr>
      <t xml:space="preserve"> value can be selected only from the autosuggest list.</t>
    </r>
  </si>
  <si>
    <t>Pricing_16</t>
  </si>
  <si>
    <t>Pricing_17</t>
  </si>
  <si>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From Date</t>
    </r>
    <r>
      <rPr>
        <sz val="11"/>
        <color theme="1"/>
        <rFont val="Calibri"/>
        <family val="2"/>
        <scheme val="minor"/>
      </rPr>
      <t xml:space="preserve"> from the calendar autosuggest and observe the system behavior.</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</si>
  <si>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To Date</t>
    </r>
    <r>
      <rPr>
        <sz val="11"/>
        <color theme="1"/>
        <rFont val="Calibri"/>
        <family val="2"/>
        <scheme val="minor"/>
      </rPr>
      <t xml:space="preserve"> from the calendar autosuggest and observe the system behavior.</t>
    </r>
  </si>
  <si>
    <t>Pricing_18</t>
  </si>
  <si>
    <r>
      <t xml:space="preserve">Validate the functionality of </t>
    </r>
    <r>
      <rPr>
        <b/>
        <sz val="11"/>
        <color theme="1"/>
        <rFont val="Calibri"/>
        <family val="2"/>
        <scheme val="minor"/>
      </rPr>
      <t>'MSP'</t>
    </r>
    <r>
      <rPr>
        <sz val="11"/>
        <color theme="1"/>
        <rFont val="Calibri"/>
        <family val="2"/>
        <scheme val="minor"/>
      </rPr>
      <t xml:space="preserve"> textbox in Pricing Tab on Pricing Page.</t>
    </r>
  </si>
  <si>
    <r>
      <t>Validate the functionality of ‘</t>
    </r>
    <r>
      <rPr>
        <b/>
        <sz val="11"/>
        <color theme="1"/>
        <rFont val="Calibri"/>
        <family val="2"/>
        <scheme val="minor"/>
      </rPr>
      <t>To Date</t>
    </r>
    <r>
      <rPr>
        <sz val="11"/>
        <color theme="1"/>
        <rFont val="Calibri"/>
        <family val="2"/>
        <scheme val="minor"/>
      </rPr>
      <t>’ textbox in Pricing Tab on Pricing Page.</t>
    </r>
  </si>
  <si>
    <r>
      <t>Validate the functionality of ‘</t>
    </r>
    <r>
      <rPr>
        <b/>
        <sz val="11"/>
        <color theme="1"/>
        <rFont val="Calibri"/>
        <family val="2"/>
        <scheme val="minor"/>
      </rPr>
      <t>From Date</t>
    </r>
    <r>
      <rPr>
        <sz val="11"/>
        <color theme="1"/>
        <rFont val="Calibri"/>
        <family val="2"/>
        <scheme val="minor"/>
      </rPr>
      <t>’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</si>
  <si>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MSP</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</si>
  <si>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MSP
</t>
    </r>
    <r>
      <rPr>
        <b/>
        <sz val="11"/>
        <color theme="1"/>
        <rFont val="Calibri"/>
        <family val="2"/>
        <scheme val="minor"/>
      </rPr>
      <t>Valid Data</t>
    </r>
    <r>
      <rPr>
        <sz val="11"/>
        <color theme="1"/>
        <rFont val="Calibri"/>
        <family val="2"/>
        <scheme val="minor"/>
      </rPr>
      <t xml:space="preserve"> - Numeric Value
</t>
    </r>
    <r>
      <rPr>
        <b/>
        <sz val="11"/>
        <color theme="1"/>
        <rFont val="Calibri"/>
        <family val="2"/>
        <scheme val="minor"/>
      </rPr>
      <t xml:space="preserve">Invalid data - </t>
    </r>
    <r>
      <rPr>
        <sz val="11"/>
        <color theme="1"/>
        <rFont val="Calibri"/>
        <family val="2"/>
        <scheme val="minor"/>
      </rPr>
      <t>Only space value, special character value, Alphabetic Value</t>
    </r>
  </si>
  <si>
    <t>Pricing_19</t>
  </si>
  <si>
    <r>
      <t xml:space="preserve">Validate the functionality of </t>
    </r>
    <r>
      <rPr>
        <b/>
        <sz val="11"/>
        <color theme="1"/>
        <rFont val="Calibri"/>
        <family val="2"/>
        <scheme val="minor"/>
      </rPr>
      <t>'SSP'</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</si>
  <si>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SSP</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</si>
  <si>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SSP
</t>
    </r>
    <r>
      <rPr>
        <b/>
        <sz val="11"/>
        <color theme="1"/>
        <rFont val="Calibri"/>
        <family val="2"/>
        <scheme val="minor"/>
      </rPr>
      <t>Valid Data</t>
    </r>
    <r>
      <rPr>
        <sz val="11"/>
        <color theme="1"/>
        <rFont val="Calibri"/>
        <family val="2"/>
        <scheme val="minor"/>
      </rPr>
      <t xml:space="preserve"> - Numeric Value
</t>
    </r>
    <r>
      <rPr>
        <b/>
        <sz val="11"/>
        <color theme="1"/>
        <rFont val="Calibri"/>
        <family val="2"/>
        <scheme val="minor"/>
      </rPr>
      <t xml:space="preserve">Invalid data - </t>
    </r>
    <r>
      <rPr>
        <sz val="11"/>
        <color theme="1"/>
        <rFont val="Calibri"/>
        <family val="2"/>
        <scheme val="minor"/>
      </rPr>
      <t>Only space value, special character value, Alphabetic Value</t>
    </r>
  </si>
  <si>
    <t>Pricing_20</t>
  </si>
  <si>
    <r>
      <t xml:space="preserve">Validate the functionality of </t>
    </r>
    <r>
      <rPr>
        <b/>
        <sz val="11"/>
        <color theme="1"/>
        <rFont val="Calibri"/>
        <family val="2"/>
        <scheme val="minor"/>
      </rPr>
      <t>'Cost'</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</si>
  <si>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Cost</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</si>
  <si>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Cost
</t>
    </r>
    <r>
      <rPr>
        <b/>
        <sz val="11"/>
        <color theme="1"/>
        <rFont val="Calibri"/>
        <family val="2"/>
        <scheme val="minor"/>
      </rPr>
      <t>Valid Data</t>
    </r>
    <r>
      <rPr>
        <sz val="11"/>
        <color theme="1"/>
        <rFont val="Calibri"/>
        <family val="2"/>
        <scheme val="minor"/>
      </rPr>
      <t xml:space="preserve"> - 10.02, 12345, 123.5 etc.
</t>
    </r>
    <r>
      <rPr>
        <b/>
        <sz val="11"/>
        <color theme="1"/>
        <rFont val="Calibri"/>
        <family val="2"/>
        <scheme val="minor"/>
      </rPr>
      <t xml:space="preserve">Invalid data - </t>
    </r>
    <r>
      <rPr>
        <sz val="11"/>
        <color theme="1"/>
        <rFont val="Calibri"/>
        <family val="2"/>
        <scheme val="minor"/>
      </rPr>
      <t>Only space value, special character value, Alphabetic Value</t>
    </r>
  </si>
  <si>
    <t>Pricing_21</t>
  </si>
  <si>
    <t>1. Cost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t>
  </si>
  <si>
    <r>
      <t xml:space="preserve">1. </t>
    </r>
    <r>
      <rPr>
        <b/>
        <sz val="11"/>
        <color theme="1"/>
        <rFont val="Calibri"/>
        <family val="2"/>
        <scheme val="minor"/>
      </rPr>
      <t>Cost</t>
    </r>
    <r>
      <rPr>
        <sz val="11"/>
        <color theme="1"/>
        <rFont val="Calibri"/>
        <family val="2"/>
        <scheme val="minor"/>
      </rPr>
      <t xml:space="preserve"> textbox should accept only numeric values.
2. </t>
    </r>
    <r>
      <rPr>
        <b/>
        <sz val="11"/>
        <color theme="1"/>
        <rFont val="Calibri"/>
        <family val="2"/>
        <scheme val="minor"/>
      </rPr>
      <t xml:space="preserve">Cost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Cost</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</si>
  <si>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theme="1"/>
        <rFont val="Calibri"/>
        <family val="2"/>
        <scheme val="minor"/>
      </rPr>
      <t>SSP</t>
    </r>
    <r>
      <rPr>
        <sz val="11"/>
        <color theme="1"/>
        <rFont val="Calibri"/>
        <family val="2"/>
        <scheme val="minor"/>
      </rPr>
      <t xml:space="preserve"> textbox should accept only numeric values.
2. </t>
    </r>
    <r>
      <rPr>
        <b/>
        <sz val="11"/>
        <color theme="1"/>
        <rFont val="Calibri"/>
        <family val="2"/>
        <scheme val="minor"/>
      </rPr>
      <t xml:space="preserve">SSP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SSP</t>
    </r>
    <r>
      <rPr>
        <sz val="11"/>
        <color theme="1"/>
        <rFont val="Calibri"/>
        <family val="2"/>
        <scheme val="minor"/>
      </rPr>
      <t xml:space="preserve"> textbox character limit should be maximum 5 characters.
5. 5. If a decimal point is entered without any value after it, the decimal should be automatically cleared.</t>
    </r>
  </si>
  <si>
    <r>
      <t xml:space="preserve">1. </t>
    </r>
    <r>
      <rPr>
        <b/>
        <sz val="11"/>
        <color theme="1"/>
        <rFont val="Calibri"/>
        <family val="2"/>
        <scheme val="minor"/>
      </rPr>
      <t>MSP</t>
    </r>
    <r>
      <rPr>
        <sz val="11"/>
        <color theme="1"/>
        <rFont val="Calibri"/>
        <family val="2"/>
        <scheme val="minor"/>
      </rPr>
      <t xml:space="preserve"> textbox should accept only numeric values.
2. </t>
    </r>
    <r>
      <rPr>
        <b/>
        <sz val="11"/>
        <color theme="1"/>
        <rFont val="Calibri"/>
        <family val="2"/>
        <scheme val="minor"/>
      </rPr>
      <t xml:space="preserve">MSP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MSP</t>
    </r>
    <r>
      <rPr>
        <sz val="11"/>
        <color theme="1"/>
        <rFont val="Calibri"/>
        <family val="2"/>
        <scheme val="minor"/>
      </rPr>
      <t xml:space="preserve"> textbox character limit should be maximum 5 characters.
5. 5. If a decimal point is entered without any value after it, the decimal should be automatically cleared.</t>
    </r>
  </si>
  <si>
    <t xml:space="preserve">1. MSP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</si>
  <si>
    <t>1. SSP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t>
  </si>
  <si>
    <r>
      <t xml:space="preserve">Validate the functionality of </t>
    </r>
    <r>
      <rPr>
        <b/>
        <sz val="11"/>
        <color theme="1"/>
        <rFont val="Calibri"/>
        <family val="2"/>
        <scheme val="minor"/>
      </rPr>
      <t>'TOS Term'</t>
    </r>
    <r>
      <rPr>
        <sz val="11"/>
        <color theme="1"/>
        <rFont val="Calibri"/>
        <family val="2"/>
        <scheme val="minor"/>
      </rPr>
      <t xml:space="preserve"> dropdown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</si>
  <si>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TOS Term</t>
    </r>
    <r>
      <rPr>
        <sz val="11"/>
        <color theme="1"/>
        <rFont val="Calibri"/>
        <family val="2"/>
        <scheme val="minor"/>
      </rPr>
      <t xml:space="preserve"> value from the dropdown and observe the system behaviour.</t>
    </r>
  </si>
  <si>
    <r>
      <t xml:space="preserve">Textbox - </t>
    </r>
    <r>
      <rPr>
        <b/>
        <sz val="11"/>
        <color theme="1"/>
        <rFont val="Calibri"/>
        <family val="2"/>
        <scheme val="minor"/>
      </rPr>
      <t>TOS Term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EXW
-&gt; FCA etc.</t>
    </r>
  </si>
  <si>
    <r>
      <t xml:space="preserve">1. Functionality is working as expected.
2. </t>
    </r>
    <r>
      <rPr>
        <b/>
        <sz val="11"/>
        <color theme="1"/>
        <rFont val="Calibri"/>
        <family val="2"/>
        <scheme val="minor"/>
      </rPr>
      <t>TOS Term</t>
    </r>
    <r>
      <rPr>
        <sz val="11"/>
        <color theme="1"/>
        <rFont val="Calibri"/>
        <family val="2"/>
        <scheme val="minor"/>
      </rPr>
      <t xml:space="preserve"> value can be selected only from the dropdown.</t>
    </r>
  </si>
  <si>
    <r>
      <t xml:space="preserve">1. Manual input should not be allowed in the </t>
    </r>
    <r>
      <rPr>
        <b/>
        <sz val="11"/>
        <color theme="1"/>
        <rFont val="Calibri"/>
        <family val="2"/>
        <scheme val="minor"/>
      </rPr>
      <t>TOS Term</t>
    </r>
    <r>
      <rPr>
        <sz val="11"/>
        <color theme="1"/>
        <rFont val="Calibri"/>
        <family val="2"/>
        <scheme val="minor"/>
      </rPr>
      <t xml:space="preserve"> field.
2. User must be able to choose </t>
    </r>
    <r>
      <rPr>
        <b/>
        <sz val="11"/>
        <color theme="1"/>
        <rFont val="Calibri"/>
        <family val="2"/>
        <scheme val="minor"/>
      </rPr>
      <t>TOS Term</t>
    </r>
    <r>
      <rPr>
        <sz val="11"/>
        <color theme="1"/>
        <rFont val="Calibri"/>
        <family val="2"/>
        <scheme val="minor"/>
      </rPr>
      <t xml:space="preserve"> value only from the dropdown.
3. If the user types anything invalid, the textbox should automatically clear.</t>
    </r>
  </si>
  <si>
    <t>Pricing_22</t>
  </si>
  <si>
    <r>
      <t xml:space="preserve">Validate the functionality of </t>
    </r>
    <r>
      <rPr>
        <b/>
        <sz val="11"/>
        <color theme="1"/>
        <rFont val="Calibri"/>
        <family val="2"/>
        <scheme val="minor"/>
      </rPr>
      <t>'Transit Days'</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</si>
  <si>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Transit Days</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</si>
  <si>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Transit Days
</t>
    </r>
    <r>
      <rPr>
        <b/>
        <sz val="11"/>
        <color theme="1"/>
        <rFont val="Calibri"/>
        <family val="2"/>
        <scheme val="minor"/>
      </rPr>
      <t>Valid Data</t>
    </r>
    <r>
      <rPr>
        <sz val="11"/>
        <color theme="1"/>
        <rFont val="Calibri"/>
        <family val="2"/>
        <scheme val="minor"/>
      </rPr>
      <t xml:space="preserve"> - Numeric Value
</t>
    </r>
    <r>
      <rPr>
        <b/>
        <sz val="11"/>
        <color theme="1"/>
        <rFont val="Calibri"/>
        <family val="2"/>
        <scheme val="minor"/>
      </rPr>
      <t xml:space="preserve">Invalid data - </t>
    </r>
    <r>
      <rPr>
        <sz val="11"/>
        <color theme="1"/>
        <rFont val="Calibri"/>
        <family val="2"/>
        <scheme val="minor"/>
      </rPr>
      <t>Only space value, special character value, Alphabetic Value etc.</t>
    </r>
  </si>
  <si>
    <r>
      <t xml:space="preserve">1. The functionality is not working as expected.
2. The textbox is accepting </t>
    </r>
    <r>
      <rPr>
        <b/>
        <sz val="11"/>
        <color theme="1"/>
        <rFont val="Calibri"/>
        <family val="2"/>
        <scheme val="minor"/>
      </rPr>
      <t>all type</t>
    </r>
    <r>
      <rPr>
        <sz val="11"/>
        <color theme="1"/>
        <rFont val="Calibri"/>
        <family val="2"/>
        <scheme val="minor"/>
      </rPr>
      <t xml:space="preserve"> </t>
    </r>
    <r>
      <rPr>
        <b/>
        <sz val="11"/>
        <color theme="1"/>
        <rFont val="Calibri"/>
        <family val="2"/>
        <scheme val="minor"/>
      </rPr>
      <t xml:space="preserve">special character </t>
    </r>
    <r>
      <rPr>
        <sz val="11"/>
        <color theme="1"/>
        <rFont val="Calibri"/>
        <family val="2"/>
        <scheme val="minor"/>
      </rPr>
      <t>and</t>
    </r>
    <r>
      <rPr>
        <b/>
        <sz val="11"/>
        <color theme="1"/>
        <rFont val="Calibri"/>
        <family val="2"/>
        <scheme val="minor"/>
      </rPr>
      <t xml:space="preserve"> alphabetic Value</t>
    </r>
    <r>
      <rPr>
        <sz val="11"/>
        <color theme="1"/>
        <rFont val="Calibri"/>
        <family val="2"/>
        <scheme val="minor"/>
      </rPr>
      <t xml:space="preserve">.
3. Textbox character limit of 5 characters is correctly implemented.
Note:  </t>
    </r>
    <r>
      <rPr>
        <b/>
        <sz val="11"/>
        <color theme="1"/>
        <rFont val="Calibri"/>
        <family val="2"/>
        <scheme val="minor"/>
      </rPr>
      <t>As Per business rule, This textbox should accept only numeric value.</t>
    </r>
  </si>
  <si>
    <t>Pricing_23</t>
  </si>
  <si>
    <r>
      <t xml:space="preserve">Validate the functionality of </t>
    </r>
    <r>
      <rPr>
        <b/>
        <sz val="11"/>
        <color theme="1"/>
        <rFont val="Calibri"/>
        <family val="2"/>
        <scheme val="minor"/>
      </rPr>
      <t>'MSP 20'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</si>
  <si>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MSP 20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</si>
  <si>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MSP 20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</si>
  <si>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rgb="FF9C6500"/>
        <rFont val="Calibri"/>
        <family val="2"/>
        <scheme val="minor"/>
      </rPr>
      <t>MSP 20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</si>
  <si>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Pricing_24</t>
  </si>
  <si>
    <r>
      <t xml:space="preserve">Validate the functionality of </t>
    </r>
    <r>
      <rPr>
        <b/>
        <sz val="11"/>
        <color theme="1"/>
        <rFont val="Calibri"/>
        <family val="2"/>
        <scheme val="minor"/>
      </rPr>
      <t>'SSP 20'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</si>
  <si>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SSP 20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</si>
  <si>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t>
    </r>
    <r>
      <rPr>
        <b/>
        <sz val="11"/>
        <color theme="1"/>
        <rFont val="Calibri"/>
        <family val="2"/>
        <scheme val="minor"/>
      </rPr>
      <t>SSP 20</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</si>
  <si>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rgb="FF9C6500"/>
        <rFont val="Calibri"/>
        <family val="2"/>
        <scheme val="minor"/>
      </rPr>
      <t>SSP 20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</si>
  <si>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Pricing_25</t>
  </si>
  <si>
    <r>
      <t xml:space="preserve">Validate the functionality of </t>
    </r>
    <r>
      <rPr>
        <b/>
        <sz val="11"/>
        <color theme="1"/>
        <rFont val="Calibri"/>
        <family val="2"/>
        <scheme val="minor"/>
      </rPr>
      <t>'Cost 20'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</si>
  <si>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Cost 20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</si>
  <si>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t>
    </r>
    <r>
      <rPr>
        <b/>
        <sz val="11"/>
        <color theme="1"/>
        <rFont val="Calibri"/>
        <family val="2"/>
        <scheme val="minor"/>
      </rPr>
      <t>Cost 20</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</si>
  <si>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Cost 20</t>
    </r>
    <r>
      <rPr>
        <sz val="11"/>
        <color theme="1"/>
        <rFont val="Calibri"/>
        <family val="2"/>
        <scheme val="minor"/>
      </rPr>
      <t xml:space="preserve"> textbox should accept only numeric values.
2. </t>
    </r>
    <r>
      <rPr>
        <b/>
        <sz val="11"/>
        <color theme="1"/>
        <rFont val="Calibri"/>
        <family val="2"/>
        <scheme val="minor"/>
      </rPr>
      <t xml:space="preserve">Cost 20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Cost 20</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</si>
  <si>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theme="1"/>
        <rFont val="Calibri"/>
        <family val="2"/>
        <scheme val="minor"/>
      </rPr>
      <t>SSP 20</t>
    </r>
    <r>
      <rPr>
        <sz val="11"/>
        <color theme="1"/>
        <rFont val="Calibri"/>
        <family val="2"/>
        <scheme val="minor"/>
      </rPr>
      <t xml:space="preserve"> textbox should accept only numeric values.
2. </t>
    </r>
    <r>
      <rPr>
        <b/>
        <sz val="11"/>
        <color theme="1"/>
        <rFont val="Calibri"/>
        <family val="2"/>
        <scheme val="minor"/>
      </rPr>
      <t xml:space="preserve">SSP 20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SSP 20</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</si>
  <si>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theme="1"/>
        <rFont val="Calibri"/>
        <family val="2"/>
        <scheme val="minor"/>
      </rPr>
      <t>MSP 20</t>
    </r>
    <r>
      <rPr>
        <sz val="11"/>
        <color theme="1"/>
        <rFont val="Calibri"/>
        <family val="2"/>
        <scheme val="minor"/>
      </rPr>
      <t xml:space="preserve"> textbox should accept only numeric values.
2. </t>
    </r>
    <r>
      <rPr>
        <b/>
        <sz val="11"/>
        <color theme="1"/>
        <rFont val="Calibri"/>
        <family val="2"/>
        <scheme val="minor"/>
      </rPr>
      <t xml:space="preserve">MSP 20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MSP</t>
    </r>
    <r>
      <rPr>
        <sz val="11"/>
        <color theme="1"/>
        <rFont val="Calibri"/>
        <family val="2"/>
        <scheme val="minor"/>
      </rPr>
      <t xml:space="preserve"> 20 textbox character limit should be maximum 5 characters.
5. If a decimal point is entered without any value after it, the decimal should be automatically cleared.</t>
    </r>
  </si>
  <si>
    <r>
      <t xml:space="preserve">1. As per Use Case, </t>
    </r>
    <r>
      <rPr>
        <b/>
        <sz val="11"/>
        <color theme="1"/>
        <rFont val="Calibri"/>
        <family val="2"/>
        <scheme val="minor"/>
      </rPr>
      <t>Transit Days</t>
    </r>
    <r>
      <rPr>
        <sz val="11"/>
        <color theme="1"/>
        <rFont val="Calibri"/>
        <family val="2"/>
        <scheme val="minor"/>
      </rPr>
      <t xml:space="preserve"> textbox should accept only Numeric value.
2. It should not accept invalid value such as - 
 -&gt; Alphabetic Value
 -&gt; Only Space value
 -&gt; Special character value
 -&gt; Letter of combination (Alphanumeric with speical character and space)
5. Textbox limit should be maximum 5 characters.</t>
    </r>
  </si>
  <si>
    <r>
      <t xml:space="preserve">1. </t>
    </r>
    <r>
      <rPr>
        <b/>
        <sz val="11"/>
        <color rgb="FF9C6500"/>
        <rFont val="Calibri"/>
        <family val="2"/>
        <scheme val="minor"/>
      </rPr>
      <t>Cost 20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</si>
  <si>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Pricing_26</t>
  </si>
  <si>
    <r>
      <t xml:space="preserve">Validate the functionality of </t>
    </r>
    <r>
      <rPr>
        <b/>
        <sz val="11"/>
        <color theme="1"/>
        <rFont val="Calibri"/>
        <family val="2"/>
        <scheme val="minor"/>
      </rPr>
      <t>'MSP 40'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</si>
  <si>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MSP 40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</si>
  <si>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MSP 40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</si>
  <si>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MSP 40</t>
    </r>
    <r>
      <rPr>
        <sz val="11"/>
        <color theme="1"/>
        <rFont val="Calibri"/>
        <family val="2"/>
        <scheme val="minor"/>
      </rPr>
      <t xml:space="preserve"> textbox should accept only numeric values.
2. </t>
    </r>
    <r>
      <rPr>
        <b/>
        <sz val="11"/>
        <color theme="1"/>
        <rFont val="Calibri"/>
        <family val="2"/>
        <scheme val="minor"/>
      </rPr>
      <t xml:space="preserve">MSP 40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MSP</t>
    </r>
    <r>
      <rPr>
        <sz val="11"/>
        <color theme="1"/>
        <rFont val="Calibri"/>
        <family val="2"/>
        <scheme val="minor"/>
      </rPr>
      <t xml:space="preserve"> </t>
    </r>
    <r>
      <rPr>
        <b/>
        <sz val="11"/>
        <color theme="1"/>
        <rFont val="Calibri"/>
        <family val="2"/>
        <scheme val="minor"/>
      </rPr>
      <t>40</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</si>
  <si>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MSP 40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</si>
  <si>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Pricing_27</t>
  </si>
  <si>
    <r>
      <t xml:space="preserve">Validate the functionality of </t>
    </r>
    <r>
      <rPr>
        <b/>
        <sz val="11"/>
        <color theme="1"/>
        <rFont val="Calibri"/>
        <family val="2"/>
        <scheme val="minor"/>
      </rPr>
      <t>'SSP 40'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</si>
  <si>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SSP 40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</si>
  <si>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SSP 40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</si>
  <si>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SSP 40</t>
    </r>
    <r>
      <rPr>
        <sz val="11"/>
        <color theme="1"/>
        <rFont val="Calibri"/>
        <family val="2"/>
        <scheme val="minor"/>
      </rPr>
      <t xml:space="preserve"> textbox should accept only numeric values.
2. </t>
    </r>
    <r>
      <rPr>
        <b/>
        <sz val="11"/>
        <color theme="1"/>
        <rFont val="Calibri"/>
        <family val="2"/>
        <scheme val="minor"/>
      </rPr>
      <t xml:space="preserve">SSP 40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SSP 40</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</si>
  <si>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SSP 40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</si>
  <si>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Pricing_28</t>
  </si>
  <si>
    <r>
      <t xml:space="preserve">Validate the functionality of </t>
    </r>
    <r>
      <rPr>
        <b/>
        <sz val="11"/>
        <color theme="1"/>
        <rFont val="Calibri"/>
        <family val="2"/>
        <scheme val="minor"/>
      </rPr>
      <t>'Cost 40'</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</si>
  <si>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Cost 40</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</si>
  <si>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Cost 40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</si>
  <si>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Cost 40</t>
    </r>
    <r>
      <rPr>
        <sz val="11"/>
        <color theme="1"/>
        <rFont val="Calibri"/>
        <family val="2"/>
        <scheme val="minor"/>
      </rPr>
      <t xml:space="preserve"> textbox should accept only numeric values.
2. </t>
    </r>
    <r>
      <rPr>
        <b/>
        <sz val="11"/>
        <color theme="1"/>
        <rFont val="Calibri"/>
        <family val="2"/>
        <scheme val="minor"/>
      </rPr>
      <t xml:space="preserve">Cost 40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Cost 40</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</si>
  <si>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Cost 40</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</si>
  <si>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Pricing_29</t>
  </si>
  <si>
    <r>
      <t xml:space="preserve">Validate the functionality of </t>
    </r>
    <r>
      <rPr>
        <b/>
        <sz val="11"/>
        <color theme="1"/>
        <rFont val="Calibri"/>
        <family val="2"/>
        <scheme val="minor"/>
      </rPr>
      <t>'MSP BAF'</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</si>
  <si>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MSP BAF</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</si>
  <si>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MSP BAF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</si>
  <si>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MSP BAF</t>
    </r>
    <r>
      <rPr>
        <sz val="11"/>
        <color theme="1"/>
        <rFont val="Calibri"/>
        <family val="2"/>
        <scheme val="minor"/>
      </rPr>
      <t xml:space="preserve"> textbox should accept only numeric values.
2. </t>
    </r>
    <r>
      <rPr>
        <b/>
        <sz val="11"/>
        <color theme="1"/>
        <rFont val="Calibri"/>
        <family val="2"/>
        <scheme val="minor"/>
      </rPr>
      <t xml:space="preserve">MSP BAF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MSP BAF</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</si>
  <si>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MSP BAF</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</si>
  <si>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Pricing_30</t>
  </si>
  <si>
    <r>
      <t xml:space="preserve">Validate the functionality of </t>
    </r>
    <r>
      <rPr>
        <b/>
        <sz val="11"/>
        <color theme="1"/>
        <rFont val="Calibri"/>
        <family val="2"/>
        <scheme val="minor"/>
      </rPr>
      <t>'SSP BAF'</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</si>
  <si>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SSP BAF</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</si>
  <si>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SSP BAF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</si>
  <si>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SSP BAF</t>
    </r>
    <r>
      <rPr>
        <sz val="11"/>
        <color theme="1"/>
        <rFont val="Calibri"/>
        <family val="2"/>
        <scheme val="minor"/>
      </rPr>
      <t xml:space="preserve"> textbox should accept only numeric values.
2. </t>
    </r>
    <r>
      <rPr>
        <b/>
        <sz val="11"/>
        <color theme="1"/>
        <rFont val="Calibri"/>
        <family val="2"/>
        <scheme val="minor"/>
      </rPr>
      <t xml:space="preserve">SSP BAF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SSP BAF</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</si>
  <si>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SSP BAF</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</si>
  <si>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Pricing_31</t>
  </si>
  <si>
    <r>
      <t xml:space="preserve">Validate the functionality of </t>
    </r>
    <r>
      <rPr>
        <b/>
        <sz val="11"/>
        <color theme="1"/>
        <rFont val="Calibri"/>
        <family val="2"/>
        <scheme val="minor"/>
      </rPr>
      <t>'Cost BAF'</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</si>
  <si>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Cost BAF</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</si>
  <si>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Cost BAF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</si>
  <si>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Cost BAF</t>
    </r>
    <r>
      <rPr>
        <sz val="11"/>
        <color theme="1"/>
        <rFont val="Calibri"/>
        <family val="2"/>
        <scheme val="minor"/>
      </rPr>
      <t xml:space="preserve"> textbox should accept only numeric values.
2. </t>
    </r>
    <r>
      <rPr>
        <b/>
        <sz val="11"/>
        <color theme="1"/>
        <rFont val="Calibri"/>
        <family val="2"/>
        <scheme val="minor"/>
      </rPr>
      <t xml:space="preserve">Cost BAF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Cost BAF</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</si>
  <si>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Cost BAF</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</si>
  <si>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Pricing_32</t>
  </si>
  <si>
    <r>
      <t xml:space="preserve">Validate the functionality of </t>
    </r>
    <r>
      <rPr>
        <b/>
        <sz val="11"/>
        <color theme="1"/>
        <rFont val="Calibri"/>
        <family val="2"/>
        <scheme val="minor"/>
      </rPr>
      <t>'MSP 40 HC'</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</si>
  <si>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MSP 40 HC</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</si>
  <si>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MSP 40 HC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</si>
  <si>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MSP 40 HC</t>
    </r>
    <r>
      <rPr>
        <sz val="11"/>
        <color theme="1"/>
        <rFont val="Calibri"/>
        <family val="2"/>
        <scheme val="minor"/>
      </rPr>
      <t xml:space="preserve"> textbox should accept only numeric values.
2. </t>
    </r>
    <r>
      <rPr>
        <b/>
        <sz val="11"/>
        <color theme="1"/>
        <rFont val="Calibri"/>
        <family val="2"/>
        <scheme val="minor"/>
      </rPr>
      <t xml:space="preserve">MSP 40 HC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MSP 40 HC</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</si>
  <si>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MSP 40 HC</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</si>
  <si>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Pricing_33</t>
  </si>
  <si>
    <r>
      <t xml:space="preserve">Validate the functionality of </t>
    </r>
    <r>
      <rPr>
        <b/>
        <sz val="11"/>
        <color theme="1"/>
        <rFont val="Calibri"/>
        <family val="2"/>
        <scheme val="minor"/>
      </rPr>
      <t>'SSP 40 HC'</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</si>
  <si>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SSP 40 HC</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</si>
  <si>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SSP 40 HC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</si>
  <si>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SSP 40 HC</t>
    </r>
    <r>
      <rPr>
        <sz val="11"/>
        <color theme="1"/>
        <rFont val="Calibri"/>
        <family val="2"/>
        <scheme val="minor"/>
      </rPr>
      <t xml:space="preserve"> textbox should accept only numeric values.
2. </t>
    </r>
    <r>
      <rPr>
        <b/>
        <sz val="11"/>
        <color theme="1"/>
        <rFont val="Calibri"/>
        <family val="2"/>
        <scheme val="minor"/>
      </rPr>
      <t xml:space="preserve">SSP 40 HC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SSP 40 HC</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</si>
  <si>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SSP 40 HC</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</si>
  <si>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t>Pricing_34</t>
  </si>
  <si>
    <r>
      <t xml:space="preserve">Validate the functionality of </t>
    </r>
    <r>
      <rPr>
        <b/>
        <sz val="11"/>
        <color theme="1"/>
        <rFont val="Calibri"/>
        <family val="2"/>
        <scheme val="minor"/>
      </rPr>
      <t>'Cost 40 HC'</t>
    </r>
    <r>
      <rPr>
        <sz val="11"/>
        <color theme="1"/>
        <rFont val="Calibri"/>
        <family val="2"/>
        <scheme val="minor"/>
      </rPr>
      <t xml:space="preserve"> textbox in Pricing Tab on Pricing Page.</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</si>
  <si>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Enter valid &amp; Invalid value in </t>
    </r>
    <r>
      <rPr>
        <b/>
        <sz val="11"/>
        <color theme="1"/>
        <rFont val="Calibri"/>
        <family val="2"/>
        <scheme val="minor"/>
      </rPr>
      <t>Cost 40 HC</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</si>
  <si>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Cost 40 HC
</t>
    </r>
    <r>
      <rPr>
        <b/>
        <sz val="11"/>
        <color theme="1"/>
        <rFont val="Calibri"/>
        <family val="2"/>
        <scheme val="minor"/>
      </rPr>
      <t>Valid Data</t>
    </r>
    <r>
      <rPr>
        <sz val="11"/>
        <color theme="1"/>
        <rFont val="Calibri"/>
        <family val="2"/>
        <scheme val="minor"/>
      </rPr>
      <t xml:space="preserve"> - Numeric and Decimal Value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</si>
  <si>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Cost 40 HC</t>
    </r>
    <r>
      <rPr>
        <sz val="11"/>
        <color theme="1"/>
        <rFont val="Calibri"/>
        <family val="2"/>
        <scheme val="minor"/>
      </rPr>
      <t xml:space="preserve"> textbox should accept only numeric values.
2. </t>
    </r>
    <r>
      <rPr>
        <b/>
        <sz val="11"/>
        <color theme="1"/>
        <rFont val="Calibri"/>
        <family val="2"/>
        <scheme val="minor"/>
      </rPr>
      <t xml:space="preserve">Cost 40 HC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Cost 40 HC</t>
    </r>
    <r>
      <rPr>
        <sz val="11"/>
        <color theme="1"/>
        <rFont val="Calibri"/>
        <family val="2"/>
        <scheme val="minor"/>
      </rPr>
      <t xml:space="preserve"> textbox character limit should be maximum 5 characters.
5. If a decimal point is entered without any value after it, the decimal should be automatically cleared.</t>
    </r>
  </si>
  <si>
    <r>
      <t xml:space="preserve">1. </t>
    </r>
    <r>
      <rPr>
        <b/>
        <sz val="11"/>
        <color rgb="FF9C6500"/>
        <rFont val="Calibri"/>
        <family val="2"/>
        <scheme val="minor"/>
      </rPr>
      <t>Cost 40 HC</t>
    </r>
    <r>
      <rPr>
        <sz val="11"/>
        <color rgb="FF9C6500"/>
        <rFont val="Calibri"/>
        <family val="2"/>
        <scheme val="minor"/>
      </rPr>
      <t xml:space="preserve"> textbox accepts only numeric values and decimal (.).
2. Invalid inputs such as spaces, alphabets, and special characters are restricted.
3. Textbox character limit is not correctly implemented:
 -&gt; Without decimal: accepts 5-digit numeric values 
 -&gt; With decimal: accepts 8 characters (e.g., 12345.12)
4. If a decimal point is entered without any value after it (e.g., 123.), the decimal is not cleared automatically. </t>
    </r>
  </si>
  <si>
    <r>
      <t xml:space="preserve">Textbox - </t>
    </r>
    <r>
      <rPr>
        <b/>
        <sz val="11"/>
        <color theme="1"/>
        <rFont val="Calibri"/>
        <family val="2"/>
        <scheme val="minor"/>
      </rPr>
      <t>From Date
Manual Inputs:</t>
    </r>
    <r>
      <rPr>
        <sz val="11"/>
        <color theme="1"/>
        <rFont val="Calibri"/>
        <family val="2"/>
        <scheme val="minor"/>
      </rPr>
      <t xml:space="preserve">
 -&gt; 23/41234623841263472386
 -&gt; 67/8678678
</t>
    </r>
    <r>
      <rPr>
        <b/>
        <sz val="11"/>
        <color theme="1"/>
        <rFont val="Calibri"/>
        <family val="2"/>
        <scheme val="minor"/>
      </rPr>
      <t>Autosuggest Value:</t>
    </r>
    <r>
      <rPr>
        <sz val="11"/>
        <color theme="1"/>
        <rFont val="Calibri"/>
        <family val="2"/>
        <scheme val="minor"/>
      </rPr>
      <t xml:space="preserve">
 -&gt; 15/12/2025
</t>
    </r>
  </si>
  <si>
    <r>
      <t xml:space="preserve">1. Manual input should not be allowed in the </t>
    </r>
    <r>
      <rPr>
        <b/>
        <sz val="11"/>
        <color theme="1"/>
        <rFont val="Calibri"/>
        <family val="2"/>
        <scheme val="minor"/>
      </rPr>
      <t>From Date</t>
    </r>
    <r>
      <rPr>
        <sz val="11"/>
        <color theme="1"/>
        <rFont val="Calibri"/>
        <family val="2"/>
        <scheme val="minor"/>
      </rPr>
      <t xml:space="preserve"> field.
2. User should be able to select the </t>
    </r>
    <r>
      <rPr>
        <b/>
        <sz val="11"/>
        <color theme="1"/>
        <rFont val="Calibri"/>
        <family val="2"/>
        <scheme val="minor"/>
      </rPr>
      <t>From 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From Date</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</si>
  <si>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From Date </t>
    </r>
    <r>
      <rPr>
        <sz val="11"/>
        <color theme="1"/>
        <rFont val="Calibri"/>
        <family val="2"/>
        <scheme val="minor"/>
      </rPr>
      <t xml:space="preserve">textbox accepts invalid date formats, such as:
 -&gt; 23/41234623841263472386
 -&gt; 67/8678678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From Date</t>
    </r>
    <r>
      <rPr>
        <sz val="11"/>
        <color theme="1"/>
        <rFont val="Calibri"/>
        <family val="2"/>
        <scheme val="minor"/>
      </rPr>
      <t xml:space="preserve"> textbox is accepting more than 10 character value.</t>
    </r>
  </si>
  <si>
    <r>
      <t xml:space="preserve">Textbox - </t>
    </r>
    <r>
      <rPr>
        <b/>
        <sz val="11"/>
        <color theme="1"/>
        <rFont val="Calibri"/>
        <family val="2"/>
        <scheme val="minor"/>
      </rPr>
      <t>To Date
Manual Inputs:</t>
    </r>
    <r>
      <rPr>
        <sz val="11"/>
        <color theme="1"/>
        <rFont val="Calibri"/>
        <family val="2"/>
        <scheme val="minor"/>
      </rPr>
      <t xml:space="preserve">
 -&gt; 23/41234623841263472386
 -&gt; 67/8678678
</t>
    </r>
    <r>
      <rPr>
        <b/>
        <sz val="11"/>
        <color theme="1"/>
        <rFont val="Calibri"/>
        <family val="2"/>
        <scheme val="minor"/>
      </rPr>
      <t>Autosuggest Value:</t>
    </r>
    <r>
      <rPr>
        <sz val="11"/>
        <color theme="1"/>
        <rFont val="Calibri"/>
        <family val="2"/>
        <scheme val="minor"/>
      </rPr>
      <t xml:space="preserve">
 -&gt; 15/12/2025
</t>
    </r>
  </si>
  <si>
    <r>
      <t xml:space="preserve">1. Manual input should not be allowed in the </t>
    </r>
    <r>
      <rPr>
        <b/>
        <sz val="11"/>
        <color theme="1"/>
        <rFont val="Calibri"/>
        <family val="2"/>
        <scheme val="minor"/>
      </rPr>
      <t>To Date</t>
    </r>
    <r>
      <rPr>
        <sz val="11"/>
        <color theme="1"/>
        <rFont val="Calibri"/>
        <family val="2"/>
        <scheme val="minor"/>
      </rPr>
      <t xml:space="preserve"> field.
2. User should be able to select the </t>
    </r>
    <r>
      <rPr>
        <b/>
        <sz val="11"/>
        <color theme="1"/>
        <rFont val="Calibri"/>
        <family val="2"/>
        <scheme val="minor"/>
      </rPr>
      <t>To 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To Date</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</si>
  <si>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To Date </t>
    </r>
    <r>
      <rPr>
        <sz val="11"/>
        <color theme="1"/>
        <rFont val="Calibri"/>
        <family val="2"/>
        <scheme val="minor"/>
      </rPr>
      <t xml:space="preserve">textbox accepts invalid date formats, such as:
 -&gt; 23/41234623841263472386
 -&gt; 67/8678678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To Date</t>
    </r>
    <r>
      <rPr>
        <sz val="11"/>
        <color theme="1"/>
        <rFont val="Calibri"/>
        <family val="2"/>
        <scheme val="minor"/>
      </rPr>
      <t xml:space="preserve"> textbox is accepting more than 10 character value.</t>
    </r>
  </si>
  <si>
    <t>Pricing_35</t>
  </si>
  <si>
    <r>
      <t>Validate the functionality of ‘</t>
    </r>
    <r>
      <rPr>
        <b/>
        <sz val="11"/>
        <color theme="1"/>
        <rFont val="Calibri"/>
        <family val="2"/>
        <scheme val="minor"/>
      </rPr>
      <t>Effective Date</t>
    </r>
    <r>
      <rPr>
        <sz val="11"/>
        <color theme="1"/>
        <rFont val="Calibri"/>
        <family val="2"/>
        <scheme val="minor"/>
      </rPr>
      <t>’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</si>
  <si>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Effective Date</t>
    </r>
    <r>
      <rPr>
        <sz val="11"/>
        <color theme="1"/>
        <rFont val="Calibri"/>
        <family val="2"/>
        <scheme val="minor"/>
      </rPr>
      <t xml:space="preserve"> from the calendar autosuggest and observe the system behavior.</t>
    </r>
  </si>
  <si>
    <r>
      <t>Textbox - Effective Date</t>
    </r>
    <r>
      <rPr>
        <b/>
        <sz val="11"/>
        <color theme="1"/>
        <rFont val="Calibri"/>
        <family val="2"/>
        <scheme val="minor"/>
      </rPr>
      <t xml:space="preserve">
Manual Inputs:</t>
    </r>
    <r>
      <rPr>
        <sz val="11"/>
        <color theme="1"/>
        <rFont val="Calibri"/>
        <family val="2"/>
        <scheme val="minor"/>
      </rPr>
      <t xml:space="preserve">
 -&gt; 23/41234623841263472386
 -&gt; 67/8678678
</t>
    </r>
    <r>
      <rPr>
        <b/>
        <sz val="11"/>
        <color theme="1"/>
        <rFont val="Calibri"/>
        <family val="2"/>
        <scheme val="minor"/>
      </rPr>
      <t>Autosuggest Value:</t>
    </r>
    <r>
      <rPr>
        <sz val="11"/>
        <color theme="1"/>
        <rFont val="Calibri"/>
        <family val="2"/>
        <scheme val="minor"/>
      </rPr>
      <t xml:space="preserve">
 -&gt; 15/12/2025
</t>
    </r>
  </si>
  <si>
    <r>
      <t xml:space="preserve">1. Manual input should not be allowed in the </t>
    </r>
    <r>
      <rPr>
        <b/>
        <sz val="11"/>
        <color theme="1"/>
        <rFont val="Calibri"/>
        <family val="2"/>
        <scheme val="minor"/>
      </rPr>
      <t>Effective</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field.
2. User should be able to select the </t>
    </r>
    <r>
      <rPr>
        <b/>
        <sz val="11"/>
        <color theme="1"/>
        <rFont val="Calibri"/>
        <family val="2"/>
        <scheme val="minor"/>
      </rPr>
      <t>Effective</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Effective Date</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</si>
  <si>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Effective Date </t>
    </r>
    <r>
      <rPr>
        <sz val="11"/>
        <color theme="1"/>
        <rFont val="Calibri"/>
        <family val="2"/>
        <scheme val="minor"/>
      </rPr>
      <t xml:space="preserve">textbox accepts invalid date formats, such as:
 </t>
    </r>
    <r>
      <rPr>
        <b/>
        <sz val="11"/>
        <color theme="1"/>
        <rFont val="Calibri"/>
        <family val="2"/>
        <scheme val="minor"/>
      </rPr>
      <t>-&gt; 23/41234623841263472386
 -&gt; 67/8678678</t>
    </r>
    <r>
      <rPr>
        <sz val="11"/>
        <color theme="1"/>
        <rFont val="Calibri"/>
        <family val="2"/>
        <scheme val="minor"/>
      </rPr>
      <t xml:space="preserve">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Effective Date</t>
    </r>
    <r>
      <rPr>
        <sz val="11"/>
        <color theme="1"/>
        <rFont val="Calibri"/>
        <family val="2"/>
        <scheme val="minor"/>
      </rPr>
      <t xml:space="preserve"> textbox is accepting more than 10 character value.</t>
    </r>
  </si>
  <si>
    <t>Pricing_36</t>
  </si>
  <si>
    <r>
      <t>Validate the functionality of ‘</t>
    </r>
    <r>
      <rPr>
        <b/>
        <sz val="11"/>
        <color theme="1"/>
        <rFont val="Calibri"/>
        <family val="2"/>
        <scheme val="minor"/>
      </rPr>
      <t>Select File</t>
    </r>
    <r>
      <rPr>
        <sz val="11"/>
        <color theme="1"/>
        <rFont val="Calibri"/>
        <family val="2"/>
        <scheme val="minor"/>
      </rPr>
      <t>’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</si>
  <si>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</si>
  <si>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Upload a valid </t>
    </r>
    <r>
      <rPr>
        <b/>
        <sz val="11"/>
        <color theme="1"/>
        <rFont val="Calibri"/>
        <family val="2"/>
        <scheme val="minor"/>
      </rPr>
      <t xml:space="preserve">Excel file </t>
    </r>
    <r>
      <rPr>
        <sz val="11"/>
        <color theme="1"/>
        <rFont val="Calibri"/>
        <family val="2"/>
        <scheme val="minor"/>
      </rPr>
      <t xml:space="preserve">within allowed file size limits.
5. Attempt to upload </t>
    </r>
    <r>
      <rPr>
        <b/>
        <sz val="11"/>
        <color theme="1"/>
        <rFont val="Calibri"/>
        <family val="2"/>
        <scheme val="minor"/>
      </rPr>
      <t>PDF, JPG</t>
    </r>
    <r>
      <rPr>
        <sz val="11"/>
        <color theme="1"/>
        <rFont val="Calibri"/>
        <family val="2"/>
        <scheme val="minor"/>
      </rPr>
      <t xml:space="preserve"> file format.
6. Attempt to upload files below minimum and above maximum file size limits.
7. Try uploading a file by clicking beside the chosen file dialog box.</t>
    </r>
  </si>
  <si>
    <r>
      <t xml:space="preserve">Textbox - </t>
    </r>
    <r>
      <rPr>
        <b/>
        <sz val="11"/>
        <color theme="1"/>
        <rFont val="Calibri"/>
        <family val="2"/>
        <scheme val="minor"/>
      </rPr>
      <t xml:space="preserve">Select File
Valid File Format: </t>
    </r>
    <r>
      <rPr>
        <sz val="11"/>
        <color theme="1"/>
        <rFont val="Calibri"/>
        <family val="2"/>
        <scheme val="minor"/>
      </rPr>
      <t>Excel (.xls / .xlsx)</t>
    </r>
    <r>
      <rPr>
        <b/>
        <sz val="11"/>
        <color theme="1"/>
        <rFont val="Calibri"/>
        <family val="2"/>
        <scheme val="minor"/>
      </rPr>
      <t xml:space="preserve">
Invalid File Formats: </t>
    </r>
    <r>
      <rPr>
        <sz val="11"/>
        <color theme="1"/>
        <rFont val="Calibri"/>
        <family val="2"/>
        <scheme val="minor"/>
      </rPr>
      <t>PDF, JPG</t>
    </r>
    <r>
      <rPr>
        <b/>
        <sz val="11"/>
        <color theme="1"/>
        <rFont val="Calibri"/>
        <family val="2"/>
        <scheme val="minor"/>
      </rPr>
      <t xml:space="preserve">
</t>
    </r>
    <r>
      <rPr>
        <sz val="11"/>
        <color theme="1"/>
        <rFont val="Calibri"/>
        <family val="2"/>
        <scheme val="minor"/>
      </rPr>
      <t xml:space="preserve">
</t>
    </r>
  </si>
  <si>
    <r>
      <t xml:space="preserve">1 . User should be able to upload only Excel files. (Without attached any file click on Upload button, </t>
    </r>
    <r>
      <rPr>
        <b/>
        <sz val="11"/>
        <color theme="1"/>
        <rFont val="Calibri"/>
        <family val="2"/>
        <scheme val="minor"/>
      </rPr>
      <t>Please upload a valid Excel file. Validation is coming, based on that Excel File should only be acceptable)</t>
    </r>
    <r>
      <rPr>
        <sz val="11"/>
        <color theme="1"/>
        <rFont val="Calibri"/>
        <family val="2"/>
        <scheme val="minor"/>
      </rPr>
      <t xml:space="preserve">
2. File selection should be allowed only through the </t>
    </r>
    <r>
      <rPr>
        <b/>
        <sz val="11"/>
        <color theme="1"/>
        <rFont val="Calibri"/>
        <family val="2"/>
        <scheme val="minor"/>
      </rPr>
      <t>Choose File</t>
    </r>
    <r>
      <rPr>
        <sz val="11"/>
        <color theme="1"/>
        <rFont val="Calibri"/>
        <family val="2"/>
        <scheme val="minor"/>
      </rPr>
      <t xml:space="preserve"> dialog box.
3. Files with invalid formats (</t>
    </r>
    <r>
      <rPr>
        <b/>
        <sz val="11"/>
        <color theme="1"/>
        <rFont val="Calibri"/>
        <family val="2"/>
        <scheme val="minor"/>
      </rPr>
      <t>PDF, JPG, etc.</t>
    </r>
    <r>
      <rPr>
        <sz val="11"/>
        <color theme="1"/>
        <rFont val="Calibri"/>
        <family val="2"/>
        <scheme val="minor"/>
      </rPr>
      <t>) should be rejected.
4. Files exceeding maximum size or below minimum size limits should not be uploaded.</t>
    </r>
  </si>
  <si>
    <t>Pricing_37</t>
  </si>
  <si>
    <r>
      <t>Validate the functionality of ‘</t>
    </r>
    <r>
      <rPr>
        <b/>
        <sz val="11"/>
        <color theme="1"/>
        <rFont val="Calibri"/>
        <family val="2"/>
        <scheme val="minor"/>
      </rPr>
      <t>Upload</t>
    </r>
    <r>
      <rPr>
        <sz val="11"/>
        <color theme="1"/>
        <rFont val="Calibri"/>
        <family val="2"/>
        <scheme val="minor"/>
      </rPr>
      <t>’ button in Pricing Tab on Pricing Page.</t>
    </r>
  </si>
  <si>
    <t>Pricing_38</t>
  </si>
  <si>
    <r>
      <t>Validate the functionality of ‘</t>
    </r>
    <r>
      <rPr>
        <b/>
        <sz val="11"/>
        <color theme="1"/>
        <rFont val="Calibri"/>
        <family val="2"/>
        <scheme val="minor"/>
      </rPr>
      <t>Download Sample</t>
    </r>
    <r>
      <rPr>
        <sz val="11"/>
        <color theme="1"/>
        <rFont val="Calibri"/>
        <family val="2"/>
        <scheme val="minor"/>
      </rPr>
      <t>’ button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</si>
  <si>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Click on the Download Sample button.</t>
    </r>
  </si>
  <si>
    <t xml:space="preserve">1. Clicking on Download Sample should download a sample Excel file.
2. Column headings in the sample file should be in the correct and readable format.
3. User should be able to download the sample file multiple times.
4. </t>
  </si>
  <si>
    <r>
      <t xml:space="preserve">1. Sample file is downloaded successfully.
2. User is able to download the sample file multiple times.
3. Column heading format is not correctly implemented in the sample file. </t>
    </r>
    <r>
      <rPr>
        <b/>
        <sz val="11"/>
        <color theme="1"/>
        <rFont val="Calibri"/>
        <family val="2"/>
        <scheme val="minor"/>
      </rPr>
      <t>Examples:
 -&gt; MACCOUNTRYCODE instead of MAC_COUNTRY_CODE
 -&gt; TO_DATR instead of TO_DATE</t>
    </r>
    <r>
      <rPr>
        <sz val="11"/>
        <color theme="1"/>
        <rFont val="Calibri"/>
        <family val="2"/>
        <scheme val="minor"/>
      </rPr>
      <t xml:space="preserve">
</t>
    </r>
  </si>
  <si>
    <t>Pricing_39</t>
  </si>
  <si>
    <r>
      <t xml:space="preserve">Mandatory Field Data:
</t>
    </r>
    <r>
      <rPr>
        <sz val="11"/>
        <color theme="1"/>
        <rFont val="Calibri"/>
        <family val="2"/>
        <scheme val="minor"/>
      </rPr>
      <t xml:space="preserve">Origin Country - India
Origin Port - THARI:INRJ4
Dstn. Country - Sri Lanka
Dstn. Port - MATALE:LKMLE
Charge Name - Lifting Shifting
Unit - FEET
Currency - Indian National Rupee
From Date - 01/12/2025
To Date - 20/12/2025
Effective Date - 05/12/2025
</t>
    </r>
    <r>
      <rPr>
        <b/>
        <sz val="11"/>
        <color theme="1"/>
        <rFont val="Calibri"/>
        <family val="2"/>
        <scheme val="minor"/>
      </rPr>
      <t xml:space="preserve">
</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</si>
  <si>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only the mandatory fields with valid data.
5. Click on the Add button.
6. Observe the grid entry and related behaviors.</t>
    </r>
  </si>
  <si>
    <r>
      <t xml:space="preserve">1. After filling all mandatory fields, clicking </t>
    </r>
    <r>
      <rPr>
        <b/>
        <sz val="11"/>
        <color theme="1"/>
        <rFont val="Calibri"/>
        <family val="2"/>
        <scheme val="minor"/>
      </rPr>
      <t>Add</t>
    </r>
    <r>
      <rPr>
        <sz val="11"/>
        <color theme="1"/>
        <rFont val="Calibri"/>
        <family val="2"/>
        <scheme val="minor"/>
      </rPr>
      <t xml:space="preserve"> should add a record to the grid.
2. In the grid, only fields with entered values should display data, non-filled fields should remain blank.
3. On selecting the added grid record, data should populate only the corresponding textboxes, other non-filled fields should remain blank.
4. On clicking Delete for the added record, a confirmation popup should appear: </t>
    </r>
    <r>
      <rPr>
        <b/>
        <sz val="11"/>
        <color theme="1"/>
        <rFont val="Calibri"/>
        <family val="2"/>
        <scheme val="minor"/>
      </rPr>
      <t>“Are you sure! Do you want to delete this charge?”</t>
    </r>
    <r>
      <rPr>
        <sz val="11"/>
        <color theme="1"/>
        <rFont val="Calibri"/>
        <family val="2"/>
        <scheme val="minor"/>
      </rPr>
      <t xml:space="preserve">
 -&gt; </t>
    </r>
    <r>
      <rPr>
        <b/>
        <sz val="11"/>
        <color theme="1"/>
        <rFont val="Calibri"/>
        <family val="2"/>
        <scheme val="minor"/>
      </rPr>
      <t>Yes</t>
    </r>
    <r>
      <rPr>
        <sz val="11"/>
        <color theme="1"/>
        <rFont val="Calibri"/>
        <family val="2"/>
        <scheme val="minor"/>
      </rPr>
      <t xml:space="preserve">: Record should be deleted
 -&gt; </t>
    </r>
    <r>
      <rPr>
        <b/>
        <sz val="11"/>
        <color theme="1"/>
        <rFont val="Calibri"/>
        <family val="2"/>
        <scheme val="minor"/>
      </rPr>
      <t>No</t>
    </r>
    <r>
      <rPr>
        <sz val="11"/>
        <color theme="1"/>
        <rFont val="Calibri"/>
        <family val="2"/>
        <scheme val="minor"/>
      </rPr>
      <t>: Record should not be deleted
5. After adding a record, all textboxes in the Charges tab should be cleared for new entry except:
 -&gt; Origin Country
 -&gt; Origin Port
 -&gt; Dstn. Country
 -&gt; Dstn. Port</t>
    </r>
  </si>
  <si>
    <r>
      <t xml:space="preserve">1. After filling all mandatory fields, clicking Add successfully saves the record in the grid.
</t>
    </r>
    <r>
      <rPr>
        <b/>
        <sz val="11"/>
        <color theme="1"/>
        <rFont val="Calibri"/>
        <family val="2"/>
        <scheme val="minor"/>
      </rPr>
      <t>2. Value 0 is displayed in grid fields where no data was entered instead of leaving them blank.</t>
    </r>
    <r>
      <rPr>
        <sz val="11"/>
        <color theme="1"/>
        <rFont val="Calibri"/>
        <family val="2"/>
        <scheme val="minor"/>
      </rPr>
      <t xml:space="preserve">
3. Selecting a grid record correctly reflects data in the corresponding textboxes.
4. Delete action shows a confirmation popup and works as expected.
5. Charges tab textboxes are cleared correctly after adding a record, and </t>
    </r>
    <r>
      <rPr>
        <b/>
        <sz val="11"/>
        <color theme="1"/>
        <rFont val="Calibri"/>
        <family val="2"/>
        <scheme val="minor"/>
      </rPr>
      <t xml:space="preserve">Origin Country/Origin Port/Dstn. Country/Dstn. Port </t>
    </r>
    <r>
      <rPr>
        <sz val="11"/>
        <color theme="1"/>
        <rFont val="Calibri"/>
        <family val="2"/>
        <scheme val="minor"/>
      </rPr>
      <t xml:space="preserve">fields remain populated.
</t>
    </r>
  </si>
  <si>
    <t>Pricing_40</t>
  </si>
  <si>
    <r>
      <t>Validate the functionality of ‘</t>
    </r>
    <r>
      <rPr>
        <b/>
        <sz val="11"/>
        <color theme="1"/>
        <rFont val="Calibri"/>
        <family val="2"/>
        <scheme val="minor"/>
      </rPr>
      <t>Add</t>
    </r>
    <r>
      <rPr>
        <sz val="11"/>
        <color theme="1"/>
        <rFont val="Calibri"/>
        <family val="2"/>
        <scheme val="minor"/>
      </rPr>
      <t>’ button when only mandatory fields are filled in the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</si>
  <si>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all fields (mandatory and non-mandatory) with valid data.
5. Click on the Add button.
6. Observe the grid entry and related behaviors.</t>
    </r>
  </si>
  <si>
    <r>
      <t xml:space="preserve">Input: </t>
    </r>
    <r>
      <rPr>
        <sz val="11"/>
        <color theme="1"/>
        <rFont val="Calibri"/>
        <family val="2"/>
        <scheme val="minor"/>
      </rPr>
      <t xml:space="preserve">Valid data for all fields (mandatory and non-mandatory)
</t>
    </r>
    <r>
      <rPr>
        <b/>
        <sz val="11"/>
        <color theme="1"/>
        <rFont val="Calibri"/>
        <family val="2"/>
        <scheme val="minor"/>
      </rPr>
      <t xml:space="preserve">
</t>
    </r>
  </si>
  <si>
    <t>Pricing_41</t>
  </si>
  <si>
    <r>
      <t>Validate the functionality of ‘</t>
    </r>
    <r>
      <rPr>
        <b/>
        <sz val="11"/>
        <color theme="1"/>
        <rFont val="Calibri"/>
        <family val="2"/>
        <scheme val="minor"/>
      </rPr>
      <t>Add</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xml:space="preserve"> are filled in the Pricing Tab on Pricing Page.</t>
    </r>
  </si>
  <si>
    <r>
      <t>Validate the functionality of ‘</t>
    </r>
    <r>
      <rPr>
        <b/>
        <sz val="11"/>
        <color theme="1"/>
        <rFont val="Calibri"/>
        <family val="2"/>
        <scheme val="minor"/>
      </rPr>
      <t>Add</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xml:space="preserve"> areleft blank in the Pricing Tab on Pricing Page.</t>
    </r>
  </si>
  <si>
    <r>
      <t xml:space="preserve">1. After filling all fields, clicking Add should add a record to the grid.
2. In the grid, values should be displayed under the correct column headers for all filled fields.
3. On selecting the added grid record, data should populate the corresponding textboxes correctly.
4. On clicking Delete for the added record, a confirmation popup should appear: </t>
    </r>
    <r>
      <rPr>
        <b/>
        <sz val="11"/>
        <color theme="1"/>
        <rFont val="Calibri"/>
        <family val="2"/>
        <scheme val="minor"/>
      </rPr>
      <t>“Are you sure! Do you want to delete this charge?”</t>
    </r>
    <r>
      <rPr>
        <sz val="11"/>
        <color theme="1"/>
        <rFont val="Calibri"/>
        <family val="2"/>
        <scheme val="minor"/>
      </rPr>
      <t xml:space="preserve">
</t>
    </r>
    <r>
      <rPr>
        <b/>
        <sz val="11"/>
        <color theme="1"/>
        <rFont val="Calibri"/>
        <family val="2"/>
        <scheme val="minor"/>
      </rPr>
      <t xml:space="preserve"> -&gt; Yes: Record should be deleted
 -&gt; No: Record should not be deleted</t>
    </r>
    <r>
      <rPr>
        <sz val="11"/>
        <color theme="1"/>
        <rFont val="Calibri"/>
        <family val="2"/>
        <scheme val="minor"/>
      </rPr>
      <t xml:space="preserve">
5. After adding a record, all textboxes in the Charges tab should be cleared for new entry except:
 -&gt; Origin Country
 -&gt; Origin Port
 -&gt; Dstn. Country
 -&gt; Dstn. Port
 -&gt; Tranship. Port
 -&gt; Who Routed
 -&gt; Segment</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</si>
  <si>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Left All fields (Mandatory &amp; Non-Mandatory) blank and click on Add button and click on Add button.
5. Observe the grid entry and Mandatory field validation.</t>
    </r>
  </si>
  <si>
    <t>1. Clicking Add without filling any fields should not save a record in the grid.
2. Mandatory field validation messages should be displayed clearly against the correct textboxes and in the proper sequence.
3. A record should be saved only after all mandatory fields are filled with valid data.</t>
  </si>
  <si>
    <t xml:space="preserve">1. Without filling mandatory fields, the record is not saved in the grid.
2. Mandatory field validation messages are displayed properly with correct textbox labels and sequence.
3. Once all mandatory fields are filled, the record is saved successfully in the grid.
</t>
  </si>
  <si>
    <t>Pricing_42</t>
  </si>
  <si>
    <r>
      <t>Validate the functionality of adding multiple charges using the</t>
    </r>
    <r>
      <rPr>
        <b/>
        <sz val="11"/>
        <color theme="1"/>
        <rFont val="Calibri"/>
        <family val="2"/>
        <scheme val="minor"/>
      </rPr>
      <t xml:space="preserve"> ‘Add’</t>
    </r>
    <r>
      <rPr>
        <sz val="11"/>
        <color theme="1"/>
        <rFont val="Calibri"/>
        <family val="2"/>
        <scheme val="minor"/>
      </rPr>
      <t xml:space="preserve"> button when all fields </t>
    </r>
    <r>
      <rPr>
        <b/>
        <sz val="11"/>
        <color theme="1"/>
        <rFont val="Calibri"/>
        <family val="2"/>
        <scheme val="minor"/>
      </rPr>
      <t>(mandatory &amp; non-mandatory)</t>
    </r>
    <r>
      <rPr>
        <sz val="11"/>
        <color theme="1"/>
        <rFont val="Calibri"/>
        <family val="2"/>
        <scheme val="minor"/>
      </rPr>
      <t xml:space="preserve"> are filled in the Pricing Tab on </t>
    </r>
    <r>
      <rPr>
        <b/>
        <sz val="11"/>
        <color theme="1"/>
        <rFont val="Calibri"/>
        <family val="2"/>
        <scheme val="minor"/>
      </rPr>
      <t>Pricing</t>
    </r>
    <r>
      <rPr>
        <sz val="11"/>
        <color theme="1"/>
        <rFont val="Calibri"/>
        <family val="2"/>
        <scheme val="minor"/>
      </rPr>
      <t xml:space="preserve">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</si>
  <si>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all mandatory and non-mandatory fields with valid data for </t>
    </r>
    <r>
      <rPr>
        <b/>
        <sz val="11"/>
        <color theme="1"/>
        <rFont val="Calibri"/>
        <family val="2"/>
        <scheme val="minor"/>
      </rPr>
      <t xml:space="preserve">Charge 1 </t>
    </r>
    <r>
      <rPr>
        <sz val="11"/>
        <color theme="1"/>
        <rFont val="Calibri"/>
        <family val="2"/>
        <scheme val="minor"/>
      </rPr>
      <t>and</t>
    </r>
    <r>
      <rPr>
        <b/>
        <sz val="11"/>
        <color theme="1"/>
        <rFont val="Calibri"/>
        <family val="2"/>
        <scheme val="minor"/>
      </rPr>
      <t xml:space="preserve"> </t>
    </r>
    <r>
      <rPr>
        <sz val="11"/>
        <color theme="1"/>
        <rFont val="Calibri"/>
        <family val="2"/>
        <scheme val="minor"/>
      </rPr>
      <t xml:space="preserve">click on Add button.
5. Verify that </t>
    </r>
    <r>
      <rPr>
        <b/>
        <sz val="11"/>
        <color theme="1"/>
        <rFont val="Calibri"/>
        <family val="2"/>
        <scheme val="minor"/>
      </rPr>
      <t>Charge 1</t>
    </r>
    <r>
      <rPr>
        <sz val="11"/>
        <color theme="1"/>
        <rFont val="Calibri"/>
        <family val="2"/>
        <scheme val="minor"/>
      </rPr>
      <t xml:space="preserve"> is added to the grid.
6. Fill all fields again with different valid data for Charge 2 and click on the Add button.
7. Verify that Charge 2 is added to the grid.
8. Repeat the steps to add multiple charges and observe system behavior.</t>
    </r>
  </si>
  <si>
    <r>
      <rPr>
        <b/>
        <sz val="11"/>
        <color theme="1"/>
        <rFont val="Calibri"/>
        <family val="2"/>
        <scheme val="minor"/>
      </rPr>
      <t>Input:</t>
    </r>
    <r>
      <rPr>
        <sz val="11"/>
        <color theme="1"/>
        <rFont val="Calibri"/>
        <family val="2"/>
        <scheme val="minor"/>
      </rPr>
      <t xml:space="preserve"> Valid data for all mandatory and non-mandatory fields
</t>
    </r>
    <r>
      <rPr>
        <b/>
        <sz val="11"/>
        <color theme="1"/>
        <rFont val="Calibri"/>
        <family val="2"/>
        <scheme val="minor"/>
      </rPr>
      <t xml:space="preserve">Variation: </t>
    </r>
    <r>
      <rPr>
        <sz val="11"/>
        <color theme="1"/>
        <rFont val="Calibri"/>
        <family val="2"/>
        <scheme val="minor"/>
      </rPr>
      <t>Different charge names / values for each record</t>
    </r>
  </si>
  <si>
    <t>Pricing_43</t>
  </si>
  <si>
    <t>1. Each click on Add should save a new charge record in the grid.
2. Multiple charge records should be displayed in the grid without overwriting existing records.
3. Each grid row should display values under the correct column headers.
4. Selecting any grid record should populate all corresponding textboxes with that record’s data.
5. Charges tab should reset correctly after each add, allowing entry of the next charge.</t>
  </si>
  <si>
    <r>
      <t xml:space="preserve">1. On each click of the Add button, charge records are saved in the grid successfully.
2. Multiple charge records are added without overwriting existing records.
3. On selecting a grid record, data populates correctly in the corresponding textboxes except for Type, TOS Term, and Cost BAF, which do not reflect.
4. Charges tab resets properly after adding a record for entering a new charge.
5. </t>
    </r>
    <r>
      <rPr>
        <b/>
        <sz val="11"/>
        <color theme="1"/>
        <rFont val="Calibri"/>
        <family val="2"/>
        <scheme val="minor"/>
      </rPr>
      <t>When Charge 1 is selected from the grid and then Charge 2 is selected, Charge 1 disappears from the grid and must be added again.</t>
    </r>
  </si>
  <si>
    <r>
      <t xml:space="preserve">1. Functionality is not working as expected.
2. Application allows uploading of </t>
    </r>
    <r>
      <rPr>
        <b/>
        <sz val="11"/>
        <color theme="1"/>
        <rFont val="Calibri"/>
        <family val="2"/>
        <scheme val="minor"/>
      </rPr>
      <t>Excel, PDF, and JPG file formats</t>
    </r>
    <r>
      <rPr>
        <sz val="11"/>
        <color theme="1"/>
        <rFont val="Calibri"/>
        <family val="2"/>
        <scheme val="minor"/>
      </rPr>
      <t xml:space="preserve">.
3. User can upload a file by </t>
    </r>
    <r>
      <rPr>
        <b/>
        <sz val="11"/>
        <color theme="1"/>
        <rFont val="Calibri"/>
        <family val="2"/>
        <scheme val="minor"/>
      </rPr>
      <t xml:space="preserve">clicking beside the Choose File dialog box.
4. </t>
    </r>
    <r>
      <rPr>
        <sz val="11"/>
        <color theme="1"/>
        <rFont val="Calibri"/>
        <family val="2"/>
        <scheme val="minor"/>
      </rPr>
      <t xml:space="preserve">After selecting a file, while clicking on upload button, it is showing a validation pop-up that From date is invalid format and this pop-up is not removing on clicking on OK button, it will close when i move to another window and back to that window again.
</t>
    </r>
  </si>
  <si>
    <r>
      <rPr>
        <b/>
        <sz val="11"/>
        <color theme="1"/>
        <rFont val="Calibri"/>
        <family val="2"/>
        <scheme val="minor"/>
      </rPr>
      <t>Input:</t>
    </r>
    <r>
      <rPr>
        <sz val="11"/>
        <color theme="1"/>
        <rFont val="Calibri"/>
        <family val="2"/>
        <scheme val="minor"/>
      </rPr>
      <t xml:space="preserve"> Valid data for all mandatory and non-mandatory fields. </t>
    </r>
  </si>
  <si>
    <r>
      <t xml:space="preserve">Validate </t>
    </r>
    <r>
      <rPr>
        <b/>
        <sz val="11"/>
        <color theme="1"/>
        <rFont val="Calibri"/>
        <family val="2"/>
        <scheme val="minor"/>
      </rPr>
      <t>Save</t>
    </r>
    <r>
      <rPr>
        <sz val="11"/>
        <color theme="1"/>
        <rFont val="Calibri"/>
        <family val="2"/>
        <scheme val="minor"/>
      </rPr>
      <t xml:space="preserve"> button functionality when all fields are filled in the Pricing tab but no file is attached in the Select File field in the Pricing Tab on Pricing Page.</t>
    </r>
  </si>
  <si>
    <t xml:space="preserve">1. Clicking Add should add one record to the grid.
2. All entered values (including TOS Term) should appear under the correct column headers.
3. On selecting the grid record, data should populate the corresponding textboxes correctly.
4. Clicking Save should save the record successfully.
</t>
  </si>
  <si>
    <t>1. Record is added to the grid after clicking Add, but:
 -&gt; TOS Term value is missing in the grid.
2. On clicking Save:
 -&gt; Record is not saved.
3. System throws an error message:
 -&gt; “Invalid column name: Effective Date”</t>
  </si>
  <si>
    <t>Pricing_44</t>
  </si>
  <si>
    <r>
      <rPr>
        <b/>
        <sz val="11"/>
        <color theme="1"/>
        <rFont val="Calibri"/>
        <family val="2"/>
        <scheme val="minor"/>
      </rPr>
      <t>Input:</t>
    </r>
    <r>
      <rPr>
        <sz val="11"/>
        <color theme="1"/>
        <rFont val="Calibri"/>
        <family val="2"/>
        <scheme val="minor"/>
      </rPr>
      <t xml:space="preserve"> Valid data for all mandatory fields and Non-Mandatory fields left blank. </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</si>
  <si>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only mandatory fields with valid data.
5. Leave all non-mandatory fields blank.
6. Click the Add button.
7. Click the Save button (without attaching any file).</t>
    </r>
  </si>
  <si>
    <t xml:space="preserve">1. Clicking Add should add one record to the grid.
2. Only entered values should appear in the grid, non-mandatory fields should remain blank.
3. On selecting the grid record, data should populate the corresponding textboxes correctly and readd same record in the Grid.
4. Clicking Save, should save the record successfully and a Success message should displayed.
</t>
  </si>
  <si>
    <t>1. Record is successfully added to the grid after clicking Add.
2. Non-mandatory fields display value “0” in the grid instead of remaining blank.
3. On clicking Save:
 -&gt; Record is not saved.
4. System displays error message:
 -&gt; “Invalid column name: Effective Date”</t>
  </si>
  <si>
    <t>Pricing_45</t>
  </si>
  <si>
    <r>
      <t xml:space="preserve">Validate </t>
    </r>
    <r>
      <rPr>
        <b/>
        <sz val="11"/>
        <color theme="1"/>
        <rFont val="Calibri"/>
        <family val="2"/>
        <scheme val="minor"/>
      </rPr>
      <t>Save</t>
    </r>
    <r>
      <rPr>
        <sz val="11"/>
        <color theme="1"/>
        <rFont val="Calibri"/>
        <family val="2"/>
        <scheme val="minor"/>
      </rPr>
      <t xml:space="preserve"> button functionality when only </t>
    </r>
    <r>
      <rPr>
        <b/>
        <sz val="11"/>
        <color theme="1"/>
        <rFont val="Calibri"/>
        <family val="2"/>
        <scheme val="minor"/>
      </rPr>
      <t>mandatory fields are filled</t>
    </r>
    <r>
      <rPr>
        <sz val="11"/>
        <color theme="1"/>
        <rFont val="Calibri"/>
        <family val="2"/>
        <scheme val="minor"/>
      </rPr>
      <t>, non-mandatory fields are left blank, and no file is attached in the Select File field on the Pricing Tab on Pricing Page.</t>
    </r>
  </si>
  <si>
    <r>
      <t xml:space="preserve">Validate </t>
    </r>
    <r>
      <rPr>
        <b/>
        <sz val="11"/>
        <color theme="1"/>
        <rFont val="Calibri"/>
        <family val="2"/>
        <scheme val="minor"/>
      </rPr>
      <t>Save button functionality</t>
    </r>
    <r>
      <rPr>
        <sz val="11"/>
        <color theme="1"/>
        <rFont val="Calibri"/>
        <family val="2"/>
        <scheme val="minor"/>
      </rPr>
      <t xml:space="preserve"> when </t>
    </r>
    <r>
      <rPr>
        <b/>
        <sz val="11"/>
        <color theme="1"/>
        <rFont val="Calibri"/>
        <family val="2"/>
        <scheme val="minor"/>
      </rPr>
      <t>all mandatory and non-mandatory fields are filled with valid data</t>
    </r>
    <r>
      <rPr>
        <sz val="11"/>
        <color theme="1"/>
        <rFont val="Calibri"/>
        <family val="2"/>
        <scheme val="minor"/>
      </rPr>
      <t xml:space="preserve"> and a </t>
    </r>
    <r>
      <rPr>
        <b/>
        <sz val="11"/>
        <color theme="1"/>
        <rFont val="Calibri"/>
        <family val="2"/>
        <scheme val="minor"/>
      </rPr>
      <t>valid file is attached</t>
    </r>
    <r>
      <rPr>
        <sz val="11"/>
        <color theme="1"/>
        <rFont val="Calibri"/>
        <family val="2"/>
        <scheme val="minor"/>
      </rPr>
      <t xml:space="preserve"> in the Select File field on the Pricing Tab on Pricing Page.</t>
    </r>
  </si>
  <si>
    <r>
      <rPr>
        <b/>
        <sz val="11"/>
        <color theme="1"/>
        <rFont val="Calibri"/>
        <family val="2"/>
        <scheme val="minor"/>
      </rPr>
      <t>Input:</t>
    </r>
    <r>
      <rPr>
        <sz val="11"/>
        <color theme="1"/>
        <rFont val="Calibri"/>
        <family val="2"/>
        <scheme val="minor"/>
      </rPr>
      <t xml:space="preserve"> Valid data for all mandatory and Non-mandatory fields and attached valid file.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</si>
  <si>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all mandatory and non-mandatory fields with valid data.
5. Attach a valid file using Select File and click Upload.
6. Click the Add button.
7. Verify the record added in the grid.
8. Click the Save button.</t>
    </r>
  </si>
  <si>
    <t>1. Clicking Upload should attach the file successfully without any validation error.
2. Clicking Add should add only one record to the grid.
3. All entered values should be displayed correctly under their respective grid columns.
4. Clicking Save should:
 -&gt; Save the record successfully.
 -&gt; Display a success confirmation message.</t>
  </si>
  <si>
    <r>
      <t xml:space="preserve">1. On clicking Upload: </t>
    </r>
    <r>
      <rPr>
        <b/>
        <sz val="11"/>
        <color theme="1"/>
        <rFont val="Calibri"/>
        <family val="2"/>
        <scheme val="minor"/>
      </rPr>
      <t>File is not uploaded.</t>
    </r>
    <r>
      <rPr>
        <sz val="11"/>
        <color theme="1"/>
        <rFont val="Calibri"/>
        <family val="2"/>
        <scheme val="minor"/>
      </rPr>
      <t xml:space="preserve">
 -&gt; Validation message displayed:
</t>
    </r>
    <r>
      <rPr>
        <b/>
        <i/>
        <sz val="11"/>
        <color theme="1"/>
        <rFont val="Calibri"/>
        <family val="2"/>
        <scheme val="minor"/>
      </rPr>
      <t xml:space="preserve"> -&gt; “MSP is not in correct format”
</t>
    </r>
    <r>
      <rPr>
        <sz val="11"/>
        <color theme="1"/>
        <rFont val="Calibri"/>
        <family val="2"/>
        <scheme val="minor"/>
      </rPr>
      <t xml:space="preserve">2. On clicking Add:
 -&gt; Three records are added to the grid instead of one.
 -&gt; Extra records cannot be deleted using the Delete option.
3. On clicking Save: </t>
    </r>
    <r>
      <rPr>
        <b/>
        <sz val="11"/>
        <color theme="1"/>
        <rFont val="Calibri"/>
        <family val="2"/>
        <scheme val="minor"/>
      </rPr>
      <t xml:space="preserve">Record is not saved.
 -&gt; </t>
    </r>
    <r>
      <rPr>
        <sz val="11"/>
        <color theme="1"/>
        <rFont val="Calibri"/>
        <family val="2"/>
        <scheme val="minor"/>
      </rPr>
      <t xml:space="preserve">Validation message displayed:
 -&gt; </t>
    </r>
    <r>
      <rPr>
        <b/>
        <i/>
        <sz val="11"/>
        <color theme="1"/>
        <rFont val="Calibri"/>
        <family val="2"/>
        <scheme val="minor"/>
      </rPr>
      <t>“MSP input string was not in correct format”</t>
    </r>
  </si>
  <si>
    <t>Pricing_46</t>
  </si>
  <si>
    <r>
      <t xml:space="preserve">Validate </t>
    </r>
    <r>
      <rPr>
        <b/>
        <sz val="11"/>
        <color theme="1"/>
        <rFont val="Calibri"/>
        <family val="2"/>
        <scheme val="minor"/>
      </rPr>
      <t>Save button functionality</t>
    </r>
    <r>
      <rPr>
        <sz val="11"/>
        <color theme="1"/>
        <rFont val="Calibri"/>
        <family val="2"/>
        <scheme val="minor"/>
      </rPr>
      <t xml:space="preserve"> when </t>
    </r>
    <r>
      <rPr>
        <b/>
        <sz val="11"/>
        <color theme="1"/>
        <rFont val="Calibri"/>
        <family val="2"/>
        <scheme val="minor"/>
      </rPr>
      <t>all fields (Mandatory &amp; Non-Mandatory)</t>
    </r>
    <r>
      <rPr>
        <sz val="11"/>
        <color theme="1"/>
        <rFont val="Calibri"/>
        <family val="2"/>
        <scheme val="minor"/>
      </rPr>
      <t xml:space="preserve"> left blank in the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</si>
  <si>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do not fill any fields.
5. Click the Save button directly.</t>
    </r>
  </si>
  <si>
    <t xml:space="preserve">1. Record should not be saved.
2. System should display validation messages for each mandatory field.
3. User should be allowed to save the record only after:
 -&gt; All mandatory fields are filled, and
 -&gt; Record is successfully added to the grid using Add button.
</t>
  </si>
  <si>
    <t>Pricing_47</t>
  </si>
  <si>
    <r>
      <t xml:space="preserve">Validate the </t>
    </r>
    <r>
      <rPr>
        <b/>
        <sz val="11"/>
        <color theme="1"/>
        <rFont val="Calibri"/>
        <family val="2"/>
        <scheme val="minor"/>
      </rPr>
      <t>Clear</t>
    </r>
    <r>
      <rPr>
        <sz val="11"/>
        <color theme="1"/>
        <rFont val="Calibri"/>
        <family val="2"/>
        <scheme val="minor"/>
      </rPr>
      <t xml:space="preserve"> button functionality (</t>
    </r>
    <r>
      <rPr>
        <b/>
        <sz val="11"/>
        <color theme="1"/>
        <rFont val="Calibri"/>
        <family val="2"/>
        <scheme val="minor"/>
      </rPr>
      <t>located beside the Save button</t>
    </r>
    <r>
      <rPr>
        <sz val="11"/>
        <color theme="1"/>
        <rFont val="Calibri"/>
        <family val="2"/>
        <scheme val="minor"/>
      </rPr>
      <t>) in the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</si>
  <si>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fill all fields (mandatory and non-mandatory) with valid or random data.
5. Click the Clear button.</t>
    </r>
  </si>
  <si>
    <r>
      <t xml:space="preserve">1. On clicking Clear, system should display a confirmation popup:
</t>
    </r>
    <r>
      <rPr>
        <b/>
        <i/>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 xml:space="preserve"> -&gt; Yes → All fields should be cleared and reset to default.
 -&gt; No → All entered data should remain unchanged.</t>
    </r>
    <r>
      <rPr>
        <sz val="11"/>
        <color theme="1"/>
        <rFont val="Calibri"/>
        <family val="2"/>
        <scheme val="minor"/>
      </rPr>
      <t xml:space="preserve">
2. Clear button should reset entire page, including:
 -&gt; Textboxes
 -&gt; Dropdowns
 -&gt; Radio buttons
 -&gt; Attached file
</t>
    </r>
    <r>
      <rPr>
        <b/>
        <sz val="11"/>
        <color theme="1"/>
        <rFont val="Calibri"/>
        <family val="2"/>
        <scheme val="minor"/>
      </rPr>
      <t/>
    </r>
  </si>
  <si>
    <t>1. Clear button does not work as expected.
2. After clicking Clear:
 -&gt; Segment dropdown retains its value
 -&gt; Attached file is not removed
Note - The system is also not asking for confirmation before clearing the page.</t>
  </si>
  <si>
    <t>Pricing_48</t>
  </si>
  <si>
    <r>
      <t xml:space="preserve">Validate the functionality of the </t>
    </r>
    <r>
      <rPr>
        <b/>
        <sz val="11"/>
        <color theme="1"/>
        <rFont val="Calibri"/>
        <family val="2"/>
        <scheme val="minor"/>
      </rPr>
      <t xml:space="preserve">Page Responsiveness </t>
    </r>
    <r>
      <rPr>
        <sz val="11"/>
        <color theme="1"/>
        <rFont val="Calibri"/>
        <family val="2"/>
        <scheme val="minor"/>
      </rPr>
      <t>of Pricing Page.</t>
    </r>
  </si>
  <si>
    <r>
      <t xml:space="preserve">1. Open the application and log in 
2. Select Branch: AHMEDABAD, Export Type: Export Sea, FY 2025–2026, click OK.
3. Navigate to </t>
    </r>
    <r>
      <rPr>
        <b/>
        <sz val="11"/>
        <color theme="1"/>
        <rFont val="Calibri"/>
        <family val="2"/>
        <scheme val="minor"/>
      </rPr>
      <t xml:space="preserve">Masters -&gt; Charge Master -&gt; Pricing
</t>
    </r>
    <r>
      <rPr>
        <sz val="11"/>
        <color theme="1"/>
        <rFont val="Calibri"/>
        <family val="2"/>
        <scheme val="minor"/>
      </rPr>
      <t>4. Resize the browser to multiple resolutions and observe the system behaviour.</t>
    </r>
  </si>
  <si>
    <r>
      <t xml:space="preserve">1. All elements (Textbox, Dropdown and Radio button) on the </t>
    </r>
    <r>
      <rPr>
        <b/>
        <sz val="11"/>
        <color theme="1"/>
        <rFont val="Calibri"/>
        <family val="2"/>
        <scheme val="minor"/>
      </rPr>
      <t>Pricing</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</si>
  <si>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Pricing_49</t>
  </si>
  <si>
    <r>
      <t xml:space="preserve">Validate the functionality of </t>
    </r>
    <r>
      <rPr>
        <b/>
        <sz val="11"/>
        <color theme="1"/>
        <rFont val="Calibri"/>
        <family val="2"/>
        <scheme val="minor"/>
      </rPr>
      <t>Keyword Action</t>
    </r>
    <r>
      <rPr>
        <sz val="11"/>
        <color theme="1"/>
        <rFont val="Calibri"/>
        <family val="2"/>
        <scheme val="minor"/>
      </rPr>
      <t xml:space="preserve"> in the Pricing Tab on Pricing Page (Tab button).</t>
    </r>
  </si>
  <si>
    <r>
      <t xml:space="preserve">1. Open the application and log in 
2. Select Branch: AHMEDABAD, Export Type: Export Sea, FY 2025–2026, click OK.
3. Navigate to </t>
    </r>
    <r>
      <rPr>
        <b/>
        <sz val="11"/>
        <color theme="1"/>
        <rFont val="Calibri"/>
        <family val="2"/>
        <scheme val="minor"/>
      </rPr>
      <t xml:space="preserve">Masters -&gt; Charge Master -&gt; Pricing
</t>
    </r>
    <r>
      <rPr>
        <sz val="11"/>
        <color theme="1"/>
        <rFont val="Calibri"/>
        <family val="2"/>
        <scheme val="minor"/>
      </rPr>
      <t>4. Use keyword button to fill the foam and observe the system behaviour.</t>
    </r>
  </si>
  <si>
    <t xml:space="preserve">1. The Keyboard Action (TAB key) feature should function correctly across all fields.
 -&gt; Textboxes
 -&gt; Dropdown
 -&gt; Radio button
 -&gt; Autosuggest List
</t>
  </si>
  <si>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In the Pricing Tab:
 -&gt; Select different Segment values from the dropdown.
 -&gt; Change the Segment back to Select (no value).
5. Observe the behavior of the related textboxes in the Changes tab.</t>
    </r>
  </si>
  <si>
    <r>
      <t xml:space="preserve">1. Manual input is correctly restricted to dropdown selection only.
2. On selecting Segment values, the defined textboxes are disabled correctly.
3. </t>
    </r>
    <r>
      <rPr>
        <b/>
        <sz val="11"/>
        <color theme="1"/>
        <rFont val="Calibri"/>
        <family val="2"/>
        <scheme val="minor"/>
      </rPr>
      <t>When Segment is changed back to Select:
 -&gt; Textboxes in the Changes tab do not return to default state.
 -&gt; Some textboxes remain disabled and non-editable.</t>
    </r>
  </si>
  <si>
    <t>Pricing_50</t>
  </si>
  <si>
    <r>
      <t>Validate the functionality of</t>
    </r>
    <r>
      <rPr>
        <b/>
        <sz val="11"/>
        <color theme="1"/>
        <rFont val="Calibri"/>
        <family val="2"/>
        <scheme val="minor"/>
      </rPr>
      <t xml:space="preserve"> readibility </t>
    </r>
    <r>
      <rPr>
        <sz val="11"/>
        <color theme="1"/>
        <rFont val="Calibri"/>
        <family val="2"/>
        <scheme val="minor"/>
      </rPr>
      <t xml:space="preserve">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in the Pricing Tab on Pricing Page.</t>
    </r>
  </si>
  <si>
    <r>
      <t xml:space="preserve">1. Open the application and log in 
2. Select Branch: AHMEDABAD, Export Type: Export Sea, FY 2025–2026, click OK.
3. Navigate to </t>
    </r>
    <r>
      <rPr>
        <b/>
        <sz val="11"/>
        <color theme="1"/>
        <rFont val="Calibri"/>
        <family val="2"/>
        <scheme val="minor"/>
      </rPr>
      <t xml:space="preserve">Masters -&gt; Charge Master -&gt; Pricing
</t>
    </r>
    <r>
      <rPr>
        <sz val="11"/>
        <color theme="1"/>
        <rFont val="Calibri"/>
        <family val="2"/>
        <scheme val="minor"/>
      </rPr>
      <t>4. Observe the Success Pop-up and Error Pop-up Readibility for each field.</t>
    </r>
  </si>
  <si>
    <t>1. Success and Error pop-ups should appear with clear, readable messages.
2. Messages should be properly formatted and user-friendly.
3. Correct validation message should be displayed as per textbox lavel and validation messsage sequenxe should be correct as per the textbox sequence.</t>
  </si>
  <si>
    <r>
      <t xml:space="preserve">1. Functionality is  working as expected.
2. For each mandatory field, validation message is appearing properly but with proper sequence.
</t>
    </r>
    <r>
      <rPr>
        <b/>
        <sz val="11"/>
        <color theme="1"/>
        <rFont val="Calibri"/>
        <family val="2"/>
        <scheme val="minor"/>
      </rPr>
      <t>Observation:</t>
    </r>
    <r>
      <rPr>
        <sz val="11"/>
        <color theme="1"/>
        <rFont val="Calibri"/>
        <family val="2"/>
        <scheme val="minor"/>
      </rPr>
      <t xml:space="preserve">
File Uploading Validation, Save button Validation can be more clear.</t>
    </r>
  </si>
  <si>
    <t>Pricing_51</t>
  </si>
  <si>
    <r>
      <t xml:space="preserve">Textbox - </t>
    </r>
    <r>
      <rPr>
        <b/>
        <sz val="11"/>
        <color theme="1"/>
        <rFont val="Calibri"/>
        <family val="2"/>
        <scheme val="minor"/>
      </rPr>
      <t>From
Manual Inputs:</t>
    </r>
    <r>
      <rPr>
        <sz val="11"/>
        <color theme="1"/>
        <rFont val="Calibri"/>
        <family val="2"/>
        <scheme val="minor"/>
      </rPr>
      <t xml:space="preserve">
 -&gt; 72834/7238
 -&gt; 2637482647
</t>
    </r>
    <r>
      <rPr>
        <b/>
        <sz val="11"/>
        <color theme="1"/>
        <rFont val="Calibri"/>
        <family val="2"/>
        <scheme val="minor"/>
      </rPr>
      <t>Autosuggest Value:</t>
    </r>
    <r>
      <rPr>
        <sz val="11"/>
        <color theme="1"/>
        <rFont val="Calibri"/>
        <family val="2"/>
        <scheme val="minor"/>
      </rPr>
      <t xml:space="preserve">
 -&gt; 16/12/2025
</t>
    </r>
  </si>
  <si>
    <r>
      <t>Validate the functionality of the ‘</t>
    </r>
    <r>
      <rPr>
        <b/>
        <sz val="11"/>
        <color theme="1"/>
        <rFont val="Calibri"/>
        <family val="2"/>
        <scheme val="minor"/>
      </rPr>
      <t>From</t>
    </r>
    <r>
      <rPr>
        <sz val="11"/>
        <color theme="1"/>
        <rFont val="Calibri"/>
        <family val="2"/>
        <scheme val="minor"/>
      </rPr>
      <t xml:space="preserve">’ date textbox in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</si>
  <si>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Go to the Search Tab.
5. Attempt to:
 -&gt; Manually type invalid values in the From textbox.
 -&gt; Select a date using the calendar autosuggest.</t>
    </r>
  </si>
  <si>
    <t xml:space="preserve">1. Manual input should not be allowed in the From field.
2. User should be able to select the From date only via the calendar.
3. If an invalid date is entered:
 -&gt; The field should auto-clear or
 -&gt; Display a proper validation message.
4. Selected date should be displayed in DD-MM-YYYY format.
5. From textbox should accept a maximum of 10 characters only.
</t>
  </si>
  <si>
    <t>1. Manual typing is allowed in the From textbox.
2. From textbox accepts invalid date formats, such as:
 -&gt; 72834/7238
 -&gt; 2637482647
4. Date format validation (DD-MM-YYYY) is not enforced.
5. From textbox accepts 10 characters, but without format validation.</t>
  </si>
  <si>
    <t>Pricing_52</t>
  </si>
  <si>
    <r>
      <t>Validate the functionality of the ‘</t>
    </r>
    <r>
      <rPr>
        <b/>
        <sz val="11"/>
        <color theme="1"/>
        <rFont val="Calibri"/>
        <family val="2"/>
        <scheme val="minor"/>
      </rPr>
      <t>To</t>
    </r>
    <r>
      <rPr>
        <sz val="11"/>
        <color theme="1"/>
        <rFont val="Calibri"/>
        <family val="2"/>
        <scheme val="minor"/>
      </rPr>
      <t xml:space="preserve">’ date textbox in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</si>
  <si>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Go to the Search Tab.
5. Attempt to:
 -&gt; Manually type invalid values in the </t>
    </r>
    <r>
      <rPr>
        <b/>
        <sz val="11"/>
        <color theme="1"/>
        <rFont val="Calibri"/>
        <family val="2"/>
        <scheme val="minor"/>
      </rPr>
      <t>To</t>
    </r>
    <r>
      <rPr>
        <sz val="11"/>
        <color theme="1"/>
        <rFont val="Calibri"/>
        <family val="2"/>
        <scheme val="minor"/>
      </rPr>
      <t xml:space="preserve"> textbox.
 -&gt; Select a date using the calendar autosuggest.</t>
    </r>
  </si>
  <si>
    <r>
      <t xml:space="preserve">Textbox - </t>
    </r>
    <r>
      <rPr>
        <b/>
        <sz val="11"/>
        <color theme="1"/>
        <rFont val="Calibri"/>
        <family val="2"/>
        <scheme val="minor"/>
      </rPr>
      <t>To
Manual Inputs:</t>
    </r>
    <r>
      <rPr>
        <sz val="11"/>
        <color theme="1"/>
        <rFont val="Calibri"/>
        <family val="2"/>
        <scheme val="minor"/>
      </rPr>
      <t xml:space="preserve">
 -&gt; 72834/7238
 -&gt; 2637482647
</t>
    </r>
    <r>
      <rPr>
        <b/>
        <sz val="11"/>
        <color theme="1"/>
        <rFont val="Calibri"/>
        <family val="2"/>
        <scheme val="minor"/>
      </rPr>
      <t>Autosuggest Value:</t>
    </r>
    <r>
      <rPr>
        <sz val="11"/>
        <color theme="1"/>
        <rFont val="Calibri"/>
        <family val="2"/>
        <scheme val="minor"/>
      </rPr>
      <t xml:space="preserve">
 -&gt; 16/12/2025
</t>
    </r>
  </si>
  <si>
    <r>
      <t xml:space="preserve">1. Manual input should not be allowed in the </t>
    </r>
    <r>
      <rPr>
        <b/>
        <sz val="11"/>
        <color theme="1"/>
        <rFont val="Calibri"/>
        <family val="2"/>
        <scheme val="minor"/>
      </rPr>
      <t>To</t>
    </r>
    <r>
      <rPr>
        <sz val="11"/>
        <color theme="1"/>
        <rFont val="Calibri"/>
        <family val="2"/>
        <scheme val="minor"/>
      </rPr>
      <t xml:space="preserve"> field.
2. User should be able to select the </t>
    </r>
    <r>
      <rPr>
        <b/>
        <sz val="11"/>
        <color theme="1"/>
        <rFont val="Calibri"/>
        <family val="2"/>
        <scheme val="minor"/>
      </rPr>
      <t>To</t>
    </r>
    <r>
      <rPr>
        <sz val="11"/>
        <color theme="1"/>
        <rFont val="Calibri"/>
        <family val="2"/>
        <scheme val="minor"/>
      </rPr>
      <t xml:space="preserve"> date only via the calendar.
3. If an invalid date is entered:
 -&gt; The field should auto-clear or
 -&gt; Display a proper validation message.
4. Selected date should be displayed in DD-MM-YYYY format.
5. </t>
    </r>
    <r>
      <rPr>
        <b/>
        <sz val="11"/>
        <color theme="1"/>
        <rFont val="Calibri"/>
        <family val="2"/>
        <scheme val="minor"/>
      </rPr>
      <t>To</t>
    </r>
    <r>
      <rPr>
        <sz val="11"/>
        <color theme="1"/>
        <rFont val="Calibri"/>
        <family val="2"/>
        <scheme val="minor"/>
      </rPr>
      <t xml:space="preserve"> Date textbox should accept a maximum of 10 characters only.
</t>
    </r>
  </si>
  <si>
    <r>
      <t xml:space="preserve">1. Manual typing is allowed in the </t>
    </r>
    <r>
      <rPr>
        <b/>
        <sz val="11"/>
        <color theme="1"/>
        <rFont val="Calibri"/>
        <family val="2"/>
        <scheme val="minor"/>
      </rPr>
      <t>To</t>
    </r>
    <r>
      <rPr>
        <sz val="11"/>
        <color theme="1"/>
        <rFont val="Calibri"/>
        <family val="2"/>
        <scheme val="minor"/>
      </rPr>
      <t xml:space="preserve"> textbox.
2. </t>
    </r>
    <r>
      <rPr>
        <b/>
        <sz val="11"/>
        <color theme="1"/>
        <rFont val="Calibri"/>
        <family val="2"/>
        <scheme val="minor"/>
      </rPr>
      <t>To</t>
    </r>
    <r>
      <rPr>
        <sz val="11"/>
        <color theme="1"/>
        <rFont val="Calibri"/>
        <family val="2"/>
        <scheme val="minor"/>
      </rPr>
      <t xml:space="preserve"> textbox accepts invalid date formats, such as:
</t>
    </r>
    <r>
      <rPr>
        <b/>
        <sz val="11"/>
        <color theme="1"/>
        <rFont val="Calibri"/>
        <family val="2"/>
        <scheme val="minor"/>
      </rPr>
      <t xml:space="preserve"> -&gt; 72834/7238
 -&gt; 2637482647</t>
    </r>
    <r>
      <rPr>
        <sz val="11"/>
        <color theme="1"/>
        <rFont val="Calibri"/>
        <family val="2"/>
        <scheme val="minor"/>
      </rPr>
      <t xml:space="preserve">
4. Date format validation (</t>
    </r>
    <r>
      <rPr>
        <b/>
        <sz val="11"/>
        <color theme="1"/>
        <rFont val="Calibri"/>
        <family val="2"/>
        <scheme val="minor"/>
      </rPr>
      <t>DD-MM-YYYY</t>
    </r>
    <r>
      <rPr>
        <sz val="11"/>
        <color theme="1"/>
        <rFont val="Calibri"/>
        <family val="2"/>
        <scheme val="minor"/>
      </rPr>
      <t xml:space="preserve">) is not enforced.
5. </t>
    </r>
    <r>
      <rPr>
        <b/>
        <sz val="11"/>
        <color theme="1"/>
        <rFont val="Calibri"/>
        <family val="2"/>
        <scheme val="minor"/>
      </rPr>
      <t>To</t>
    </r>
    <r>
      <rPr>
        <sz val="11"/>
        <color theme="1"/>
        <rFont val="Calibri"/>
        <family val="2"/>
        <scheme val="minor"/>
      </rPr>
      <t xml:space="preserve"> textbox accepts 10 characters, but without format validation.</t>
    </r>
  </si>
  <si>
    <t>Pricing_53</t>
  </si>
  <si>
    <r>
      <t xml:space="preserve">Validate the functionality of </t>
    </r>
    <r>
      <rPr>
        <b/>
        <sz val="11"/>
        <color theme="1"/>
        <rFont val="Calibri"/>
        <family val="2"/>
        <scheme val="minor"/>
      </rPr>
      <t>'Shipping'</t>
    </r>
    <r>
      <rPr>
        <sz val="11"/>
        <color theme="1"/>
        <rFont val="Calibri"/>
        <family val="2"/>
        <scheme val="minor"/>
      </rPr>
      <t xml:space="preserve"> textbox in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</si>
  <si>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select a value from the Autosuggest list in </t>
    </r>
    <r>
      <rPr>
        <b/>
        <sz val="11"/>
        <color theme="1"/>
        <rFont val="Calibri"/>
        <family val="2"/>
        <scheme val="minor"/>
      </rPr>
      <t>Shipping</t>
    </r>
    <r>
      <rPr>
        <sz val="11"/>
        <color theme="1"/>
        <rFont val="Calibri"/>
        <family val="2"/>
        <scheme val="minor"/>
      </rPr>
      <t xml:space="preserve"> textbox and observe the system behaviour.</t>
    </r>
  </si>
  <si>
    <r>
      <t xml:space="preserve">Textbox - </t>
    </r>
    <r>
      <rPr>
        <b/>
        <sz val="11"/>
        <color theme="1"/>
        <rFont val="Calibri"/>
        <family val="2"/>
        <scheme val="minor"/>
      </rPr>
      <t>Shipping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DEMO
 -&gt; ANL INDIA etc.</t>
    </r>
  </si>
  <si>
    <r>
      <t xml:space="preserve">1. Manual input should not be allowed in the </t>
    </r>
    <r>
      <rPr>
        <b/>
        <sz val="11"/>
        <color theme="1"/>
        <rFont val="Calibri"/>
        <family val="2"/>
        <scheme val="minor"/>
      </rPr>
      <t>Shipping</t>
    </r>
    <r>
      <rPr>
        <sz val="11"/>
        <color theme="1"/>
        <rFont val="Calibri"/>
        <family val="2"/>
        <scheme val="minor"/>
      </rPr>
      <t xml:space="preserve"> field.
2. User must be able to choose </t>
    </r>
    <r>
      <rPr>
        <b/>
        <sz val="11"/>
        <color theme="1"/>
        <rFont val="Calibri"/>
        <family val="2"/>
        <scheme val="minor"/>
      </rPr>
      <t>Shipping</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</si>
  <si>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Shipping</t>
    </r>
    <r>
      <rPr>
        <sz val="11"/>
        <color theme="1"/>
        <rFont val="Calibri"/>
        <family val="2"/>
        <scheme val="minor"/>
      </rPr>
      <t xml:space="preserve"> value can be selected only from the autosuggest list.</t>
    </r>
  </si>
  <si>
    <t>Pricing_54</t>
  </si>
  <si>
    <r>
      <t xml:space="preserve">Validate the functionality of </t>
    </r>
    <r>
      <rPr>
        <b/>
        <sz val="11"/>
        <color theme="1"/>
        <rFont val="Calibri"/>
        <family val="2"/>
        <scheme val="minor"/>
      </rPr>
      <t>'POL'</t>
    </r>
    <r>
      <rPr>
        <sz val="11"/>
        <color theme="1"/>
        <rFont val="Calibri"/>
        <family val="2"/>
        <scheme val="minor"/>
      </rPr>
      <t xml:space="preserve"> textbox in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</si>
  <si>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select a value from the Autosuggest list in </t>
    </r>
    <r>
      <rPr>
        <b/>
        <sz val="11"/>
        <color theme="1"/>
        <rFont val="Calibri"/>
        <family val="2"/>
        <scheme val="minor"/>
      </rPr>
      <t>POL</t>
    </r>
    <r>
      <rPr>
        <sz val="11"/>
        <color theme="1"/>
        <rFont val="Calibri"/>
        <family val="2"/>
        <scheme val="minor"/>
      </rPr>
      <t xml:space="preserve"> textbox and observe the system behaviour.</t>
    </r>
  </si>
  <si>
    <r>
      <t xml:space="preserve">Textbox - </t>
    </r>
    <r>
      <rPr>
        <b/>
        <sz val="11"/>
        <color theme="1"/>
        <rFont val="Calibri"/>
        <family val="2"/>
        <scheme val="minor"/>
      </rPr>
      <t>POL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KASSUE:IDKSE
 -&gt; SOYE:BESWL etc.</t>
    </r>
  </si>
  <si>
    <r>
      <t xml:space="preserve">1. Manual input should not be allowed in the </t>
    </r>
    <r>
      <rPr>
        <b/>
        <sz val="11"/>
        <color theme="1"/>
        <rFont val="Calibri"/>
        <family val="2"/>
        <scheme val="minor"/>
      </rPr>
      <t>POL</t>
    </r>
    <r>
      <rPr>
        <sz val="11"/>
        <color theme="1"/>
        <rFont val="Calibri"/>
        <family val="2"/>
        <scheme val="minor"/>
      </rPr>
      <t xml:space="preserve"> field.
2. User must be able to choose </t>
    </r>
    <r>
      <rPr>
        <b/>
        <sz val="11"/>
        <color theme="1"/>
        <rFont val="Calibri"/>
        <family val="2"/>
        <scheme val="minor"/>
      </rPr>
      <t>POL</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</si>
  <si>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POL</t>
    </r>
    <r>
      <rPr>
        <sz val="11"/>
        <color theme="1"/>
        <rFont val="Calibri"/>
        <family val="2"/>
        <scheme val="minor"/>
      </rPr>
      <t xml:space="preserve"> value can be selected only from the autosuggest list.</t>
    </r>
  </si>
  <si>
    <t>Pricing_55</t>
  </si>
  <si>
    <r>
      <t xml:space="preserve">Validate the functionality of </t>
    </r>
    <r>
      <rPr>
        <b/>
        <sz val="11"/>
        <color theme="1"/>
        <rFont val="Calibri"/>
        <family val="2"/>
        <scheme val="minor"/>
      </rPr>
      <t>'POD'</t>
    </r>
    <r>
      <rPr>
        <sz val="11"/>
        <color theme="1"/>
        <rFont val="Calibri"/>
        <family val="2"/>
        <scheme val="minor"/>
      </rPr>
      <t xml:space="preserve"> textbox in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</si>
  <si>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select a value from the Autosuggest list in </t>
    </r>
    <r>
      <rPr>
        <b/>
        <sz val="11"/>
        <color theme="1"/>
        <rFont val="Calibri"/>
        <family val="2"/>
        <scheme val="minor"/>
      </rPr>
      <t>POD</t>
    </r>
    <r>
      <rPr>
        <sz val="11"/>
        <color theme="1"/>
        <rFont val="Calibri"/>
        <family val="2"/>
        <scheme val="minor"/>
      </rPr>
      <t xml:space="preserve"> textbox and observe the system behaviour.</t>
    </r>
  </si>
  <si>
    <r>
      <t xml:space="preserve">1. Manual input should not be allowed in the </t>
    </r>
    <r>
      <rPr>
        <b/>
        <sz val="11"/>
        <color theme="1"/>
        <rFont val="Calibri"/>
        <family val="2"/>
        <scheme val="minor"/>
      </rPr>
      <t>POD</t>
    </r>
    <r>
      <rPr>
        <sz val="11"/>
        <color theme="1"/>
        <rFont val="Calibri"/>
        <family val="2"/>
        <scheme val="minor"/>
      </rPr>
      <t xml:space="preserve"> field.
2. User must be able to choose </t>
    </r>
    <r>
      <rPr>
        <b/>
        <sz val="11"/>
        <color theme="1"/>
        <rFont val="Calibri"/>
        <family val="2"/>
        <scheme val="minor"/>
      </rPr>
      <t>POD</t>
    </r>
    <r>
      <rPr>
        <sz val="11"/>
        <color theme="1"/>
        <rFont val="Calibri"/>
        <family val="2"/>
        <scheme val="minor"/>
      </rPr>
      <t xml:space="preserve"> value only from the autosuggest list.
3. If the user types anything invalid (not matching autosuggest items), the textbox should automatically clear.
4. Autosuggest should display relevant values when the user types correct starting characters.</t>
    </r>
  </si>
  <si>
    <r>
      <t xml:space="preserve">1. Functionality is working as expected.
2. </t>
    </r>
    <r>
      <rPr>
        <b/>
        <sz val="11"/>
        <color theme="1"/>
        <rFont val="Calibri"/>
        <family val="2"/>
        <scheme val="minor"/>
      </rPr>
      <t>POD</t>
    </r>
    <r>
      <rPr>
        <sz val="11"/>
        <color theme="1"/>
        <rFont val="Calibri"/>
        <family val="2"/>
        <scheme val="minor"/>
      </rPr>
      <t xml:space="preserve"> value can be selected only from the autosuggest list.</t>
    </r>
  </si>
  <si>
    <r>
      <t xml:space="preserve">Textbox - </t>
    </r>
    <r>
      <rPr>
        <b/>
        <sz val="11"/>
        <color theme="1"/>
        <rFont val="Calibri"/>
        <family val="2"/>
        <scheme val="minor"/>
      </rPr>
      <t>POD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LANTON:FRLJA
 -&gt; SOYE:BESWL etc.</t>
    </r>
  </si>
  <si>
    <t>Pricing_56</t>
  </si>
  <si>
    <r>
      <t xml:space="preserve">Validate the functionality of </t>
    </r>
    <r>
      <rPr>
        <b/>
        <sz val="11"/>
        <color theme="1"/>
        <rFont val="Calibri"/>
        <family val="2"/>
        <scheme val="minor"/>
      </rPr>
      <t>'Unit'</t>
    </r>
    <r>
      <rPr>
        <sz val="11"/>
        <color theme="1"/>
        <rFont val="Calibri"/>
        <family val="2"/>
        <scheme val="minor"/>
      </rPr>
      <t xml:space="preserve"> textbox in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</si>
  <si>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select a value from the Autosuggest list in </t>
    </r>
    <r>
      <rPr>
        <b/>
        <sz val="11"/>
        <color theme="1"/>
        <rFont val="Calibri"/>
        <family val="2"/>
        <scheme val="minor"/>
      </rPr>
      <t>Unit</t>
    </r>
    <r>
      <rPr>
        <sz val="11"/>
        <color theme="1"/>
        <rFont val="Calibri"/>
        <family val="2"/>
        <scheme val="minor"/>
      </rPr>
      <t xml:space="preserve"> textbox and observe the system behaviour.</t>
    </r>
  </si>
  <si>
    <t>Pricing_57</t>
  </si>
  <si>
    <r>
      <t xml:space="preserve">Button - </t>
    </r>
    <r>
      <rPr>
        <b/>
        <sz val="11"/>
        <color theme="1"/>
        <rFont val="Calibri"/>
        <family val="2"/>
        <scheme val="minor"/>
      </rPr>
      <t>Search</t>
    </r>
    <r>
      <rPr>
        <sz val="11"/>
        <color theme="1"/>
        <rFont val="Calibri"/>
        <family val="2"/>
        <scheme val="minor"/>
      </rPr>
      <t xml:space="preserve">
Input Fields - 
 -&gt; From 
 -&gt; To
 -&gt; Shipping
 -&gt; POL
 -&gt; POD
 -&gt; Unit</t>
    </r>
  </si>
  <si>
    <r>
      <t xml:space="preserve">Validate the functionality of the </t>
    </r>
    <r>
      <rPr>
        <b/>
        <sz val="11"/>
        <color theme="1"/>
        <rFont val="Calibri"/>
        <family val="2"/>
        <scheme val="minor"/>
      </rPr>
      <t>Search</t>
    </r>
    <r>
      <rPr>
        <sz val="11"/>
        <color theme="1"/>
        <rFont val="Calibri"/>
        <family val="2"/>
        <scheme val="minor"/>
      </rPr>
      <t xml:space="preserve"> button when all input fields are filled with valid data in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</si>
  <si>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Enter valid data in all search fields and click on </t>
    </r>
    <r>
      <rPr>
        <b/>
        <sz val="11"/>
        <color theme="1"/>
        <rFont val="Calibri"/>
        <family val="2"/>
        <scheme val="minor"/>
      </rPr>
      <t>Search</t>
    </r>
    <r>
      <rPr>
        <sz val="11"/>
        <color theme="1"/>
        <rFont val="Calibri"/>
        <family val="2"/>
        <scheme val="minor"/>
      </rPr>
      <t xml:space="preserve"> button.</t>
    </r>
  </si>
  <si>
    <t>1. If matching data exists:
 -&gt; Records should be filtered and displayed correctly in the grid.
2. If no matching data exists:
 -&gt; No record should display in the grid or remain empty.
3. Grid headers and grid data should be displayed correctly and aligned.</t>
  </si>
  <si>
    <t>Pricing_58</t>
  </si>
  <si>
    <r>
      <t xml:space="preserve">Validate the functionality of the </t>
    </r>
    <r>
      <rPr>
        <b/>
        <sz val="11"/>
        <color theme="1"/>
        <rFont val="Calibri"/>
        <family val="2"/>
        <scheme val="minor"/>
      </rPr>
      <t>Search</t>
    </r>
    <r>
      <rPr>
        <sz val="11"/>
        <color theme="1"/>
        <rFont val="Calibri"/>
        <family val="2"/>
        <scheme val="minor"/>
      </rPr>
      <t xml:space="preserve"> button when all input fields are left blank in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Pricing page</t>
    </r>
    <r>
      <rPr>
        <sz val="11"/>
        <color theme="1"/>
        <rFont val="Calibri"/>
        <family val="2"/>
        <scheme val="minor"/>
      </rPr>
      <t>.</t>
    </r>
  </si>
  <si>
    <r>
      <t>1. Open the application and log in 
2. Select Branch: AHMEDABAD, Export Type: Export Sea, FY 2025–2026, click OK.
3. Navigate to</t>
    </r>
    <r>
      <rPr>
        <b/>
        <sz val="11"/>
        <color theme="1"/>
        <rFont val="Calibri"/>
        <family val="2"/>
        <scheme val="minor"/>
      </rPr>
      <t xml:space="preserve"> Masters -&gt; Charge Master -&gt; Pricing
</t>
    </r>
    <r>
      <rPr>
        <sz val="11"/>
        <color theme="1"/>
        <rFont val="Calibri"/>
        <family val="2"/>
        <scheme val="minor"/>
      </rPr>
      <t xml:space="preserve">4. Go to the Search Tab.
5. Click the Search </t>
    </r>
    <r>
      <rPr>
        <b/>
        <sz val="11"/>
        <color theme="1"/>
        <rFont val="Calibri"/>
        <family val="2"/>
        <scheme val="minor"/>
      </rPr>
      <t>button</t>
    </r>
    <r>
      <rPr>
        <sz val="11"/>
        <color theme="1"/>
        <rFont val="Calibri"/>
        <family val="2"/>
        <scheme val="minor"/>
      </rPr>
      <t xml:space="preserve"> without entering any input values.</t>
    </r>
  </si>
  <si>
    <t>1. If data exists:
 -&gt; All records should be displayed correctly in the grid.
2. If no data exists:
 -&gt; Grid should remain empty.
3. Grid headers and grid data should be displayed properly and aligned.</t>
  </si>
  <si>
    <t>Pricing_59</t>
  </si>
  <si>
    <r>
      <t xml:space="preserve">Validate the </t>
    </r>
    <r>
      <rPr>
        <b/>
        <sz val="11"/>
        <color theme="1"/>
        <rFont val="Calibri"/>
        <family val="2"/>
        <scheme val="minor"/>
      </rPr>
      <t>Clear</t>
    </r>
    <r>
      <rPr>
        <sz val="11"/>
        <color theme="1"/>
        <rFont val="Calibri"/>
        <family val="2"/>
        <scheme val="minor"/>
      </rPr>
      <t xml:space="preserve"> button functionality in the </t>
    </r>
    <r>
      <rPr>
        <b/>
        <sz val="11"/>
        <color theme="1"/>
        <rFont val="Calibri"/>
        <family val="2"/>
        <scheme val="minor"/>
      </rPr>
      <t>Search Tab</t>
    </r>
    <r>
      <rPr>
        <sz val="11"/>
        <color theme="1"/>
        <rFont val="Calibri"/>
        <family val="2"/>
        <scheme val="minor"/>
      </rPr>
      <t xml:space="preserve"> on Pricing Page.</t>
    </r>
  </si>
  <si>
    <r>
      <t xml:space="preserve">1. 
</t>
    </r>
    <r>
      <rPr>
        <b/>
        <sz val="11"/>
        <color theme="1"/>
        <rFont val="Calibri"/>
        <family val="2"/>
        <scheme val="minor"/>
      </rPr>
      <t>Note: No Records are coming.</t>
    </r>
    <r>
      <rPr>
        <sz val="11"/>
        <color theme="1"/>
        <rFont val="Calibri"/>
        <family val="2"/>
        <scheme val="minor"/>
      </rPr>
      <t xml:space="preserve">
</t>
    </r>
    <r>
      <rPr>
        <b/>
        <sz val="11"/>
        <color theme="1"/>
        <rFont val="Calibri"/>
        <family val="2"/>
        <scheme val="minor"/>
      </rPr>
      <t/>
    </r>
  </si>
  <si>
    <r>
      <t xml:space="preserve">1. 
</t>
    </r>
    <r>
      <rPr>
        <b/>
        <sz val="11"/>
        <color theme="1"/>
        <rFont val="Calibri"/>
        <family val="2"/>
        <scheme val="minor"/>
      </rPr>
      <t>Note: I checked record for last 5 Year but no records is coming in the Search Grid.</t>
    </r>
    <r>
      <rPr>
        <sz val="11"/>
        <color theme="1"/>
        <rFont val="Calibri"/>
        <family val="2"/>
        <scheme val="minor"/>
      </rPr>
      <t xml:space="preserve">
</t>
    </r>
    <r>
      <rPr>
        <b/>
        <sz val="11"/>
        <color theme="1"/>
        <rFont val="Calibri"/>
        <family val="2"/>
        <scheme val="minor"/>
      </rPr>
      <t/>
    </r>
  </si>
  <si>
    <t>1. Functionality is working as expected.</t>
  </si>
  <si>
    <t>Pricing_60</t>
  </si>
  <si>
    <r>
      <t xml:space="preserve">Validate the functionality of </t>
    </r>
    <r>
      <rPr>
        <b/>
        <sz val="11"/>
        <color theme="1"/>
        <rFont val="Calibri"/>
        <family val="2"/>
        <scheme val="minor"/>
      </rPr>
      <t>Keyword Action</t>
    </r>
    <r>
      <rPr>
        <sz val="11"/>
        <color theme="1"/>
        <rFont val="Calibri"/>
        <family val="2"/>
        <scheme val="minor"/>
      </rPr>
      <t xml:space="preserve"> in the </t>
    </r>
    <r>
      <rPr>
        <b/>
        <sz val="11"/>
        <color theme="1"/>
        <rFont val="Calibri"/>
        <family val="2"/>
        <scheme val="minor"/>
      </rPr>
      <t>Search Tab</t>
    </r>
    <r>
      <rPr>
        <sz val="11"/>
        <color theme="1"/>
        <rFont val="Calibri"/>
        <family val="2"/>
        <scheme val="minor"/>
      </rPr>
      <t xml:space="preserve"> on Pricing Page (Tab button).</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</si>
  <si>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Go to the </t>
    </r>
    <r>
      <rPr>
        <b/>
        <sz val="11"/>
        <color theme="1"/>
        <rFont val="Calibri"/>
        <family val="2"/>
        <scheme val="minor"/>
      </rPr>
      <t>Search</t>
    </r>
    <r>
      <rPr>
        <sz val="11"/>
        <color theme="1"/>
        <rFont val="Calibri"/>
        <family val="2"/>
        <scheme val="minor"/>
      </rPr>
      <t xml:space="preserve"> Tab.
5. Fill all fields with valid or random data and click the Clear button.</t>
    </r>
  </si>
  <si>
    <r>
      <t xml:space="preserve">1. Open the application and log in 
2. Select Branch: AHMEDABAD, Export Type: Export Sea, FY 2025–2026, click OK.
3. Navigate to </t>
    </r>
    <r>
      <rPr>
        <b/>
        <sz val="11"/>
        <color theme="1"/>
        <rFont val="Calibri"/>
        <family val="2"/>
        <scheme val="minor"/>
      </rPr>
      <t>Masters -&gt; Charge Master -&gt; Pricing</t>
    </r>
    <r>
      <rPr>
        <sz val="11"/>
        <color theme="1"/>
        <rFont val="Calibri"/>
        <family val="2"/>
        <scheme val="minor"/>
      </rPr>
      <t xml:space="preserve">
4. Go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5</t>
    </r>
    <r>
      <rPr>
        <sz val="11"/>
        <color theme="1"/>
        <rFont val="Calibri"/>
        <family val="2"/>
        <scheme val="minor"/>
      </rPr>
      <t>. Use keyword button to fill the Search input fields and observe the system behaviour.</t>
    </r>
  </si>
  <si>
    <t>Sea_Charge_Master_01</t>
  </si>
  <si>
    <t xml:space="preserve">Charge Master -&gt; Sea Charge Master
</t>
  </si>
  <si>
    <r>
      <t xml:space="preserve">Validate the functionality of </t>
    </r>
    <r>
      <rPr>
        <b/>
        <sz val="11"/>
        <color theme="1"/>
        <rFont val="Calibri"/>
        <family val="2"/>
        <scheme val="minor"/>
      </rPr>
      <t xml:space="preserve">Sea Charge Master(Cost/Revenue Master) , </t>
    </r>
    <r>
      <rPr>
        <sz val="11"/>
        <color theme="1"/>
        <rFont val="Calibri"/>
        <family val="2"/>
        <scheme val="minor"/>
      </rPr>
      <t xml:space="preserve">Under </t>
    </r>
    <r>
      <rPr>
        <b/>
        <sz val="11"/>
        <color theme="1"/>
        <rFont val="Calibri"/>
        <family val="2"/>
        <scheme val="minor"/>
      </rPr>
      <t>Charge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</si>
  <si>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Charge Master</t>
    </r>
    <r>
      <rPr>
        <sz val="11"/>
        <color theme="1"/>
        <rFont val="Calibri"/>
        <family val="2"/>
        <scheme val="minor"/>
      </rPr>
      <t xml:space="preserve"> -&gt; </t>
    </r>
    <r>
      <rPr>
        <b/>
        <sz val="11"/>
        <color theme="1"/>
        <rFont val="Calibri"/>
        <family val="2"/>
        <scheme val="minor"/>
      </rPr>
      <t xml:space="preserve">Sea Charge Master(Cost/Revenue Master)
</t>
    </r>
  </si>
  <si>
    <r>
      <t xml:space="preserve">1. On Mouse Hovering action on </t>
    </r>
    <r>
      <rPr>
        <b/>
        <sz val="11"/>
        <color theme="1"/>
        <rFont val="Calibri"/>
        <family val="2"/>
        <scheme val="minor"/>
      </rPr>
      <t xml:space="preserve">Masters -&gt; Charge Master -&gt; Sea Charge Master(Cost/Revenue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</si>
  <si>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Sea Charge Master(Cost/Revenue Master) </t>
    </r>
    <r>
      <rPr>
        <sz val="11"/>
        <color theme="1"/>
        <rFont val="Calibri"/>
        <family val="2"/>
        <scheme val="minor"/>
      </rPr>
      <t>Page is opening properly.</t>
    </r>
  </si>
  <si>
    <t>Sea_Charge_Master_02</t>
  </si>
  <si>
    <r>
      <t xml:space="preserve">Validate the functionality of </t>
    </r>
    <r>
      <rPr>
        <b/>
        <sz val="11"/>
        <color theme="1"/>
        <rFont val="Calibri"/>
        <family val="2"/>
        <scheme val="minor"/>
      </rPr>
      <t>'Search Shipline'</t>
    </r>
    <r>
      <rPr>
        <sz val="11"/>
        <color theme="1"/>
        <rFont val="Calibri"/>
        <family val="2"/>
        <scheme val="minor"/>
      </rPr>
      <t xml:space="preserve"> textbox of the left side panel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</si>
  <si>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4. Observe how the record list is filtered based on the entered search keyword.</t>
    </r>
  </si>
  <si>
    <r>
      <rPr>
        <b/>
        <sz val="11"/>
        <color theme="1"/>
        <rFont val="Calibri"/>
        <family val="2"/>
        <scheme val="minor"/>
      </rPr>
      <t>Search Data:</t>
    </r>
    <r>
      <rPr>
        <sz val="11"/>
        <color theme="1"/>
        <rFont val="Calibri"/>
        <family val="2"/>
        <scheme val="minor"/>
      </rPr>
      <t xml:space="preserve">
 -&gt; ADVENT LOGISTICS INDIA PVT LTD</t>
    </r>
  </si>
  <si>
    <r>
      <t xml:space="preserve">1. The Search textbox is working only for the first word of the record name.
</t>
    </r>
    <r>
      <rPr>
        <b/>
        <sz val="11"/>
        <color theme="1"/>
        <rFont val="Calibri"/>
        <family val="2"/>
        <scheme val="minor"/>
      </rPr>
      <t>Example record: 'ADVENT LOGISTICS INDIA PVT LTD'
-&gt; Searching 'ADVENT' → Return Result
 -&gt; Searching 'LOGISTICS' →  No result
 -&gt; Searching 'INDIA' →  No result
 -&gt; Searching 'PVT' →  No result
 -&gt; Searching 'LTD' →  No result</t>
    </r>
  </si>
  <si>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&amp; </t>
    </r>
    <r>
      <rPr>
        <b/>
        <sz val="11"/>
        <color theme="1"/>
        <rFont val="Calibri"/>
        <family val="2"/>
        <scheme val="minor"/>
      </rPr>
      <t>Column Checkbox</t>
    </r>
    <r>
      <rPr>
        <sz val="11"/>
        <color theme="1"/>
        <rFont val="Calibri"/>
        <family val="2"/>
        <scheme val="minor"/>
      </rPr>
      <t xml:space="preserve"> behavior in Left-Side List for </t>
    </r>
    <r>
      <rPr>
        <b/>
        <sz val="11"/>
        <color theme="1"/>
        <rFont val="Calibri"/>
        <family val="2"/>
        <scheme val="minor"/>
      </rPr>
      <t xml:space="preserve">Sea Charge Master </t>
    </r>
    <r>
      <rPr>
        <sz val="11"/>
        <color theme="1"/>
        <rFont val="Calibri"/>
        <family val="2"/>
        <scheme val="minor"/>
      </rPr>
      <t>Page.</t>
    </r>
  </si>
  <si>
    <t>Sea_Charge_Master_03</t>
  </si>
  <si>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On the left panel</t>
    </r>
    <r>
      <rPr>
        <b/>
        <sz val="11"/>
        <color theme="1"/>
        <rFont val="Calibri"/>
        <family val="2"/>
        <scheme val="minor"/>
      </rPr>
      <t xml:space="preserve"> List</t>
    </r>
    <r>
      <rPr>
        <sz val="11"/>
        <color theme="1"/>
        <rFont val="Calibri"/>
        <family val="2"/>
        <scheme val="minor"/>
      </rPr>
      <t>: Click 
 -&gt; Sort Ascending and verify list order.
 -&gt; Click Sort Descending and verify list order.
 -&gt; Checkboxes: select all checkboxes all columns visible
 -&gt; deselect all - all columns hidden.</t>
    </r>
  </si>
  <si>
    <r>
      <t xml:space="preserve">1. </t>
    </r>
    <r>
      <rPr>
        <b/>
        <sz val="11"/>
        <color theme="1"/>
        <rFont val="Calibri"/>
        <family val="2"/>
        <scheme val="minor"/>
      </rPr>
      <t>Sorting</t>
    </r>
    <r>
      <rPr>
        <sz val="11"/>
        <color theme="1"/>
        <rFont val="Calibri"/>
        <family val="2"/>
        <scheme val="minor"/>
      </rPr>
      <t>: List sorts correctly in ascending and descending order.
2. When all column checkboxes are selected, all columns should be displayed.
3. When all column checkboxes are deselected, all columns should be hidden</t>
    </r>
  </si>
  <si>
    <r>
      <t xml:space="preserve">1. </t>
    </r>
    <r>
      <rPr>
        <b/>
        <sz val="11"/>
        <color theme="1"/>
        <rFont val="Calibri"/>
        <family val="2"/>
        <scheme val="minor"/>
      </rPr>
      <t>Sorting</t>
    </r>
    <r>
      <rPr>
        <sz val="11"/>
        <color theme="1"/>
        <rFont val="Calibri"/>
        <family val="2"/>
        <scheme val="minor"/>
      </rPr>
      <t xml:space="preserve">: List sorts correctly in both Ascending and Descending order. 
2. Column Checkbox when all checkboxes are selected, all columns display as expected. </t>
    </r>
    <r>
      <rPr>
        <b/>
        <sz val="11"/>
        <color theme="1"/>
        <rFont val="Calibri"/>
        <family val="2"/>
        <scheme val="minor"/>
      </rPr>
      <t>However, when all checkboxes are deselected, one column remains visible.</t>
    </r>
  </si>
  <si>
    <t>Sea_Charge_Master_04</t>
  </si>
  <si>
    <t>Select Any Records from the Left side panel list.</t>
  </si>
  <si>
    <r>
      <t>Validate that the selected record from the</t>
    </r>
    <r>
      <rPr>
        <b/>
        <sz val="11"/>
        <color theme="1"/>
        <rFont val="Calibri"/>
        <family val="2"/>
        <scheme val="minor"/>
      </rPr>
      <t xml:space="preserve"> left-side list panel</t>
    </r>
    <r>
      <rPr>
        <sz val="11"/>
        <color theme="1"/>
        <rFont val="Calibri"/>
        <family val="2"/>
        <scheme val="minor"/>
      </rPr>
      <t xml:space="preserve"> is correctly reflected in the </t>
    </r>
    <r>
      <rPr>
        <b/>
        <sz val="11"/>
        <color theme="1"/>
        <rFont val="Calibri"/>
        <family val="2"/>
        <scheme val="minor"/>
      </rPr>
      <t>Grid</t>
    </r>
    <r>
      <rPr>
        <sz val="11"/>
        <color theme="1"/>
        <rFont val="Calibri"/>
        <family val="2"/>
        <scheme val="minor"/>
      </rPr>
      <t xml:space="preserve"> and that the UI highlight behavior works as expected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</si>
  <si>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From the left-side list panel, select any record.
5. Verify that the corresponding record details are displayed in the Grid.
6. Select a different record from the left-side list and observe:
 -&gt; Grid data update
 -&gt; Highlight behavior of the previously selected record</t>
    </r>
  </si>
  <si>
    <t>1. On selecting a record from the left-side list:
 -&gt; The Grid should display the corresponding record details.
2. When another record is selected:
 -&gt; The grid should refresh dynamically and display the newly selected record.
3. The previously selected record should:
 -&gt; Lose its highlight
 -&gt; Return to default white color
4. Grid entry count should:
 -&gt; Update dynamically based on available records
 -&gt; Show 0 entries if no record exists</t>
  </si>
  <si>
    <t>1. Selected record from the left-side list is not reflecting correctly in the Grid.
2. When another record is selected:
 -&gt; Grid still does not update with the selected record’s data.
 -&gt; Both records remain highlighted.
3. Previously selected record does not return to default (white) color.</t>
  </si>
  <si>
    <t>Sea_Charge_Master_05</t>
  </si>
  <si>
    <r>
      <t xml:space="preserve">Validate that the selected </t>
    </r>
    <r>
      <rPr>
        <b/>
        <sz val="11"/>
        <color theme="1"/>
        <rFont val="Calibri"/>
        <family val="2"/>
        <scheme val="minor"/>
      </rPr>
      <t>record</t>
    </r>
    <r>
      <rPr>
        <sz val="11"/>
        <color theme="1"/>
        <rFont val="Calibri"/>
        <family val="2"/>
        <scheme val="minor"/>
      </rPr>
      <t xml:space="preserve"> from the </t>
    </r>
    <r>
      <rPr>
        <b/>
        <sz val="11"/>
        <color theme="1"/>
        <rFont val="Calibri"/>
        <family val="2"/>
        <scheme val="minor"/>
      </rPr>
      <t>Grid</t>
    </r>
    <r>
      <rPr>
        <sz val="11"/>
        <color theme="1"/>
        <rFont val="Calibri"/>
        <family val="2"/>
        <scheme val="minor"/>
      </rPr>
      <t xml:space="preserve"> is correctly reflected in the corresponding textboxes on the </t>
    </r>
    <r>
      <rPr>
        <b/>
        <sz val="11"/>
        <color theme="1"/>
        <rFont val="Calibri"/>
        <family val="2"/>
        <scheme val="minor"/>
      </rPr>
      <t>Sea Charge Master</t>
    </r>
    <r>
      <rPr>
        <sz val="11"/>
        <color theme="1"/>
        <rFont val="Calibri"/>
        <family val="2"/>
        <scheme val="minor"/>
      </rPr>
      <t xml:space="preserve"> page and that the </t>
    </r>
    <r>
      <rPr>
        <b/>
        <sz val="11"/>
        <color theme="1"/>
        <rFont val="Calibri"/>
        <family val="2"/>
        <scheme val="minor"/>
      </rPr>
      <t xml:space="preserve">Total Entry </t>
    </r>
    <r>
      <rPr>
        <sz val="11"/>
        <color theme="1"/>
        <rFont val="Calibri"/>
        <family val="2"/>
        <scheme val="minor"/>
      </rPr>
      <t>Count updates correctly.</t>
    </r>
  </si>
  <si>
    <t xml:space="preserve">1. Any existing record from the left-side list panel.
2. Corresponding record displayed in the Grid.
</t>
  </si>
  <si>
    <t>1. When a record is selected from the left-side list panel:
 -&gt; The selected record should be displayed correctly in the Grid.
2. When a record is selected from the Grid:
 -&gt; All related data should be populated correctly in the corresponding textboxes.
3. When another record is selected from the left-side list panel:
 -&gt; The previously selected record should lose its highlight and revert to the default (white) color.
4. The Total Entry Count should update dynamically based on the number of records available in the Grid.
 -&gt; If no records are available, the count should display 0.</t>
  </si>
  <si>
    <t>1. The functionality is not working as expected.
2. The selected record from the left-side list panel is not reflected correctly in the Grid.
3. Due to this issue, it is not possible to select the record from the Grid to verify whether the record data is reflected in the corresponding textboxes.
4. The previously selected record remains highlighted in green even after selecting another record from the left-side list panel.</t>
  </si>
  <si>
    <t>Sea_Charge_Master_06</t>
  </si>
  <si>
    <t xml:space="preserve">Charge Master -&gt; Sea Charge
Master
</t>
  </si>
  <si>
    <r>
      <t xml:space="preserve">Validate the functionality of </t>
    </r>
    <r>
      <rPr>
        <b/>
        <sz val="11"/>
        <color theme="1"/>
        <rFont val="Calibri"/>
        <family val="2"/>
        <scheme val="minor"/>
      </rPr>
      <t>'Charge Type'</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</si>
  <si>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Charge Type</t>
    </r>
    <r>
      <rPr>
        <sz val="11"/>
        <color theme="1"/>
        <rFont val="Calibri"/>
        <family val="2"/>
        <scheme val="minor"/>
      </rPr>
      <t xml:space="preserve"> value from the dropdown and observe the system behaviour.</t>
    </r>
  </si>
  <si>
    <r>
      <t xml:space="preserve">Textbox - </t>
    </r>
    <r>
      <rPr>
        <b/>
        <sz val="11"/>
        <color theme="1"/>
        <rFont val="Calibri"/>
        <family val="2"/>
        <scheme val="minor"/>
      </rPr>
      <t>Charge</t>
    </r>
    <r>
      <rPr>
        <sz val="11"/>
        <color theme="1"/>
        <rFont val="Calibri"/>
        <family val="2"/>
        <scheme val="minor"/>
      </rPr>
      <t xml:space="preserve"> </t>
    </r>
    <r>
      <rPr>
        <b/>
        <sz val="11"/>
        <color theme="1"/>
        <rFont val="Calibri"/>
        <family val="2"/>
        <scheme val="minor"/>
      </rPr>
      <t>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Revenue
-&gt; Cost</t>
    </r>
  </si>
  <si>
    <r>
      <t xml:space="preserve">1. Manual input should not be allowed in the </t>
    </r>
    <r>
      <rPr>
        <b/>
        <sz val="11"/>
        <color theme="1"/>
        <rFont val="Calibri"/>
        <family val="2"/>
        <scheme val="minor"/>
      </rPr>
      <t>Charge</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field.
2. User must be able to choose </t>
    </r>
    <r>
      <rPr>
        <b/>
        <sz val="11"/>
        <color theme="1"/>
        <rFont val="Calibri"/>
        <family val="2"/>
        <scheme val="minor"/>
      </rPr>
      <t>Charge</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</si>
  <si>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Charge</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value can be selected only from the dropdown.</t>
    </r>
  </si>
  <si>
    <r>
      <t xml:space="preserve">Validate the functionality of </t>
    </r>
    <r>
      <rPr>
        <b/>
        <sz val="11"/>
        <color theme="1"/>
        <rFont val="Calibri"/>
        <family val="2"/>
        <scheme val="minor"/>
      </rPr>
      <t>'For Carrier'</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</si>
  <si>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t>Sea_Charge_Master_07</t>
  </si>
  <si>
    <r>
      <t xml:space="preserve">Textbox - </t>
    </r>
    <r>
      <rPr>
        <b/>
        <sz val="11"/>
        <color theme="1"/>
        <rFont val="Calibri"/>
        <family val="2"/>
        <scheme val="minor"/>
      </rPr>
      <t>For Carrier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RCL FEEDER PTE LTD
-&gt; AP LOGISTICS</t>
    </r>
  </si>
  <si>
    <r>
      <t xml:space="preserve">1. Functionality is working as expected.
2. </t>
    </r>
    <r>
      <rPr>
        <b/>
        <sz val="11"/>
        <color theme="1"/>
        <rFont val="Calibri"/>
        <family val="2"/>
        <scheme val="minor"/>
      </rPr>
      <t>For Carrier</t>
    </r>
    <r>
      <rPr>
        <sz val="11"/>
        <color theme="1"/>
        <rFont val="Calibri"/>
        <family val="2"/>
        <scheme val="minor"/>
      </rPr>
      <t xml:space="preserve"> value can be selected only from the autosuggest list.</t>
    </r>
  </si>
  <si>
    <r>
      <t xml:space="preserve">1. Manual input should not be allowed in the </t>
    </r>
    <r>
      <rPr>
        <b/>
        <sz val="11"/>
        <color theme="1"/>
        <rFont val="Calibri"/>
        <family val="2"/>
        <scheme val="minor"/>
      </rPr>
      <t>For Carrier</t>
    </r>
    <r>
      <rPr>
        <sz val="11"/>
        <color theme="1"/>
        <rFont val="Calibri"/>
        <family val="2"/>
        <scheme val="minor"/>
      </rPr>
      <t xml:space="preserve"> textbox.
2. The user should be able to select a </t>
    </r>
    <r>
      <rPr>
        <b/>
        <sz val="11"/>
        <color theme="1"/>
        <rFont val="Calibri"/>
        <family val="2"/>
        <scheme val="minor"/>
      </rPr>
      <t>For Carrier</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</si>
  <si>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t>Sea_Charge_Master_08</t>
  </si>
  <si>
    <r>
      <t xml:space="preserve">Validate the functionality of </t>
    </r>
    <r>
      <rPr>
        <b/>
        <sz val="11"/>
        <color theme="1"/>
        <rFont val="Calibri"/>
        <family val="2"/>
        <scheme val="minor"/>
      </rPr>
      <t>'Amount Type'</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</si>
  <si>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Amount Type</t>
    </r>
    <r>
      <rPr>
        <sz val="11"/>
        <color theme="1"/>
        <rFont val="Calibri"/>
        <family val="2"/>
        <scheme val="minor"/>
      </rPr>
      <t xml:space="preserve"> value from the dropdown and observe the system behaviour.</t>
    </r>
  </si>
  <si>
    <r>
      <t xml:space="preserve">Textbox - </t>
    </r>
    <r>
      <rPr>
        <b/>
        <sz val="11"/>
        <color theme="1"/>
        <rFont val="Calibri"/>
        <family val="2"/>
        <scheme val="minor"/>
      </rPr>
      <t>Amount</t>
    </r>
    <r>
      <rPr>
        <sz val="11"/>
        <color theme="1"/>
        <rFont val="Calibri"/>
        <family val="2"/>
        <scheme val="minor"/>
      </rPr>
      <t xml:space="preserve"> </t>
    </r>
    <r>
      <rPr>
        <b/>
        <sz val="11"/>
        <color theme="1"/>
        <rFont val="Calibri"/>
        <family val="2"/>
        <scheme val="minor"/>
      </rPr>
      <t>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Income
-&gt; Expense</t>
    </r>
  </si>
  <si>
    <r>
      <t xml:space="preserve">1. Manual input should not be allowed in the </t>
    </r>
    <r>
      <rPr>
        <b/>
        <sz val="11"/>
        <color theme="1"/>
        <rFont val="Calibri"/>
        <family val="2"/>
        <scheme val="minor"/>
      </rPr>
      <t>Amount</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field.
2. User must be able to choose </t>
    </r>
    <r>
      <rPr>
        <b/>
        <sz val="11"/>
        <color theme="1"/>
        <rFont val="Calibri"/>
        <family val="2"/>
        <scheme val="minor"/>
      </rPr>
      <t>Amount</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</si>
  <si>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Amount</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value can be selected only from the dropdown.</t>
    </r>
  </si>
  <si>
    <t>Sea_Charge_Master_09</t>
  </si>
  <si>
    <r>
      <t xml:space="preserve">Validate the functionality of </t>
    </r>
    <r>
      <rPr>
        <b/>
        <sz val="11"/>
        <color theme="1"/>
        <rFont val="Calibri"/>
        <family val="2"/>
        <scheme val="minor"/>
      </rPr>
      <t>'Destination'</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</si>
  <si>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For Carrier</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</si>
  <si>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Destination</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</si>
  <si>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Destination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ASPER:BEASP</t>
    </r>
  </si>
  <si>
    <r>
      <t xml:space="preserve">1. Manual input should not be allowed in the </t>
    </r>
    <r>
      <rPr>
        <b/>
        <sz val="11"/>
        <color theme="1"/>
        <rFont val="Calibri"/>
        <family val="2"/>
        <scheme val="minor"/>
      </rPr>
      <t>Destination</t>
    </r>
    <r>
      <rPr>
        <sz val="11"/>
        <color theme="1"/>
        <rFont val="Calibri"/>
        <family val="2"/>
        <scheme val="minor"/>
      </rPr>
      <t xml:space="preserve"> textbox.
2. The user should be able to select a </t>
    </r>
    <r>
      <rPr>
        <b/>
        <sz val="11"/>
        <color theme="1"/>
        <rFont val="Calibri"/>
        <family val="2"/>
        <scheme val="minor"/>
      </rPr>
      <t>Destination</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</si>
  <si>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Destination</t>
    </r>
    <r>
      <rPr>
        <sz val="11"/>
        <color theme="1"/>
        <rFont val="Calibri"/>
        <family val="2"/>
        <scheme val="minor"/>
      </rPr>
      <t xml:space="preserve"> value can be selected only from the autosuggest list.</t>
    </r>
  </si>
  <si>
    <t>Sea_Charge_Master_10</t>
  </si>
  <si>
    <r>
      <t xml:space="preserve">Validate the functionality of </t>
    </r>
    <r>
      <rPr>
        <b/>
        <sz val="11"/>
        <color theme="1"/>
        <rFont val="Calibri"/>
        <family val="2"/>
        <scheme val="minor"/>
      </rPr>
      <t>'Origin'</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</si>
  <si>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Origin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</si>
  <si>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Origin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t>
    </r>
  </si>
  <si>
    <r>
      <t xml:space="preserve">1. Manual input should not be allowed in the </t>
    </r>
    <r>
      <rPr>
        <b/>
        <sz val="11"/>
        <color theme="1"/>
        <rFont val="Calibri"/>
        <family val="2"/>
        <scheme val="minor"/>
      </rPr>
      <t>Origin</t>
    </r>
    <r>
      <rPr>
        <sz val="11"/>
        <color theme="1"/>
        <rFont val="Calibri"/>
        <family val="2"/>
        <scheme val="minor"/>
      </rPr>
      <t xml:space="preserve"> textbox.
2. The user should be able to select a </t>
    </r>
    <r>
      <rPr>
        <b/>
        <sz val="11"/>
        <color theme="1"/>
        <rFont val="Calibri"/>
        <family val="2"/>
        <scheme val="minor"/>
      </rPr>
      <t>Origin</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</si>
  <si>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Origin</t>
    </r>
    <r>
      <rPr>
        <sz val="11"/>
        <color theme="1"/>
        <rFont val="Calibri"/>
        <family val="2"/>
        <scheme val="minor"/>
      </rPr>
      <t xml:space="preserve"> value can be selected only from the autosuggest list.</t>
    </r>
  </si>
  <si>
    <t>Sea_Charge_Master_11</t>
  </si>
  <si>
    <r>
      <t xml:space="preserve">Validate the functionality of </t>
    </r>
    <r>
      <rPr>
        <b/>
        <sz val="11"/>
        <color theme="1"/>
        <rFont val="Calibri"/>
        <family val="2"/>
        <scheme val="minor"/>
      </rPr>
      <t>'Segment'</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</si>
  <si>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Segment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</si>
  <si>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Segment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FCL
-&gt; Testing</t>
    </r>
  </si>
  <si>
    <r>
      <t xml:space="preserve">1. Manual input should not be allowed in the </t>
    </r>
    <r>
      <rPr>
        <b/>
        <sz val="11"/>
        <color theme="1"/>
        <rFont val="Calibri"/>
        <family val="2"/>
        <scheme val="minor"/>
      </rPr>
      <t>Segment</t>
    </r>
    <r>
      <rPr>
        <sz val="11"/>
        <color theme="1"/>
        <rFont val="Calibri"/>
        <family val="2"/>
        <scheme val="minor"/>
      </rPr>
      <t xml:space="preserve"> textbox.
2. The user should be able to select a </t>
    </r>
    <r>
      <rPr>
        <b/>
        <sz val="11"/>
        <color theme="1"/>
        <rFont val="Calibri"/>
        <family val="2"/>
        <scheme val="minor"/>
      </rPr>
      <t>Segment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</si>
  <si>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Segment</t>
    </r>
    <r>
      <rPr>
        <sz val="11"/>
        <color theme="1"/>
        <rFont val="Calibri"/>
        <family val="2"/>
        <scheme val="minor"/>
      </rPr>
      <t xml:space="preserve"> value can be selected only from the autosuggest list.</t>
    </r>
  </si>
  <si>
    <t>Sea_Charge_Master_12</t>
  </si>
  <si>
    <r>
      <t xml:space="preserve">Validate the functionality of </t>
    </r>
    <r>
      <rPr>
        <b/>
        <sz val="11"/>
        <color theme="1"/>
        <rFont val="Calibri"/>
        <family val="2"/>
        <scheme val="minor"/>
      </rPr>
      <t>'Description'</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</si>
  <si>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Data in </t>
    </r>
    <r>
      <rPr>
        <b/>
        <sz val="11"/>
        <color theme="1"/>
        <rFont val="Calibri"/>
        <family val="2"/>
        <scheme val="minor"/>
      </rPr>
      <t xml:space="preserve">Description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</si>
  <si>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Description
 -&gt; </t>
    </r>
    <r>
      <rPr>
        <sz val="11"/>
        <color theme="1"/>
        <rFont val="Calibri"/>
        <family val="2"/>
        <scheme val="minor"/>
      </rPr>
      <t>Alphanumeric value with special character.</t>
    </r>
    <r>
      <rPr>
        <b/>
        <sz val="11"/>
        <color theme="1"/>
        <rFont val="Calibri"/>
        <family val="2"/>
        <scheme val="minor"/>
      </rPr>
      <t xml:space="preserve">
</t>
    </r>
  </si>
  <si>
    <r>
      <t xml:space="preserve">1. As per the use case, the </t>
    </r>
    <r>
      <rPr>
        <b/>
        <sz val="11"/>
        <color theme="1"/>
        <rFont val="Calibri"/>
        <family val="2"/>
        <scheme val="minor"/>
      </rPr>
      <t>Description</t>
    </r>
    <r>
      <rPr>
        <sz val="11"/>
        <color theme="1"/>
        <rFont val="Calibri"/>
        <family val="2"/>
        <scheme val="minor"/>
      </rPr>
      <t xml:space="preserve"> textbox should accept alphanumeric values. It should not accept special characters value.
2. The textbox length should be limited to 100 characters.</t>
    </r>
  </si>
  <si>
    <t>1. The Description textbox accepts:
 -&gt; Alphabetic values
 -&gt; Numeric values
 -&gt; Special character values
2. The 100-character limit is implemented correctly.</t>
  </si>
  <si>
    <t>Sea_Charge_Master_13</t>
  </si>
  <si>
    <r>
      <t xml:space="preserve">Validate the functionality of </t>
    </r>
    <r>
      <rPr>
        <b/>
        <sz val="11"/>
        <color theme="1"/>
        <rFont val="Calibri"/>
        <family val="2"/>
        <scheme val="minor"/>
      </rPr>
      <t>'Charge'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</si>
  <si>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Charge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</si>
  <si>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Charge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Brokerage Refund
-&gt; Brokerage</t>
    </r>
  </si>
  <si>
    <r>
      <t xml:space="preserve">1. Manual input should not be allowed in the </t>
    </r>
    <r>
      <rPr>
        <b/>
        <sz val="11"/>
        <color theme="1"/>
        <rFont val="Calibri"/>
        <family val="2"/>
        <scheme val="minor"/>
      </rPr>
      <t>Charge</t>
    </r>
    <r>
      <rPr>
        <sz val="11"/>
        <color theme="1"/>
        <rFont val="Calibri"/>
        <family val="2"/>
        <scheme val="minor"/>
      </rPr>
      <t xml:space="preserve"> textbox.
2. The user should be able to select a </t>
    </r>
    <r>
      <rPr>
        <b/>
        <sz val="11"/>
        <color theme="1"/>
        <rFont val="Calibri"/>
        <family val="2"/>
        <scheme val="minor"/>
      </rPr>
      <t>Charge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</si>
  <si>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Charge</t>
    </r>
    <r>
      <rPr>
        <sz val="11"/>
        <color theme="1"/>
        <rFont val="Calibri"/>
        <family val="2"/>
        <scheme val="minor"/>
      </rPr>
      <t xml:space="preserve"> value can be selected only from the autosuggest list.</t>
    </r>
  </si>
  <si>
    <t>Sea_Charge_Master_14</t>
  </si>
  <si>
    <r>
      <t xml:space="preserve">Validate the functionality of </t>
    </r>
    <r>
      <rPr>
        <b/>
        <sz val="11"/>
        <color theme="1"/>
        <rFont val="Calibri"/>
        <family val="2"/>
        <scheme val="minor"/>
      </rPr>
      <t>'Currency'</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</si>
  <si>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Currency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</si>
  <si>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Currency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EURO
-&gt; Indian National Rupee</t>
    </r>
  </si>
  <si>
    <r>
      <t xml:space="preserve">1. Manual input should not be allowed in the </t>
    </r>
    <r>
      <rPr>
        <b/>
        <sz val="11"/>
        <color theme="1"/>
        <rFont val="Calibri"/>
        <family val="2"/>
        <scheme val="minor"/>
      </rPr>
      <t>Currency</t>
    </r>
    <r>
      <rPr>
        <sz val="11"/>
        <color theme="1"/>
        <rFont val="Calibri"/>
        <family val="2"/>
        <scheme val="minor"/>
      </rPr>
      <t xml:space="preserve"> textbox.
2. The user should be able to select a </t>
    </r>
    <r>
      <rPr>
        <b/>
        <sz val="11"/>
        <color theme="1"/>
        <rFont val="Calibri"/>
        <family val="2"/>
        <scheme val="minor"/>
      </rPr>
      <t>Currency</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</si>
  <si>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t>Sea_Charge_Master_15</t>
  </si>
  <si>
    <r>
      <t xml:space="preserve">Validate the functionality of </t>
    </r>
    <r>
      <rPr>
        <b/>
        <sz val="11"/>
        <color theme="1"/>
        <rFont val="Calibri"/>
        <family val="2"/>
        <scheme val="minor"/>
      </rPr>
      <t>'Unit'</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</si>
  <si>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Unit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</si>
  <si>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Unit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FEET
-&gt; DOZEN</t>
    </r>
  </si>
  <si>
    <r>
      <t xml:space="preserve">1. Manual input should not be allowed in the </t>
    </r>
    <r>
      <rPr>
        <b/>
        <sz val="11"/>
        <color theme="1"/>
        <rFont val="Calibri"/>
        <family val="2"/>
        <scheme val="minor"/>
      </rPr>
      <t>Unit</t>
    </r>
    <r>
      <rPr>
        <sz val="11"/>
        <color theme="1"/>
        <rFont val="Calibri"/>
        <family val="2"/>
        <scheme val="minor"/>
      </rPr>
      <t xml:space="preserve"> textbox.
2. The user should be able to select a </t>
    </r>
    <r>
      <rPr>
        <b/>
        <sz val="11"/>
        <color theme="1"/>
        <rFont val="Calibri"/>
        <family val="2"/>
        <scheme val="minor"/>
      </rPr>
      <t>Unit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</si>
  <si>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t>Sea_Charge_Master_16</t>
  </si>
  <si>
    <r>
      <t>Validate the functionality of the '</t>
    </r>
    <r>
      <rPr>
        <b/>
        <sz val="11"/>
        <color theme="1"/>
        <rFont val="Calibri"/>
        <family val="2"/>
        <scheme val="minor"/>
      </rPr>
      <t xml:space="preserve">Amount Per Unit' </t>
    </r>
    <r>
      <rPr>
        <sz val="11"/>
        <color theme="1"/>
        <rFont val="Calibri"/>
        <family val="2"/>
        <scheme val="minor"/>
      </rPr>
      <t xml:space="preserve">textbox on the </t>
    </r>
    <r>
      <rPr>
        <b/>
        <sz val="11"/>
        <color theme="1"/>
        <rFont val="Calibri"/>
        <family val="2"/>
        <scheme val="minor"/>
      </rPr>
      <t>Sea Charge Master</t>
    </r>
    <r>
      <rPr>
        <sz val="11"/>
        <color theme="1"/>
        <rFont val="Calibri"/>
        <family val="2"/>
        <scheme val="minor"/>
      </rPr>
      <t xml:space="preserve"> page.</t>
    </r>
  </si>
  <si>
    <t>Sea_Charge_Master_17</t>
  </si>
  <si>
    <r>
      <t>Validate the functionality of the '</t>
    </r>
    <r>
      <rPr>
        <b/>
        <sz val="11"/>
        <color theme="1"/>
        <rFont val="Calibri"/>
        <family val="2"/>
        <scheme val="minor"/>
      </rPr>
      <t>Min.</t>
    </r>
    <r>
      <rPr>
        <sz val="11"/>
        <color theme="1"/>
        <rFont val="Calibri"/>
        <family val="2"/>
        <scheme val="minor"/>
      </rPr>
      <t xml:space="preserve"> </t>
    </r>
    <r>
      <rPr>
        <b/>
        <sz val="11"/>
        <color theme="1"/>
        <rFont val="Calibri"/>
        <family val="2"/>
        <scheme val="minor"/>
      </rPr>
      <t xml:space="preserve">Amount' </t>
    </r>
    <r>
      <rPr>
        <sz val="11"/>
        <color theme="1"/>
        <rFont val="Calibri"/>
        <family val="2"/>
        <scheme val="minor"/>
      </rPr>
      <t xml:space="preserve">textbox on the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</si>
  <si>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and invalid data in the </t>
    </r>
    <r>
      <rPr>
        <b/>
        <sz val="11"/>
        <color theme="1"/>
        <rFont val="Calibri"/>
        <family val="2"/>
        <scheme val="minor"/>
      </rPr>
      <t>Amount Per Unit</t>
    </r>
    <r>
      <rPr>
        <sz val="11"/>
        <color theme="1"/>
        <rFont val="Calibri"/>
        <family val="2"/>
        <scheme val="minor"/>
      </rPr>
      <t xml:space="preserve"> textbox.
5. Observe the system behavior.</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</si>
  <si>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and invalid data in the </t>
    </r>
    <r>
      <rPr>
        <b/>
        <sz val="11"/>
        <color theme="1"/>
        <rFont val="Calibri"/>
        <family val="2"/>
        <scheme val="minor"/>
      </rPr>
      <t xml:space="preserve">Min. Amount </t>
    </r>
    <r>
      <rPr>
        <sz val="11"/>
        <color theme="1"/>
        <rFont val="Calibri"/>
        <family val="2"/>
        <scheme val="minor"/>
      </rPr>
      <t>textbox.
5. Observe the system behavior.</t>
    </r>
  </si>
  <si>
    <t>Sea_Charge_Master_18</t>
  </si>
  <si>
    <r>
      <t>Validate the functionality of the '</t>
    </r>
    <r>
      <rPr>
        <b/>
        <sz val="11"/>
        <color theme="1"/>
        <rFont val="Calibri"/>
        <family val="2"/>
        <scheme val="minor"/>
      </rPr>
      <t xml:space="preserve">Rate' </t>
    </r>
    <r>
      <rPr>
        <sz val="11"/>
        <color theme="1"/>
        <rFont val="Calibri"/>
        <family val="2"/>
        <scheme val="minor"/>
      </rPr>
      <t xml:space="preserve">textbox on the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</si>
  <si>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and invalid data in the</t>
    </r>
    <r>
      <rPr>
        <b/>
        <sz val="11"/>
        <color theme="1"/>
        <rFont val="Calibri"/>
        <family val="2"/>
        <scheme val="minor"/>
      </rPr>
      <t xml:space="preserve"> Rate </t>
    </r>
    <r>
      <rPr>
        <sz val="11"/>
        <color theme="1"/>
        <rFont val="Calibri"/>
        <family val="2"/>
        <scheme val="minor"/>
      </rPr>
      <t>textbox.
5. Observe the system behavior.</t>
    </r>
  </si>
  <si>
    <r>
      <rPr>
        <b/>
        <sz val="11"/>
        <color theme="1"/>
        <rFont val="Calibri"/>
        <family val="2"/>
        <scheme val="minor"/>
      </rPr>
      <t xml:space="preserve">Textbox </t>
    </r>
    <r>
      <rPr>
        <sz val="11"/>
        <color theme="1"/>
        <rFont val="Calibri"/>
        <family val="2"/>
        <scheme val="minor"/>
      </rPr>
      <t xml:space="preserve">- Amount Per Unit
</t>
    </r>
    <r>
      <rPr>
        <b/>
        <sz val="11"/>
        <color theme="1"/>
        <rFont val="Calibri"/>
        <family val="2"/>
        <scheme val="minor"/>
      </rPr>
      <t>Valid Data</t>
    </r>
    <r>
      <rPr>
        <sz val="11"/>
        <color theme="1"/>
        <rFont val="Calibri"/>
        <family val="2"/>
        <scheme val="minor"/>
      </rPr>
      <t xml:space="preserve"> - 10.02, 12345, 123.5 etc.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</si>
  <si>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The </t>
    </r>
    <r>
      <rPr>
        <b/>
        <sz val="11"/>
        <color theme="1"/>
        <rFont val="Calibri"/>
        <family val="2"/>
        <scheme val="minor"/>
      </rPr>
      <t>Amount Per Unit</t>
    </r>
    <r>
      <rPr>
        <sz val="11"/>
        <color theme="1"/>
        <rFont val="Calibri"/>
        <family val="2"/>
        <scheme val="minor"/>
      </rPr>
      <t xml:space="preserve"> textbox should accept </t>
    </r>
    <r>
      <rPr>
        <b/>
        <sz val="11"/>
        <color theme="1"/>
        <rFont val="Calibri"/>
        <family val="2"/>
        <scheme val="minor"/>
      </rPr>
      <t>numeric values only</t>
    </r>
    <r>
      <rPr>
        <sz val="11"/>
        <color theme="1"/>
        <rFont val="Calibri"/>
        <family val="2"/>
        <scheme val="minor"/>
      </rPr>
      <t xml:space="preserve">.
2. The textbox should not accept:
 -&gt; Only space values
 -&gt; Alphabetic values
 -&gt; Special characters (except the decimal point .)
 -&gt; Alphanumeric values with special characters and spaces
2. The </t>
    </r>
    <r>
      <rPr>
        <b/>
        <sz val="11"/>
        <color theme="1"/>
        <rFont val="Calibri"/>
        <family val="2"/>
        <scheme val="minor"/>
      </rPr>
      <t xml:space="preserve">decimal point (.) </t>
    </r>
    <r>
      <rPr>
        <sz val="11"/>
        <color theme="1"/>
        <rFont val="Calibri"/>
        <family val="2"/>
        <scheme val="minor"/>
      </rPr>
      <t xml:space="preserve">should be allowed.
3. Only </t>
    </r>
    <r>
      <rPr>
        <b/>
        <sz val="11"/>
        <color theme="1"/>
        <rFont val="Calibri"/>
        <family val="2"/>
        <scheme val="minor"/>
      </rPr>
      <t>one decimal point</t>
    </r>
    <r>
      <rPr>
        <sz val="11"/>
        <color theme="1"/>
        <rFont val="Calibri"/>
        <family val="2"/>
        <scheme val="minor"/>
      </rPr>
      <t xml:space="preserve"> should be allowed.
4. If a decimal point is entered without any value after it, the decimal point should be automatically cleared.</t>
    </r>
  </si>
  <si>
    <t>1. The functionality is not working as expected.
2. The Amount Per Unit textbox accepts all types of values, including:
 -&gt; Numeric values
 -&gt; Alphabetic values
 -&gt; Special characters
 -&gt; Combination of characters
3. The textbox allows input of up to 20 characters.
4. More than one decimal point is allowed.
5. If no value is entered after the decimal point, it is not cleared automatically.</t>
  </si>
  <si>
    <r>
      <rPr>
        <b/>
        <sz val="11"/>
        <color theme="1"/>
        <rFont val="Calibri"/>
        <family val="2"/>
        <scheme val="minor"/>
      </rPr>
      <t xml:space="preserve">Textbox </t>
    </r>
    <r>
      <rPr>
        <sz val="11"/>
        <color theme="1"/>
        <rFont val="Calibri"/>
        <family val="2"/>
        <scheme val="minor"/>
      </rPr>
      <t xml:space="preserve">- Min. Amount 
</t>
    </r>
    <r>
      <rPr>
        <b/>
        <sz val="11"/>
        <color theme="1"/>
        <rFont val="Calibri"/>
        <family val="2"/>
        <scheme val="minor"/>
      </rPr>
      <t>Valid Data</t>
    </r>
    <r>
      <rPr>
        <sz val="11"/>
        <color theme="1"/>
        <rFont val="Calibri"/>
        <family val="2"/>
        <scheme val="minor"/>
      </rPr>
      <t xml:space="preserve"> - 10.02, 12345, 123.5 etc.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</si>
  <si>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The </t>
    </r>
    <r>
      <rPr>
        <b/>
        <sz val="11"/>
        <color theme="1"/>
        <rFont val="Calibri"/>
        <family val="2"/>
        <scheme val="minor"/>
      </rPr>
      <t>Min. Amount</t>
    </r>
    <r>
      <rPr>
        <sz val="11"/>
        <color theme="1"/>
        <rFont val="Calibri"/>
        <family val="2"/>
        <scheme val="minor"/>
      </rPr>
      <t xml:space="preserve"> textbox should accept numeric values only.
2. The textbox should not accept:
 -&gt; Only space values
 -&gt; Alphabetic values
 -&gt; Special characters (</t>
    </r>
    <r>
      <rPr>
        <b/>
        <sz val="11"/>
        <color theme="1"/>
        <rFont val="Calibri"/>
        <family val="2"/>
        <scheme val="minor"/>
      </rPr>
      <t>except decimal point .</t>
    </r>
    <r>
      <rPr>
        <sz val="11"/>
        <color theme="1"/>
        <rFont val="Calibri"/>
        <family val="2"/>
        <scheme val="minor"/>
      </rPr>
      <t xml:space="preserve">)
 -&gt; Alphanumeric values with special characters and spaces
3. </t>
    </r>
    <r>
      <rPr>
        <b/>
        <sz val="11"/>
        <color theme="1"/>
        <rFont val="Calibri"/>
        <family val="2"/>
        <scheme val="minor"/>
      </rPr>
      <t>Only one decimal point (.)</t>
    </r>
    <r>
      <rPr>
        <sz val="11"/>
        <color theme="1"/>
        <rFont val="Calibri"/>
        <family val="2"/>
        <scheme val="minor"/>
      </rPr>
      <t xml:space="preserve"> should be allowed.
4. The </t>
    </r>
    <r>
      <rPr>
        <b/>
        <sz val="11"/>
        <color theme="1"/>
        <rFont val="Calibri"/>
        <family val="2"/>
        <scheme val="minor"/>
      </rPr>
      <t>Min. Amount</t>
    </r>
    <r>
      <rPr>
        <sz val="11"/>
        <color theme="1"/>
        <rFont val="Calibri"/>
        <family val="2"/>
        <scheme val="minor"/>
      </rPr>
      <t xml:space="preserve"> textbox should have a </t>
    </r>
    <r>
      <rPr>
        <b/>
        <sz val="11"/>
        <color theme="1"/>
        <rFont val="Calibri"/>
        <family val="2"/>
        <scheme val="minor"/>
      </rPr>
      <t>maximum character limit of 8</t>
    </r>
    <r>
      <rPr>
        <sz val="11"/>
        <color theme="1"/>
        <rFont val="Calibri"/>
        <family val="2"/>
        <scheme val="minor"/>
      </rPr>
      <t>.
5. If a decimal point is entered without any value after it, the decimal point should be automatically cleared.</t>
    </r>
  </si>
  <si>
    <r>
      <t xml:space="preserve">1. The </t>
    </r>
    <r>
      <rPr>
        <b/>
        <sz val="11"/>
        <color rgb="FF9C6500"/>
        <rFont val="Calibri"/>
        <family val="2"/>
        <scheme val="minor"/>
      </rPr>
      <t xml:space="preserve">Min. Amount </t>
    </r>
    <r>
      <rPr>
        <sz val="11"/>
        <color rgb="FF9C6500"/>
        <rFont val="Calibri"/>
        <family val="2"/>
        <scheme val="minor"/>
      </rPr>
      <t xml:space="preserve">textbox accepts numeric values and </t>
    </r>
    <r>
      <rPr>
        <b/>
        <sz val="11"/>
        <color rgb="FF9C6500"/>
        <rFont val="Calibri"/>
        <family val="2"/>
        <scheme val="minor"/>
      </rPr>
      <t>a decimal point (.)</t>
    </r>
    <r>
      <rPr>
        <sz val="11"/>
        <color rgb="FF9C6500"/>
        <rFont val="Calibri"/>
        <family val="2"/>
        <scheme val="minor"/>
      </rPr>
      <t>.
2. Invalid inputs such as spaces, alphabets, and special characters are correctly restricted.
3. The character limit is not implemented correctly:
 -&gt; Without decimal: accepts 8-digit numeric values
 -&gt; With decimal: accepts up to 10 characters (e.g., 12345678.1)
4. If a decimal point is entered without any value after it (e.g., 123.), the decimal point is not cleared automatically.</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</si>
  <si>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Rate 
</t>
    </r>
    <r>
      <rPr>
        <b/>
        <sz val="11"/>
        <color theme="1"/>
        <rFont val="Calibri"/>
        <family val="2"/>
        <scheme val="minor"/>
      </rPr>
      <t xml:space="preserve"> Valid Data:
</t>
    </r>
    <r>
      <rPr>
        <sz val="11"/>
        <color theme="1"/>
        <rFont val="Calibri"/>
        <family val="2"/>
        <scheme val="minor"/>
      </rPr>
      <t xml:space="preserve"> -&gt; Numeric Value and Decimal Value
</t>
    </r>
    <r>
      <rPr>
        <b/>
        <sz val="11"/>
        <color theme="1"/>
        <rFont val="Calibri"/>
        <family val="2"/>
        <scheme val="minor"/>
      </rPr>
      <t xml:space="preserve">Invalid Data:
 </t>
    </r>
    <r>
      <rPr>
        <sz val="11"/>
        <color theme="1"/>
        <rFont val="Calibri"/>
        <family val="2"/>
        <scheme val="minor"/>
      </rPr>
      <t>-&gt; Alphabetic Value
 -&gt; Special character and Only Space Value</t>
    </r>
  </si>
  <si>
    <r>
      <t xml:space="preserve">1. The </t>
    </r>
    <r>
      <rPr>
        <b/>
        <sz val="11"/>
        <color theme="1"/>
        <rFont val="Calibri"/>
        <family val="2"/>
        <scheme val="minor"/>
      </rPr>
      <t>Rate</t>
    </r>
    <r>
      <rPr>
        <sz val="11"/>
        <color theme="1"/>
        <rFont val="Calibri"/>
        <family val="2"/>
        <scheme val="minor"/>
      </rPr>
      <t xml:space="preserve"> textbox should accept numeric values only.
2. The textbox should not accept:
 -&gt; Only space values
 -&gt; Alphabetic values
 -&gt; Special characters (</t>
    </r>
    <r>
      <rPr>
        <b/>
        <sz val="11"/>
        <color theme="1"/>
        <rFont val="Calibri"/>
        <family val="2"/>
        <scheme val="minor"/>
      </rPr>
      <t>except decimal point .</t>
    </r>
    <r>
      <rPr>
        <sz val="11"/>
        <color theme="1"/>
        <rFont val="Calibri"/>
        <family val="2"/>
        <scheme val="minor"/>
      </rPr>
      <t xml:space="preserve">)
 -&gt; Alphanumeric values with special characters and spaces
3. </t>
    </r>
    <r>
      <rPr>
        <b/>
        <sz val="11"/>
        <color theme="1"/>
        <rFont val="Calibri"/>
        <family val="2"/>
        <scheme val="minor"/>
      </rPr>
      <t>Only one decimal point (.)</t>
    </r>
    <r>
      <rPr>
        <sz val="11"/>
        <color theme="1"/>
        <rFont val="Calibri"/>
        <family val="2"/>
        <scheme val="minor"/>
      </rPr>
      <t xml:space="preserve"> should be allowed.
4. The </t>
    </r>
    <r>
      <rPr>
        <b/>
        <sz val="11"/>
        <color theme="1"/>
        <rFont val="Calibri"/>
        <family val="2"/>
        <scheme val="minor"/>
      </rPr>
      <t>Rate</t>
    </r>
    <r>
      <rPr>
        <sz val="11"/>
        <color theme="1"/>
        <rFont val="Calibri"/>
        <family val="2"/>
        <scheme val="minor"/>
      </rPr>
      <t xml:space="preserve"> textbox should have a </t>
    </r>
    <r>
      <rPr>
        <b/>
        <sz val="11"/>
        <color theme="1"/>
        <rFont val="Calibri"/>
        <family val="2"/>
        <scheme val="minor"/>
      </rPr>
      <t>maximum character limit of 5</t>
    </r>
    <r>
      <rPr>
        <sz val="11"/>
        <color theme="1"/>
        <rFont val="Calibri"/>
        <family val="2"/>
        <scheme val="minor"/>
      </rPr>
      <t>.
5. If a decimal point is entered without any value after it, the decimal point should be automatically cleared.</t>
    </r>
  </si>
  <si>
    <r>
      <t xml:space="preserve">1. The </t>
    </r>
    <r>
      <rPr>
        <b/>
        <sz val="11"/>
        <color rgb="FF9C6500"/>
        <rFont val="Calibri"/>
        <family val="2"/>
        <scheme val="minor"/>
      </rPr>
      <t xml:space="preserve">Rate </t>
    </r>
    <r>
      <rPr>
        <sz val="11"/>
        <color rgb="FF9C6500"/>
        <rFont val="Calibri"/>
        <family val="2"/>
        <scheme val="minor"/>
      </rPr>
      <t xml:space="preserve">textbox accepts numeric values and </t>
    </r>
    <r>
      <rPr>
        <b/>
        <sz val="11"/>
        <color rgb="FF9C6500"/>
        <rFont val="Calibri"/>
        <family val="2"/>
        <scheme val="minor"/>
      </rPr>
      <t>a decimal point (.)</t>
    </r>
    <r>
      <rPr>
        <sz val="11"/>
        <color rgb="FF9C6500"/>
        <rFont val="Calibri"/>
        <family val="2"/>
        <scheme val="minor"/>
      </rPr>
      <t>.
2. Invalid inputs such as spaces, alphabets, and special characters are correctly restricted.
3. The character limit is not implemented correctly:
 -&gt; Without decimal: accepts 5-digit numeric values
 -&gt; With decimal: accepts up to 8 characters (e.g., 12345.12)
4. If a decimal point is entered without any value after it (e.g., 123.), the decimal point is not cleared automatically.</t>
    </r>
  </si>
  <si>
    <t>Sea_Charge_Master_19</t>
  </si>
  <si>
    <r>
      <t>Validate the functionality of the '</t>
    </r>
    <r>
      <rPr>
        <b/>
        <sz val="11"/>
        <color theme="1"/>
        <rFont val="Calibri"/>
        <family val="2"/>
        <scheme val="minor"/>
      </rPr>
      <t xml:space="preserve">Cost Center Code' </t>
    </r>
    <r>
      <rPr>
        <sz val="11"/>
        <color theme="1"/>
        <rFont val="Calibri"/>
        <family val="2"/>
        <scheme val="minor"/>
      </rPr>
      <t xml:space="preserve">textbox on the </t>
    </r>
    <r>
      <rPr>
        <b/>
        <sz val="11"/>
        <color theme="1"/>
        <rFont val="Calibri"/>
        <family val="2"/>
        <scheme val="minor"/>
      </rPr>
      <t>Sea Charge Master</t>
    </r>
    <r>
      <rPr>
        <sz val="11"/>
        <color theme="1"/>
        <rFont val="Calibri"/>
        <family val="2"/>
        <scheme val="minor"/>
      </rPr>
      <t xml:space="preserve"> page.</t>
    </r>
  </si>
  <si>
    <t xml:space="preserve">1. Functionality is working as expected.
2. </t>
  </si>
  <si>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Observe how the system is autopopulating Cost Center Code.</t>
    </r>
  </si>
  <si>
    <t>Sea_Charge_Master_20</t>
  </si>
  <si>
    <r>
      <t>Validate the functionality of the '</t>
    </r>
    <r>
      <rPr>
        <b/>
        <sz val="11"/>
        <color theme="1"/>
        <rFont val="Calibri"/>
        <family val="2"/>
        <scheme val="minor"/>
      </rPr>
      <t xml:space="preserve">Msp Amount' </t>
    </r>
    <r>
      <rPr>
        <sz val="11"/>
        <color theme="1"/>
        <rFont val="Calibri"/>
        <family val="2"/>
        <scheme val="minor"/>
      </rPr>
      <t xml:space="preserve">textbox on the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</si>
  <si>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and invalid data in the</t>
    </r>
    <r>
      <rPr>
        <b/>
        <sz val="11"/>
        <color theme="1"/>
        <rFont val="Calibri"/>
        <family val="2"/>
        <scheme val="minor"/>
      </rPr>
      <t xml:space="preserve"> Msp Amount </t>
    </r>
    <r>
      <rPr>
        <sz val="11"/>
        <color theme="1"/>
        <rFont val="Calibri"/>
        <family val="2"/>
        <scheme val="minor"/>
      </rPr>
      <t>textbox.
5. Observe the system behavior.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</si>
  <si>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Msp Amount 
</t>
    </r>
    <r>
      <rPr>
        <b/>
        <sz val="11"/>
        <color theme="1"/>
        <rFont val="Calibri"/>
        <family val="2"/>
        <scheme val="minor"/>
      </rPr>
      <t xml:space="preserve"> Valid Data:
</t>
    </r>
    <r>
      <rPr>
        <sz val="11"/>
        <color theme="1"/>
        <rFont val="Calibri"/>
        <family val="2"/>
        <scheme val="minor"/>
      </rPr>
      <t xml:space="preserve"> -&gt; Numeric Value and Decimal Value
</t>
    </r>
    <r>
      <rPr>
        <b/>
        <sz val="11"/>
        <color theme="1"/>
        <rFont val="Calibri"/>
        <family val="2"/>
        <scheme val="minor"/>
      </rPr>
      <t xml:space="preserve">Invalid Data:
 </t>
    </r>
    <r>
      <rPr>
        <sz val="11"/>
        <color theme="1"/>
        <rFont val="Calibri"/>
        <family val="2"/>
        <scheme val="minor"/>
      </rPr>
      <t>-&gt; Alphabetic Value
 -&gt; Special character and Only Space Value</t>
    </r>
  </si>
  <si>
    <r>
      <t xml:space="preserve">1. The </t>
    </r>
    <r>
      <rPr>
        <b/>
        <sz val="11"/>
        <color theme="1"/>
        <rFont val="Calibri"/>
        <family val="2"/>
        <scheme val="minor"/>
      </rPr>
      <t>Msp Amount</t>
    </r>
    <r>
      <rPr>
        <sz val="11"/>
        <color theme="1"/>
        <rFont val="Calibri"/>
        <family val="2"/>
        <scheme val="minor"/>
      </rPr>
      <t xml:space="preserve"> textbox should accept numeric values only.
2. The textbox should not accept:
 -&gt; Only space values
 -&gt; Alphabetic values
 -&gt; Special characters (</t>
    </r>
    <r>
      <rPr>
        <b/>
        <sz val="11"/>
        <color theme="1"/>
        <rFont val="Calibri"/>
        <family val="2"/>
        <scheme val="minor"/>
      </rPr>
      <t>except decimal point .</t>
    </r>
    <r>
      <rPr>
        <sz val="11"/>
        <color theme="1"/>
        <rFont val="Calibri"/>
        <family val="2"/>
        <scheme val="minor"/>
      </rPr>
      <t xml:space="preserve">)
 -&gt; Alphanumeric values with special characters and spaces
3. </t>
    </r>
    <r>
      <rPr>
        <b/>
        <sz val="11"/>
        <color theme="1"/>
        <rFont val="Calibri"/>
        <family val="2"/>
        <scheme val="minor"/>
      </rPr>
      <t>Only one decimal point (.)</t>
    </r>
    <r>
      <rPr>
        <sz val="11"/>
        <color theme="1"/>
        <rFont val="Calibri"/>
        <family val="2"/>
        <scheme val="minor"/>
      </rPr>
      <t xml:space="preserve"> should be allowed.
4. The </t>
    </r>
    <r>
      <rPr>
        <b/>
        <sz val="11"/>
        <color theme="1"/>
        <rFont val="Calibri"/>
        <family val="2"/>
        <scheme val="minor"/>
      </rPr>
      <t>Msp Amount</t>
    </r>
    <r>
      <rPr>
        <sz val="11"/>
        <color theme="1"/>
        <rFont val="Calibri"/>
        <family val="2"/>
        <scheme val="minor"/>
      </rPr>
      <t xml:space="preserve"> textbox should have a </t>
    </r>
    <r>
      <rPr>
        <b/>
        <sz val="11"/>
        <color theme="1"/>
        <rFont val="Calibri"/>
        <family val="2"/>
        <scheme val="minor"/>
      </rPr>
      <t>maximum character limit of 7</t>
    </r>
    <r>
      <rPr>
        <sz val="11"/>
        <color theme="1"/>
        <rFont val="Calibri"/>
        <family val="2"/>
        <scheme val="minor"/>
      </rPr>
      <t>.
5. If a decimal point is entered without any value after it, the decimal point should be automatically cleared.</t>
    </r>
  </si>
  <si>
    <r>
      <t xml:space="preserve">1. The </t>
    </r>
    <r>
      <rPr>
        <b/>
        <sz val="11"/>
        <color rgb="FF9C6500"/>
        <rFont val="Calibri"/>
        <family val="2"/>
        <scheme val="minor"/>
      </rPr>
      <t xml:space="preserve">Msp Amount </t>
    </r>
    <r>
      <rPr>
        <sz val="11"/>
        <color rgb="FF9C6500"/>
        <rFont val="Calibri"/>
        <family val="2"/>
        <scheme val="minor"/>
      </rPr>
      <t xml:space="preserve">textbox accepts numeric values and </t>
    </r>
    <r>
      <rPr>
        <b/>
        <sz val="11"/>
        <color rgb="FF9C6500"/>
        <rFont val="Calibri"/>
        <family val="2"/>
        <scheme val="minor"/>
      </rPr>
      <t>a decimal point (.)</t>
    </r>
    <r>
      <rPr>
        <sz val="11"/>
        <color rgb="FF9C6500"/>
        <rFont val="Calibri"/>
        <family val="2"/>
        <scheme val="minor"/>
      </rPr>
      <t>.
2. Invalid inputs such as spaces, alphabets, and special characters are correctly restricted.
3. The character limit is not implemented correctly:
 -&gt; Without decimal: accepts 7-digit numeric values
 -&gt; With decimal: accepts up to 10 characters (e.g., 1234567.12)
4. If a decimal point is entered without any value after it (e.g., 123.), the decimal point is not cleared automatically.</t>
    </r>
  </si>
  <si>
    <t>Sea_Charge_Master_21</t>
  </si>
  <si>
    <r>
      <t xml:space="preserve">Validate the functionality of </t>
    </r>
    <r>
      <rPr>
        <b/>
        <sz val="11"/>
        <color theme="1"/>
        <rFont val="Calibri"/>
        <family val="2"/>
        <scheme val="minor"/>
      </rPr>
      <t>'Division'</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</si>
  <si>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Data in </t>
    </r>
    <r>
      <rPr>
        <b/>
        <sz val="11"/>
        <color theme="1"/>
        <rFont val="Calibri"/>
        <family val="2"/>
        <scheme val="minor"/>
      </rPr>
      <t xml:space="preserve">Division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</si>
  <si>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Division</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r>
      <rPr>
        <b/>
        <sz val="11"/>
        <color theme="1"/>
        <rFont val="Calibri"/>
        <family val="2"/>
        <scheme val="minor"/>
      </rPr>
      <t xml:space="preserve">
</t>
    </r>
  </si>
  <si>
    <t>1. As per the use case, the Division textbox should accept alphanumeric values.
2. Division textbox should not accept special character value, only space value and combination of character value.
2. The textbox length should be limited to 50 characters.</t>
  </si>
  <si>
    <t>Sea_Charge_Master_22</t>
  </si>
  <si>
    <r>
      <t xml:space="preserve">Validate the functionality of </t>
    </r>
    <r>
      <rPr>
        <b/>
        <sz val="11"/>
        <color theme="1"/>
        <rFont val="Calibri"/>
        <family val="2"/>
        <scheme val="minor"/>
      </rPr>
      <t>'INCO Group Code'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</si>
  <si>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Data in </t>
    </r>
    <r>
      <rPr>
        <b/>
        <sz val="11"/>
        <color theme="1"/>
        <rFont val="Calibri"/>
        <family val="2"/>
        <scheme val="minor"/>
      </rPr>
      <t xml:space="preserve">INCO Group Code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</si>
  <si>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INCO Group Code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</si>
  <si>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INCO Group Code</t>
    </r>
    <r>
      <rPr>
        <sz val="11"/>
        <color theme="1"/>
        <rFont val="Calibri"/>
        <family val="2"/>
        <scheme val="minor"/>
      </rPr>
      <t xml:space="preserve"> textbox should accept alphanumeric values.
2. </t>
    </r>
    <r>
      <rPr>
        <b/>
        <sz val="11"/>
        <color theme="1"/>
        <rFont val="Calibri"/>
        <family val="2"/>
        <scheme val="minor"/>
      </rPr>
      <t>INCO Group Code</t>
    </r>
    <r>
      <rPr>
        <sz val="11"/>
        <color theme="1"/>
        <rFont val="Calibri"/>
        <family val="2"/>
        <scheme val="minor"/>
      </rPr>
      <t xml:space="preserve"> textbox should not accept special character value, only space value and combination of character value.
2. The textbox length should be limited to 20 characters.</t>
    </r>
  </si>
  <si>
    <r>
      <t xml:space="preserve">1. The </t>
    </r>
    <r>
      <rPr>
        <b/>
        <sz val="11"/>
        <color theme="1"/>
        <rFont val="Calibri"/>
        <family val="2"/>
        <scheme val="minor"/>
      </rPr>
      <t>INCO Group Code</t>
    </r>
    <r>
      <rPr>
        <sz val="11"/>
        <color theme="1"/>
        <rFont val="Calibri"/>
        <family val="2"/>
        <scheme val="minor"/>
      </rPr>
      <t xml:space="preserve"> textbox accepts:
 -&gt; Alphabetic values
 -&gt; Numeric values
 -&gt; Special character values
2. The 20-character limit is implemented correctly.</t>
    </r>
  </si>
  <si>
    <t>Sea_Charge_Master_23</t>
  </si>
  <si>
    <r>
      <t xml:space="preserve">Validate the functionality of </t>
    </r>
    <r>
      <rPr>
        <b/>
        <sz val="11"/>
        <color theme="1"/>
        <rFont val="Calibri"/>
        <family val="2"/>
        <scheme val="minor"/>
      </rPr>
      <t>'Basis'</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</si>
  <si>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Textbox - </t>
    </r>
    <r>
      <rPr>
        <b/>
        <sz val="11"/>
        <color theme="1"/>
        <rFont val="Calibri"/>
        <family val="2"/>
        <scheme val="minor"/>
      </rPr>
      <t>Basis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Gross Wt.
-&gt; Net Wt.</t>
    </r>
  </si>
  <si>
    <t>Sea_Charge_Master_24</t>
  </si>
  <si>
    <r>
      <t xml:space="preserve">Validate the functionality of </t>
    </r>
    <r>
      <rPr>
        <b/>
        <sz val="11"/>
        <color theme="1"/>
        <rFont val="Calibri"/>
        <family val="2"/>
        <scheme val="minor"/>
      </rPr>
      <t>'TOS'</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</si>
  <si>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TOS</t>
    </r>
    <r>
      <rPr>
        <sz val="11"/>
        <color theme="1"/>
        <rFont val="Calibri"/>
        <family val="2"/>
        <scheme val="minor"/>
      </rPr>
      <t xml:space="preserve"> value from the dropdown and observe the system behaviour.</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</si>
  <si>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Basis</t>
    </r>
    <r>
      <rPr>
        <sz val="11"/>
        <color theme="1"/>
        <rFont val="Calibri"/>
        <family val="2"/>
        <scheme val="minor"/>
      </rPr>
      <t xml:space="preserve"> value from the dropdown and observe the system behaviour.</t>
    </r>
  </si>
  <si>
    <r>
      <t xml:space="preserve">Textbox - </t>
    </r>
    <r>
      <rPr>
        <b/>
        <sz val="11"/>
        <color theme="1"/>
        <rFont val="Calibri"/>
        <family val="2"/>
        <scheme val="minor"/>
      </rPr>
      <t>TOS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EXW
-&gt; FCA etc.</t>
    </r>
  </si>
  <si>
    <r>
      <t xml:space="preserve">1. Manual input should not be allowed in the </t>
    </r>
    <r>
      <rPr>
        <b/>
        <sz val="11"/>
        <color theme="1"/>
        <rFont val="Calibri"/>
        <family val="2"/>
        <scheme val="minor"/>
      </rPr>
      <t>TOS</t>
    </r>
    <r>
      <rPr>
        <sz val="11"/>
        <color theme="1"/>
        <rFont val="Calibri"/>
        <family val="2"/>
        <scheme val="minor"/>
      </rPr>
      <t xml:space="preserve"> field.
2. User must be able to choose </t>
    </r>
    <r>
      <rPr>
        <b/>
        <sz val="11"/>
        <color theme="1"/>
        <rFont val="Calibri"/>
        <family val="2"/>
        <scheme val="minor"/>
      </rPr>
      <t>TOS</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</si>
  <si>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TOS</t>
    </r>
    <r>
      <rPr>
        <sz val="11"/>
        <color theme="1"/>
        <rFont val="Calibri"/>
        <family val="2"/>
        <scheme val="minor"/>
      </rPr>
      <t xml:space="preserve"> value can be selected only from the dropdown.</t>
    </r>
  </si>
  <si>
    <t>Sea_Charge_Master_25</t>
  </si>
  <si>
    <r>
      <t xml:space="preserve">Validate the functionality of </t>
    </r>
    <r>
      <rPr>
        <b/>
        <sz val="11"/>
        <color theme="1"/>
        <rFont val="Calibri"/>
        <family val="2"/>
        <scheme val="minor"/>
      </rPr>
      <t>'CFS'</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</si>
  <si>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CFS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</si>
  <si>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CFS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HANS CFS
-&gt; AMIN MACHINERY PVT. LTD.</t>
    </r>
  </si>
  <si>
    <r>
      <t xml:space="preserve">1. Manual input should not be allowed in the </t>
    </r>
    <r>
      <rPr>
        <b/>
        <sz val="11"/>
        <color theme="1"/>
        <rFont val="Calibri"/>
        <family val="2"/>
        <scheme val="minor"/>
      </rPr>
      <t>CFS</t>
    </r>
    <r>
      <rPr>
        <sz val="11"/>
        <color theme="1"/>
        <rFont val="Calibri"/>
        <family val="2"/>
        <scheme val="minor"/>
      </rPr>
      <t xml:space="preserve"> textbox.
2. The user should be able to select a </t>
    </r>
    <r>
      <rPr>
        <b/>
        <sz val="11"/>
        <color theme="1"/>
        <rFont val="Calibri"/>
        <family val="2"/>
        <scheme val="minor"/>
      </rPr>
      <t>CFS</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</si>
  <si>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CFS</t>
    </r>
    <r>
      <rPr>
        <sz val="11"/>
        <color theme="1"/>
        <rFont val="Calibri"/>
        <family val="2"/>
        <scheme val="minor"/>
      </rPr>
      <t xml:space="preserve"> value can be selected only from the autosuggest list.</t>
    </r>
  </si>
  <si>
    <t>Sea_Charge_Master_26</t>
  </si>
  <si>
    <r>
      <t xml:space="preserve">Validate the functionality of </t>
    </r>
    <r>
      <rPr>
        <b/>
        <sz val="11"/>
        <color theme="1"/>
        <rFont val="Calibri"/>
        <family val="2"/>
        <scheme val="minor"/>
      </rPr>
      <t>'Routed'</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</si>
  <si>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Routed</t>
    </r>
    <r>
      <rPr>
        <sz val="11"/>
        <color theme="1"/>
        <rFont val="Calibri"/>
        <family val="2"/>
        <scheme val="minor"/>
      </rPr>
      <t xml:space="preserve"> value from the dropdown and observe the system behaviour.</t>
    </r>
  </si>
  <si>
    <r>
      <t xml:space="preserve">Textbox - </t>
    </r>
    <r>
      <rPr>
        <b/>
        <sz val="11"/>
        <color theme="1"/>
        <rFont val="Calibri"/>
        <family val="2"/>
        <scheme val="minor"/>
      </rPr>
      <t>Routed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Self
-&gt; Agent</t>
    </r>
  </si>
  <si>
    <r>
      <t xml:space="preserve">1. Manual input should not be allowed in the </t>
    </r>
    <r>
      <rPr>
        <b/>
        <sz val="11"/>
        <color theme="1"/>
        <rFont val="Calibri"/>
        <family val="2"/>
        <scheme val="minor"/>
      </rPr>
      <t>Routed</t>
    </r>
    <r>
      <rPr>
        <sz val="11"/>
        <color theme="1"/>
        <rFont val="Calibri"/>
        <family val="2"/>
        <scheme val="minor"/>
      </rPr>
      <t xml:space="preserve"> field.
2. User must be able to choose </t>
    </r>
    <r>
      <rPr>
        <b/>
        <sz val="11"/>
        <color theme="1"/>
        <rFont val="Calibri"/>
        <family val="2"/>
        <scheme val="minor"/>
      </rPr>
      <t>Routed</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</si>
  <si>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Routed</t>
    </r>
    <r>
      <rPr>
        <sz val="11"/>
        <color theme="1"/>
        <rFont val="Calibri"/>
        <family val="2"/>
        <scheme val="minor"/>
      </rPr>
      <t xml:space="preserve"> value can be selected only from the dropdown.</t>
    </r>
  </si>
  <si>
    <t>Sea_Charge_Master_27</t>
  </si>
  <si>
    <r>
      <t xml:space="preserve">Validate the functionality of </t>
    </r>
    <r>
      <rPr>
        <b/>
        <sz val="11"/>
        <color theme="1"/>
        <rFont val="Calibri"/>
        <family val="2"/>
        <scheme val="minor"/>
      </rPr>
      <t>'IMCO'</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</si>
  <si>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IMCO</t>
    </r>
    <r>
      <rPr>
        <sz val="11"/>
        <color theme="1"/>
        <rFont val="Calibri"/>
        <family val="2"/>
        <scheme val="minor"/>
      </rPr>
      <t xml:space="preserve"> value from the dropdown and observe the system behaviour.</t>
    </r>
  </si>
  <si>
    <r>
      <t xml:space="preserve">Textbox - </t>
    </r>
    <r>
      <rPr>
        <b/>
        <sz val="11"/>
        <color theme="1"/>
        <rFont val="Calibri"/>
        <family val="2"/>
        <scheme val="minor"/>
      </rPr>
      <t>IMCO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</si>
  <si>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IMCO</t>
    </r>
    <r>
      <rPr>
        <sz val="11"/>
        <color theme="1"/>
        <rFont val="Calibri"/>
        <family val="2"/>
        <scheme val="minor"/>
      </rPr>
      <t xml:space="preserve"> field.
2. User must be able to choose </t>
    </r>
    <r>
      <rPr>
        <b/>
        <sz val="11"/>
        <color theme="1"/>
        <rFont val="Calibri"/>
        <family val="2"/>
        <scheme val="minor"/>
      </rPr>
      <t>IMCO</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</si>
  <si>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IMCO</t>
    </r>
    <r>
      <rPr>
        <sz val="11"/>
        <color theme="1"/>
        <rFont val="Calibri"/>
        <family val="2"/>
        <scheme val="minor"/>
      </rPr>
      <t xml:space="preserve"> value can be selected only from the dropdown.</t>
    </r>
  </si>
  <si>
    <t>Sea_Charge_Master_28</t>
  </si>
  <si>
    <r>
      <t xml:space="preserve">Validate the functionality of </t>
    </r>
    <r>
      <rPr>
        <b/>
        <sz val="11"/>
        <color theme="1"/>
        <rFont val="Calibri"/>
        <family val="2"/>
        <scheme val="minor"/>
      </rPr>
      <t>'Clearance Location'</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</si>
  <si>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Clearance Location </t>
    </r>
    <r>
      <rPr>
        <sz val="11"/>
        <color theme="1"/>
        <rFont val="Calibri"/>
        <family val="2"/>
        <scheme val="minor"/>
      </rPr>
      <t>textbox and observe the system behaviour.</t>
    </r>
  </si>
  <si>
    <r>
      <t xml:space="preserve">Textbox - </t>
    </r>
    <r>
      <rPr>
        <b/>
        <sz val="11"/>
        <color theme="1"/>
        <rFont val="Calibri"/>
        <family val="2"/>
        <scheme val="minor"/>
      </rPr>
      <t>Clearance Location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</si>
  <si>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Clearance Location</t>
    </r>
    <r>
      <rPr>
        <sz val="11"/>
        <color theme="1"/>
        <rFont val="Calibri"/>
        <family val="2"/>
        <scheme val="minor"/>
      </rPr>
      <t xml:space="preserve"> textbox should accept alphanumeric values.
2. </t>
    </r>
    <r>
      <rPr>
        <b/>
        <sz val="11"/>
        <color theme="1"/>
        <rFont val="Calibri"/>
        <family val="2"/>
        <scheme val="minor"/>
      </rPr>
      <t>Clearance Location</t>
    </r>
    <r>
      <rPr>
        <sz val="11"/>
        <color theme="1"/>
        <rFont val="Calibri"/>
        <family val="2"/>
        <scheme val="minor"/>
      </rPr>
      <t xml:space="preserve"> textbox should not accept special character value, only space value and combination of character value.
2. The textbox length should be limited to 100 characters.</t>
    </r>
  </si>
  <si>
    <t>Sea_Charge_Master_29</t>
  </si>
  <si>
    <r>
      <t xml:space="preserve">Validate the functionality of </t>
    </r>
    <r>
      <rPr>
        <b/>
        <sz val="11"/>
        <color theme="1"/>
        <rFont val="Calibri"/>
        <family val="2"/>
        <scheme val="minor"/>
      </rPr>
      <t>'Clearance'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</si>
  <si>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Clearance </t>
    </r>
    <r>
      <rPr>
        <sz val="11"/>
        <color theme="1"/>
        <rFont val="Calibri"/>
        <family val="2"/>
        <scheme val="minor"/>
      </rPr>
      <t>textbox and observe the system behaviour.</t>
    </r>
  </si>
  <si>
    <r>
      <t xml:space="preserve">Textbox - </t>
    </r>
    <r>
      <rPr>
        <b/>
        <sz val="11"/>
        <color theme="1"/>
        <rFont val="Calibri"/>
        <family val="2"/>
        <scheme val="minor"/>
      </rPr>
      <t>Clearance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</si>
  <si>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Clearance</t>
    </r>
    <r>
      <rPr>
        <sz val="11"/>
        <color theme="1"/>
        <rFont val="Calibri"/>
        <family val="2"/>
        <scheme val="minor"/>
      </rPr>
      <t xml:space="preserve"> textbox should accept alphanumeric values.
2. </t>
    </r>
    <r>
      <rPr>
        <b/>
        <sz val="11"/>
        <color theme="1"/>
        <rFont val="Calibri"/>
        <family val="2"/>
        <scheme val="minor"/>
      </rPr>
      <t>Clearance</t>
    </r>
    <r>
      <rPr>
        <sz val="11"/>
        <color theme="1"/>
        <rFont val="Calibri"/>
        <family val="2"/>
        <scheme val="minor"/>
      </rPr>
      <t xml:space="preserve"> textbox should not accept special character value, only space value and combination of character value.
2. The textbox length should be limited to 100 characters.</t>
    </r>
  </si>
  <si>
    <t>Sea_Charge_Master_30</t>
  </si>
  <si>
    <r>
      <t xml:space="preserve">Validate the functionality of </t>
    </r>
    <r>
      <rPr>
        <b/>
        <sz val="11"/>
        <color theme="1"/>
        <rFont val="Calibri"/>
        <family val="2"/>
        <scheme val="minor"/>
      </rPr>
      <t>'Transit'</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</si>
  <si>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Transit </t>
    </r>
    <r>
      <rPr>
        <sz val="11"/>
        <color theme="1"/>
        <rFont val="Calibri"/>
        <family val="2"/>
        <scheme val="minor"/>
      </rPr>
      <t>textbox and observe the system behaviour.</t>
    </r>
  </si>
  <si>
    <r>
      <t xml:space="preserve">Textbox - </t>
    </r>
    <r>
      <rPr>
        <b/>
        <sz val="11"/>
        <color theme="1"/>
        <rFont val="Calibri"/>
        <family val="2"/>
        <scheme val="minor"/>
      </rPr>
      <t>Transit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</si>
  <si>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Transit</t>
    </r>
    <r>
      <rPr>
        <sz val="11"/>
        <color theme="1"/>
        <rFont val="Calibri"/>
        <family val="2"/>
        <scheme val="minor"/>
      </rPr>
      <t xml:space="preserve"> textbox should accept alphanumeric values.
2. </t>
    </r>
    <r>
      <rPr>
        <b/>
        <sz val="11"/>
        <color theme="1"/>
        <rFont val="Calibri"/>
        <family val="2"/>
        <scheme val="minor"/>
      </rPr>
      <t>Transit</t>
    </r>
    <r>
      <rPr>
        <sz val="11"/>
        <color theme="1"/>
        <rFont val="Calibri"/>
        <family val="2"/>
        <scheme val="minor"/>
      </rPr>
      <t xml:space="preserve"> textbox should not accept special character value, only space value and combination of character value.
2. The textbox length should be limited to 100 characters.</t>
    </r>
  </si>
  <si>
    <r>
      <t xml:space="preserve">1. The </t>
    </r>
    <r>
      <rPr>
        <b/>
        <sz val="11"/>
        <color theme="1"/>
        <rFont val="Calibri"/>
        <family val="2"/>
        <scheme val="minor"/>
      </rPr>
      <t>Transit</t>
    </r>
    <r>
      <rPr>
        <sz val="11"/>
        <color theme="1"/>
        <rFont val="Calibri"/>
        <family val="2"/>
        <scheme val="minor"/>
      </rPr>
      <t xml:space="preserve"> textbox accepts:
 -&gt; Alphabetic values
 -&gt; Numeric values
 -&gt; Special character values
2. The 100-character limit is implemented correctly.
</t>
    </r>
    <r>
      <rPr>
        <b/>
        <sz val="11"/>
        <color theme="1"/>
        <rFont val="Calibri"/>
        <family val="2"/>
        <scheme val="minor"/>
      </rPr>
      <t>Note: As per business Rule, Transit textbox should accept alphanumeric value and following special characters:
-&gt; Dot (.)
-&gt; Comma (,)
-&gt; Percentage (%)
-&gt; Ampersand (&amp;)
-&gt; Hyphen (-)
-&gt; Underscore (_)
-&gt; Forward slash (/)
-&gt; Backward slash (\)</t>
    </r>
  </si>
  <si>
    <r>
      <t xml:space="preserve">1. The </t>
    </r>
    <r>
      <rPr>
        <b/>
        <sz val="11"/>
        <color theme="1"/>
        <rFont val="Calibri"/>
        <family val="2"/>
        <scheme val="minor"/>
      </rPr>
      <t>Clearance</t>
    </r>
    <r>
      <rPr>
        <sz val="11"/>
        <color theme="1"/>
        <rFont val="Calibri"/>
        <family val="2"/>
        <scheme val="minor"/>
      </rPr>
      <t xml:space="preserve"> textbox accepts:
 -&gt; Alphabetic values
 -&gt; Numeric values
 -&gt; Special character values
2. The 100-character limit is implemented correctly.
</t>
    </r>
    <r>
      <rPr>
        <b/>
        <sz val="11"/>
        <color theme="1"/>
        <rFont val="Calibri"/>
        <family val="2"/>
        <scheme val="minor"/>
      </rPr>
      <t>Note: As per business Rule, Clearance textbox should accept alphanumeric value and following special characters:
-&gt; Dot (.)
-&gt; Comma (,)
-&gt; Percentage (%)
-&gt; Ampersand (&amp;)
-&gt; Hyphen (-)
-&gt; Underscore (_)
-&gt; Forward slash (/)
-&gt; Backward slash (\)</t>
    </r>
  </si>
  <si>
    <r>
      <t xml:space="preserve">1. The </t>
    </r>
    <r>
      <rPr>
        <b/>
        <sz val="11"/>
        <color theme="1"/>
        <rFont val="Calibri"/>
        <family val="2"/>
        <scheme val="minor"/>
      </rPr>
      <t>Clearance Location</t>
    </r>
    <r>
      <rPr>
        <sz val="11"/>
        <color theme="1"/>
        <rFont val="Calibri"/>
        <family val="2"/>
        <scheme val="minor"/>
      </rPr>
      <t xml:space="preserve"> textbox accepts:
 -&gt; Alphabetic values
 -&gt; Numeric values
 -&gt; Special character values
2. The 100-character limit is implemented correctly.
Note: </t>
    </r>
    <r>
      <rPr>
        <b/>
        <sz val="11"/>
        <color theme="1"/>
        <rFont val="Calibri"/>
        <family val="2"/>
        <scheme val="minor"/>
      </rPr>
      <t>As per business Rule, Clearance Location textbox should accept alphanumeric value and following special characters:
-&gt; Dot (.)
-&gt; Comma (,)
-&gt; Percentage (%)
-&gt; Ampersand (&amp;)
-&gt; Hyphen (-)
-&gt; Underscore (_)
-&gt; Forward slash (/)
-&gt; Backward slash (\)</t>
    </r>
  </si>
  <si>
    <r>
      <t xml:space="preserve">1. The </t>
    </r>
    <r>
      <rPr>
        <b/>
        <sz val="11"/>
        <color theme="1"/>
        <rFont val="Calibri"/>
        <family val="2"/>
        <scheme val="minor"/>
      </rPr>
      <t>Division</t>
    </r>
    <r>
      <rPr>
        <sz val="11"/>
        <color theme="1"/>
        <rFont val="Calibri"/>
        <family val="2"/>
        <scheme val="minor"/>
      </rPr>
      <t xml:space="preserve"> textbox accepts:
 -&gt; Alphabetic values
 -&gt; Numeric values
 -&gt; Special character values
2. The 50-character limit is implemented correctly.
Note: </t>
    </r>
    <r>
      <rPr>
        <b/>
        <sz val="11"/>
        <color theme="1"/>
        <rFont val="Calibri"/>
        <family val="2"/>
        <scheme val="minor"/>
      </rPr>
      <t>As per business Rule, Division textbox should accept alphanumeric value and following special characters:
-&gt; Dot (.)
-&gt; Comma (,)
-&gt; Percentage (%)
-&gt; Ampersand (&amp;)
-&gt; Hyphen (-)
-&gt; Underscore (_)
-&gt; Forward slash (/)
-&gt; Backward slash (\)</t>
    </r>
  </si>
  <si>
    <t>Sea_Charge_Master_31</t>
  </si>
  <si>
    <r>
      <t xml:space="preserve">Validate the functionality of </t>
    </r>
    <r>
      <rPr>
        <b/>
        <sz val="11"/>
        <color theme="1"/>
        <rFont val="Calibri"/>
        <family val="2"/>
        <scheme val="minor"/>
      </rPr>
      <t>'Carrier Agent Code'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</si>
  <si>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Carrier Agent Code </t>
    </r>
    <r>
      <rPr>
        <sz val="11"/>
        <color theme="1"/>
        <rFont val="Calibri"/>
        <family val="2"/>
        <scheme val="minor"/>
      </rPr>
      <t>textbox and observe the system behaviour.</t>
    </r>
  </si>
  <si>
    <r>
      <t xml:space="preserve">Textbox - </t>
    </r>
    <r>
      <rPr>
        <b/>
        <sz val="11"/>
        <color theme="1"/>
        <rFont val="Calibri"/>
        <family val="2"/>
        <scheme val="minor"/>
      </rPr>
      <t>Carrier Agent Code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</si>
  <si>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Carrier Agent Code</t>
    </r>
    <r>
      <rPr>
        <sz val="11"/>
        <color theme="1"/>
        <rFont val="Calibri"/>
        <family val="2"/>
        <scheme val="minor"/>
      </rPr>
      <t xml:space="preserve"> textbox should accept alphanumeric values.
2. </t>
    </r>
    <r>
      <rPr>
        <b/>
        <sz val="11"/>
        <color theme="1"/>
        <rFont val="Calibri"/>
        <family val="2"/>
        <scheme val="minor"/>
      </rPr>
      <t>Carrier Agent Code</t>
    </r>
    <r>
      <rPr>
        <sz val="11"/>
        <color theme="1"/>
        <rFont val="Calibri"/>
        <family val="2"/>
        <scheme val="minor"/>
      </rPr>
      <t xml:space="preserve"> textbox should not accept special character value, only space value and combination of character value.
2. The textbox length should be limited to 10 characters.</t>
    </r>
  </si>
  <si>
    <r>
      <t xml:space="preserve">1. The </t>
    </r>
    <r>
      <rPr>
        <b/>
        <sz val="11"/>
        <color theme="1"/>
        <rFont val="Calibri"/>
        <family val="2"/>
        <scheme val="minor"/>
      </rPr>
      <t>Carrier Agent Code</t>
    </r>
    <r>
      <rPr>
        <sz val="11"/>
        <color theme="1"/>
        <rFont val="Calibri"/>
        <family val="2"/>
        <scheme val="minor"/>
      </rPr>
      <t xml:space="preserve"> textbox accepts:
 -&gt; Alphabetic values
 -&gt; Numeric values
 -&gt; Special character values
2. The 10-character limit is implemented correctly.
</t>
    </r>
  </si>
  <si>
    <t>Sea_Charge_Master_32</t>
  </si>
  <si>
    <r>
      <t xml:space="preserve">Validate the functionality of </t>
    </r>
    <r>
      <rPr>
        <b/>
        <sz val="11"/>
        <color theme="1"/>
        <rFont val="Calibri"/>
        <family val="2"/>
        <scheme val="minor"/>
      </rPr>
      <t>'Personal Effect'</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</si>
  <si>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Personal Effect </t>
    </r>
    <r>
      <rPr>
        <sz val="11"/>
        <color theme="1"/>
        <rFont val="Calibri"/>
        <family val="2"/>
        <scheme val="minor"/>
      </rPr>
      <t>textbox and observe the system behaviour.</t>
    </r>
  </si>
  <si>
    <r>
      <t xml:space="preserve">Textbox - </t>
    </r>
    <r>
      <rPr>
        <b/>
        <sz val="11"/>
        <color theme="1"/>
        <rFont val="Calibri"/>
        <family val="2"/>
        <scheme val="minor"/>
      </rPr>
      <t>Personal Effect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</si>
  <si>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Personal Effect</t>
    </r>
    <r>
      <rPr>
        <sz val="11"/>
        <color theme="1"/>
        <rFont val="Calibri"/>
        <family val="2"/>
        <scheme val="minor"/>
      </rPr>
      <t xml:space="preserve"> textbox should accept alphanumeric values.
2. </t>
    </r>
    <r>
      <rPr>
        <b/>
        <sz val="11"/>
        <color theme="1"/>
        <rFont val="Calibri"/>
        <family val="2"/>
        <scheme val="minor"/>
      </rPr>
      <t>Personal Effect</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</si>
  <si>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The </t>
    </r>
    <r>
      <rPr>
        <b/>
        <sz val="11"/>
        <color theme="1"/>
        <rFont val="Calibri"/>
        <family val="2"/>
        <scheme val="minor"/>
      </rPr>
      <t>Personal Effect</t>
    </r>
    <r>
      <rPr>
        <sz val="11"/>
        <color theme="1"/>
        <rFont val="Calibri"/>
        <family val="2"/>
        <scheme val="minor"/>
      </rPr>
      <t xml:space="preserve"> textbox accepts:
 -&gt; Alphabetic values
 -&gt; Numeric values
 -&gt; Special character values
2. The 50-character limit is implemented correctly.
Note: As per business Rule, Transit textbox should accept alphanumeric value and following special characters:
-&gt; Dot (.)
-&gt; Comma (,)
-&gt; Percentage (%)
-&gt; Ampersand (&amp;)
-&gt; Hyphen (-)
-&gt; Underscore (_)
-&gt; Forward slash (/)
-&gt; Backward slash (\)</t>
    </r>
  </si>
  <si>
    <t>Sea_Charge_Master_33</t>
  </si>
  <si>
    <r>
      <t xml:space="preserve">Validate the functionality of </t>
    </r>
    <r>
      <rPr>
        <b/>
        <sz val="11"/>
        <color theme="1"/>
        <rFont val="Calibri"/>
        <family val="2"/>
        <scheme val="minor"/>
      </rPr>
      <t>'Co Load'</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</si>
  <si>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Co Load</t>
    </r>
    <r>
      <rPr>
        <sz val="11"/>
        <color theme="1"/>
        <rFont val="Calibri"/>
        <family val="2"/>
        <scheme val="minor"/>
      </rPr>
      <t xml:space="preserve"> value from the dropdown and observe the system behaviour.</t>
    </r>
  </si>
  <si>
    <r>
      <t xml:space="preserve">Textbox - </t>
    </r>
    <r>
      <rPr>
        <b/>
        <sz val="11"/>
        <color theme="1"/>
        <rFont val="Calibri"/>
        <family val="2"/>
        <scheme val="minor"/>
      </rPr>
      <t>Co Load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</si>
  <si>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Co Load</t>
    </r>
    <r>
      <rPr>
        <sz val="11"/>
        <color theme="1"/>
        <rFont val="Calibri"/>
        <family val="2"/>
        <scheme val="minor"/>
      </rPr>
      <t xml:space="preserve"> field.
2. User must be able to choose </t>
    </r>
    <r>
      <rPr>
        <b/>
        <sz val="11"/>
        <color theme="1"/>
        <rFont val="Calibri"/>
        <family val="2"/>
        <scheme val="minor"/>
      </rPr>
      <t>Co Load</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</si>
  <si>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Co Load</t>
    </r>
    <r>
      <rPr>
        <sz val="11"/>
        <color theme="1"/>
        <rFont val="Calibri"/>
        <family val="2"/>
        <scheme val="minor"/>
      </rPr>
      <t xml:space="preserve"> value can be selected only from the dropdown.</t>
    </r>
  </si>
  <si>
    <t>Sea_Charge_Master_34</t>
  </si>
  <si>
    <r>
      <t xml:space="preserve">Validate the functionality of </t>
    </r>
    <r>
      <rPr>
        <b/>
        <sz val="11"/>
        <color theme="1"/>
        <rFont val="Calibri"/>
        <family val="2"/>
        <scheme val="minor"/>
      </rPr>
      <t>'Forwarder Direct'</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</si>
  <si>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Forwarder Direct </t>
    </r>
    <r>
      <rPr>
        <sz val="11"/>
        <color theme="1"/>
        <rFont val="Calibri"/>
        <family val="2"/>
        <scheme val="minor"/>
      </rPr>
      <t>textbox and observe the system behaviour.</t>
    </r>
  </si>
  <si>
    <r>
      <t xml:space="preserve">Textbox - </t>
    </r>
    <r>
      <rPr>
        <b/>
        <sz val="11"/>
        <color theme="1"/>
        <rFont val="Calibri"/>
        <family val="2"/>
        <scheme val="minor"/>
      </rPr>
      <t>Forwarder Direct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</si>
  <si>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Forwarder Direct</t>
    </r>
    <r>
      <rPr>
        <sz val="11"/>
        <color theme="1"/>
        <rFont val="Calibri"/>
        <family val="2"/>
        <scheme val="minor"/>
      </rPr>
      <t xml:space="preserve"> textbox should accept alphanumeric values.
2. </t>
    </r>
    <r>
      <rPr>
        <b/>
        <sz val="11"/>
        <color theme="1"/>
        <rFont val="Calibri"/>
        <family val="2"/>
        <scheme val="minor"/>
      </rPr>
      <t>Forwarder Direct</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</si>
  <si>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The </t>
    </r>
    <r>
      <rPr>
        <b/>
        <sz val="11"/>
        <color theme="1"/>
        <rFont val="Calibri"/>
        <family val="2"/>
        <scheme val="minor"/>
      </rPr>
      <t>Forwarder Direct</t>
    </r>
    <r>
      <rPr>
        <sz val="11"/>
        <color theme="1"/>
        <rFont val="Calibri"/>
        <family val="2"/>
        <scheme val="minor"/>
      </rPr>
      <t xml:space="preserve"> textbox accepts:
 -&gt; Alphabetic values
 -&gt; Numeric values
 -&gt; Special character values
2. The 50-character limit is implemented correctly.
Note: </t>
    </r>
    <r>
      <rPr>
        <b/>
        <sz val="11"/>
        <color theme="1"/>
        <rFont val="Calibri"/>
        <family val="2"/>
        <scheme val="minor"/>
      </rPr>
      <t>As per business Rule, Transit textbox should accept alphanumeric value and following special characters:
-&gt; Dot (.)
-&gt; Comma (,)
-&gt; Percentage (%)
-&gt; Ampersand (&amp;)
-&gt; Hyphen (-)
-&gt; Underscore (_)
-&gt; Forward slash (/)
-&gt; Backward slash (\)</t>
    </r>
  </si>
  <si>
    <r>
      <t xml:space="preserve">Validate the functionality of </t>
    </r>
    <r>
      <rPr>
        <b/>
        <sz val="11"/>
        <color theme="1"/>
        <rFont val="Calibri"/>
        <family val="2"/>
        <scheme val="minor"/>
      </rPr>
      <t>'Our Transport'</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</si>
  <si>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t>Sea_Charge_Master_35</t>
  </si>
  <si>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Our Transport</t>
    </r>
    <r>
      <rPr>
        <sz val="11"/>
        <color theme="1"/>
        <rFont val="Calibri"/>
        <family val="2"/>
        <scheme val="minor"/>
      </rPr>
      <t xml:space="preserve"> value from the dropdown and observe the system behaviour.</t>
    </r>
  </si>
  <si>
    <r>
      <t xml:space="preserve">Textbox - </t>
    </r>
    <r>
      <rPr>
        <b/>
        <sz val="11"/>
        <color theme="1"/>
        <rFont val="Calibri"/>
        <family val="2"/>
        <scheme val="minor"/>
      </rPr>
      <t>Our Transport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</si>
  <si>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Our Transport</t>
    </r>
    <r>
      <rPr>
        <sz val="11"/>
        <color theme="1"/>
        <rFont val="Calibri"/>
        <family val="2"/>
        <scheme val="minor"/>
      </rPr>
      <t xml:space="preserve"> field.
2. User must be able to choose </t>
    </r>
    <r>
      <rPr>
        <b/>
        <sz val="11"/>
        <color theme="1"/>
        <rFont val="Calibri"/>
        <family val="2"/>
        <scheme val="minor"/>
      </rPr>
      <t>Our Transport</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</si>
  <si>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Our Transport</t>
    </r>
    <r>
      <rPr>
        <sz val="11"/>
        <color theme="1"/>
        <rFont val="Calibri"/>
        <family val="2"/>
        <scheme val="minor"/>
      </rPr>
      <t xml:space="preserve"> value can be selected only from the dropdown.</t>
    </r>
  </si>
  <si>
    <t>Google Chrome - Version 141.0.7390.125 (Official Build) (64-bit)
Microsoft Edge - Version 142.0.3595.53 (Official build) (64-bit)</t>
  </si>
  <si>
    <t>Sea_Charge_Master_36</t>
  </si>
  <si>
    <r>
      <t xml:space="preserve">Validate the functionality of </t>
    </r>
    <r>
      <rPr>
        <b/>
        <sz val="11"/>
        <color theme="1"/>
        <rFont val="Calibri"/>
        <family val="2"/>
        <scheme val="minor"/>
      </rPr>
      <t>'Type'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</si>
  <si>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Type </t>
    </r>
    <r>
      <rPr>
        <sz val="11"/>
        <color theme="1"/>
        <rFont val="Calibri"/>
        <family val="2"/>
        <scheme val="minor"/>
      </rPr>
      <t>textbox and observe the system behaviour.</t>
    </r>
  </si>
  <si>
    <r>
      <t>Textbox -</t>
    </r>
    <r>
      <rPr>
        <b/>
        <sz val="11"/>
        <color theme="1"/>
        <rFont val="Calibri"/>
        <family val="2"/>
        <scheme val="minor"/>
      </rPr>
      <t xml:space="preserve"> Type
</t>
    </r>
  </si>
  <si>
    <r>
      <t xml:space="preserve">1. As per the use case, the </t>
    </r>
    <r>
      <rPr>
        <b/>
        <sz val="11"/>
        <color theme="1"/>
        <rFont val="Calibri"/>
        <family val="2"/>
        <scheme val="minor"/>
      </rPr>
      <t>Type</t>
    </r>
    <r>
      <rPr>
        <sz val="11"/>
        <color theme="1"/>
        <rFont val="Calibri"/>
        <family val="2"/>
        <scheme val="minor"/>
      </rPr>
      <t xml:space="preserve"> textbox should accept alphanumeric values.
2. </t>
    </r>
    <r>
      <rPr>
        <b/>
        <sz val="11"/>
        <color theme="1"/>
        <rFont val="Calibri"/>
        <family val="2"/>
        <scheme val="minor"/>
      </rPr>
      <t>Type</t>
    </r>
    <r>
      <rPr>
        <sz val="11"/>
        <color theme="1"/>
        <rFont val="Calibri"/>
        <family val="2"/>
        <scheme val="minor"/>
      </rPr>
      <t xml:space="preserve"> textbox should not accept special character value, only space value and combination of character value.
2. The textbox length should be limited to 20 characters.</t>
    </r>
  </si>
  <si>
    <t xml:space="preserve">1. The Type textbox accepts:
 -&gt; Alphabetic values
 -&gt; Numeric values
 -&gt; Special character values
2. The 20-character limit is implemented correctly.
Note: As per business Rule, This textbox should accept all type value and it is accepting. </t>
  </si>
  <si>
    <t>Sea_Charge_Master_37</t>
  </si>
  <si>
    <r>
      <t xml:space="preserve">Validate the functionality of </t>
    </r>
    <r>
      <rPr>
        <b/>
        <sz val="11"/>
        <color theme="1"/>
        <rFont val="Calibri"/>
        <family val="2"/>
        <scheme val="minor"/>
      </rPr>
      <t>'Commodity Group'</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</si>
  <si>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Commodity Group </t>
    </r>
    <r>
      <rPr>
        <sz val="11"/>
        <color theme="1"/>
        <rFont val="Calibri"/>
        <family val="2"/>
        <scheme val="minor"/>
      </rPr>
      <t>textbox and observe the system behaviour.</t>
    </r>
  </si>
  <si>
    <r>
      <t xml:space="preserve">Textbox - </t>
    </r>
    <r>
      <rPr>
        <b/>
        <sz val="11"/>
        <color theme="1"/>
        <rFont val="Calibri"/>
        <family val="2"/>
        <scheme val="minor"/>
      </rPr>
      <t>Commodity Group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</si>
  <si>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Commodity Group</t>
    </r>
    <r>
      <rPr>
        <sz val="11"/>
        <color theme="1"/>
        <rFont val="Calibri"/>
        <family val="2"/>
        <scheme val="minor"/>
      </rPr>
      <t xml:space="preserve"> textbox should accept alphanumeric values.
2. </t>
    </r>
    <r>
      <rPr>
        <b/>
        <sz val="11"/>
        <color theme="1"/>
        <rFont val="Calibri"/>
        <family val="2"/>
        <scheme val="minor"/>
      </rPr>
      <t>Commodity Group</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</si>
  <si>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The </t>
    </r>
    <r>
      <rPr>
        <b/>
        <sz val="11"/>
        <color theme="1"/>
        <rFont val="Calibri"/>
        <family val="2"/>
        <scheme val="minor"/>
      </rPr>
      <t>Commodity Group</t>
    </r>
    <r>
      <rPr>
        <sz val="11"/>
        <color theme="1"/>
        <rFont val="Calibri"/>
        <family val="2"/>
        <scheme val="minor"/>
      </rPr>
      <t xml:space="preserve"> textbox accepts:
 -&gt; Alphabetic values
 -&gt; Numeric values
 -&gt; Special character values
2. The 50-character limit is implemented correctly.
Note: </t>
    </r>
    <r>
      <rPr>
        <b/>
        <sz val="11"/>
        <color theme="1"/>
        <rFont val="Calibri"/>
        <family val="2"/>
        <scheme val="minor"/>
      </rPr>
      <t>As per business Rule, Commodity Group textbox should accept alphanumeric value and following special characters:
-&gt; Dot (.)
-&gt; Comma (,)
-&gt; Percentage (%)
-&gt; Ampersand (&amp;)
-&gt; Hyphen (-)
-&gt; Underscore (_)
-&gt; Forward slash (/)
-&gt; Backward slash (\)</t>
    </r>
  </si>
  <si>
    <t>Sea_Charge_Master_38</t>
  </si>
  <si>
    <r>
      <t xml:space="preserve">Validate the functionality of </t>
    </r>
    <r>
      <rPr>
        <b/>
        <sz val="11"/>
        <color theme="1"/>
        <rFont val="Calibri"/>
        <family val="2"/>
        <scheme val="minor"/>
      </rPr>
      <t>'PP/CC'</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</si>
  <si>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PP/CC</t>
    </r>
    <r>
      <rPr>
        <sz val="11"/>
        <color theme="1"/>
        <rFont val="Calibri"/>
        <family val="2"/>
        <scheme val="minor"/>
      </rPr>
      <t xml:space="preserve"> value from the dropdown and observe the system behaviour.</t>
    </r>
  </si>
  <si>
    <r>
      <t xml:space="preserve">Textbox - </t>
    </r>
    <r>
      <rPr>
        <b/>
        <sz val="11"/>
        <color theme="1"/>
        <rFont val="Calibri"/>
        <family val="2"/>
        <scheme val="minor"/>
      </rPr>
      <t>PP/CC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Prepaid
-&gt; Collect</t>
    </r>
  </si>
  <si>
    <r>
      <t xml:space="preserve">1. Manual input should not be allowed in the </t>
    </r>
    <r>
      <rPr>
        <b/>
        <sz val="11"/>
        <color theme="1"/>
        <rFont val="Calibri"/>
        <family val="2"/>
        <scheme val="minor"/>
      </rPr>
      <t>PP/CC</t>
    </r>
    <r>
      <rPr>
        <sz val="11"/>
        <color theme="1"/>
        <rFont val="Calibri"/>
        <family val="2"/>
        <scheme val="minor"/>
      </rPr>
      <t xml:space="preserve"> field.
2. User must be able to choose </t>
    </r>
    <r>
      <rPr>
        <b/>
        <sz val="11"/>
        <color theme="1"/>
        <rFont val="Calibri"/>
        <family val="2"/>
        <scheme val="minor"/>
      </rPr>
      <t>PP/CC</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</si>
  <si>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PP/CC</t>
    </r>
    <r>
      <rPr>
        <sz val="11"/>
        <color theme="1"/>
        <rFont val="Calibri"/>
        <family val="2"/>
        <scheme val="minor"/>
      </rPr>
      <t xml:space="preserve"> value can be selected only from the dropdown.</t>
    </r>
  </si>
  <si>
    <t>Sea_Charge_Master_39</t>
  </si>
  <si>
    <r>
      <t xml:space="preserve">Validate the functionality of </t>
    </r>
    <r>
      <rPr>
        <b/>
        <sz val="11"/>
        <color theme="1"/>
        <rFont val="Calibri"/>
        <family val="2"/>
        <scheme val="minor"/>
      </rPr>
      <t>'Shipper'</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</si>
  <si>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Shipper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</si>
  <si>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Shipper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 R CHEMICAL.
-&gt; AARCS PROJECTS</t>
    </r>
  </si>
  <si>
    <r>
      <t xml:space="preserve">1. Manual input should not be allowed in the </t>
    </r>
    <r>
      <rPr>
        <b/>
        <sz val="11"/>
        <color theme="1"/>
        <rFont val="Calibri"/>
        <family val="2"/>
        <scheme val="minor"/>
      </rPr>
      <t>Shipper</t>
    </r>
    <r>
      <rPr>
        <sz val="11"/>
        <color theme="1"/>
        <rFont val="Calibri"/>
        <family val="2"/>
        <scheme val="minor"/>
      </rPr>
      <t xml:space="preserve"> textbox.
2. The user should be able to select a </t>
    </r>
    <r>
      <rPr>
        <b/>
        <sz val="11"/>
        <color theme="1"/>
        <rFont val="Calibri"/>
        <family val="2"/>
        <scheme val="minor"/>
      </rPr>
      <t>Shipper</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</si>
  <si>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Shipper</t>
    </r>
    <r>
      <rPr>
        <sz val="11"/>
        <color theme="1"/>
        <rFont val="Calibri"/>
        <family val="2"/>
        <scheme val="minor"/>
      </rPr>
      <t xml:space="preserve"> value can be selected only from the autosuggest list.</t>
    </r>
  </si>
  <si>
    <t>Sea_Charge_Master_40</t>
  </si>
  <si>
    <r>
      <t xml:space="preserve">Validate the functionality of </t>
    </r>
    <r>
      <rPr>
        <b/>
        <sz val="11"/>
        <color theme="1"/>
        <rFont val="Calibri"/>
        <family val="2"/>
        <scheme val="minor"/>
      </rPr>
      <t>'Container Stuffing'</t>
    </r>
    <r>
      <rPr>
        <sz val="11"/>
        <color theme="1"/>
        <rFont val="Calibri"/>
        <family val="2"/>
        <scheme val="minor"/>
      </rPr>
      <t xml:space="preserve"> dropdown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</si>
  <si>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t>
    </r>
    <r>
      <rPr>
        <b/>
        <sz val="11"/>
        <color theme="1"/>
        <rFont val="Calibri"/>
        <family val="2"/>
        <scheme val="minor"/>
      </rPr>
      <t>Container Stuffing</t>
    </r>
    <r>
      <rPr>
        <sz val="11"/>
        <color theme="1"/>
        <rFont val="Calibri"/>
        <family val="2"/>
        <scheme val="minor"/>
      </rPr>
      <t xml:space="preserve"> value from the dropdown and observe the system behaviour.</t>
    </r>
  </si>
  <si>
    <r>
      <t xml:space="preserve">1. Manual input should not be allowed in the </t>
    </r>
    <r>
      <rPr>
        <b/>
        <sz val="11"/>
        <color theme="1"/>
        <rFont val="Calibri"/>
        <family val="2"/>
        <scheme val="minor"/>
      </rPr>
      <t>Container Stuffing</t>
    </r>
    <r>
      <rPr>
        <sz val="11"/>
        <color theme="1"/>
        <rFont val="Calibri"/>
        <family val="2"/>
        <scheme val="minor"/>
      </rPr>
      <t xml:space="preserve"> field.
2. User must be able to choose </t>
    </r>
    <r>
      <rPr>
        <b/>
        <sz val="11"/>
        <color theme="1"/>
        <rFont val="Calibri"/>
        <family val="2"/>
        <scheme val="minor"/>
      </rPr>
      <t>Container Stuffing</t>
    </r>
    <r>
      <rPr>
        <sz val="11"/>
        <color theme="1"/>
        <rFont val="Calibri"/>
        <family val="2"/>
        <scheme val="minor"/>
      </rPr>
      <t xml:space="preserve"> value only from the dropdown.
3. If the user types anything invalid, the textbox should automatically clear.</t>
    </r>
  </si>
  <si>
    <r>
      <t xml:space="preserve">1. Functionality is working as expected.
2. </t>
    </r>
    <r>
      <rPr>
        <b/>
        <sz val="11"/>
        <color theme="1"/>
        <rFont val="Calibri"/>
        <family val="2"/>
        <scheme val="minor"/>
      </rPr>
      <t>Container Stuffing</t>
    </r>
    <r>
      <rPr>
        <sz val="11"/>
        <color theme="1"/>
        <rFont val="Calibri"/>
        <family val="2"/>
        <scheme val="minor"/>
      </rPr>
      <t xml:space="preserve"> value can be selected only from the dropdown.</t>
    </r>
  </si>
  <si>
    <r>
      <t xml:space="preserve">Textbox - </t>
    </r>
    <r>
      <rPr>
        <b/>
        <sz val="11"/>
        <color theme="1"/>
        <rFont val="Calibri"/>
        <family val="2"/>
        <scheme val="minor"/>
      </rPr>
      <t>Container Stuffing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CFS
-&gt; CY</t>
    </r>
  </si>
  <si>
    <t>Sea_Charge_Master_41</t>
  </si>
  <si>
    <r>
      <t xml:space="preserve">Validate the functionality of </t>
    </r>
    <r>
      <rPr>
        <b/>
        <sz val="11"/>
        <color theme="1"/>
        <rFont val="Calibri"/>
        <family val="2"/>
        <scheme val="minor"/>
      </rPr>
      <t>'Consignee'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</si>
  <si>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Consignee </t>
    </r>
    <r>
      <rPr>
        <sz val="11"/>
        <color theme="1"/>
        <rFont val="Calibri"/>
        <family val="2"/>
        <scheme val="minor"/>
      </rPr>
      <t>textbox, try entering manual inputs.
5. Use the (%) symbol to trigger the autosuggest list.
6. Select a value from the autosuggest list and observe the system behavior.</t>
    </r>
  </si>
  <si>
    <r>
      <t xml:space="preserve">1. Manual input should not be allowed in the </t>
    </r>
    <r>
      <rPr>
        <b/>
        <sz val="11"/>
        <color theme="1"/>
        <rFont val="Calibri"/>
        <family val="2"/>
        <scheme val="minor"/>
      </rPr>
      <t>Consignee</t>
    </r>
    <r>
      <rPr>
        <sz val="11"/>
        <color theme="1"/>
        <rFont val="Calibri"/>
        <family val="2"/>
        <scheme val="minor"/>
      </rPr>
      <t xml:space="preserve"> textbox.
2. The user should be able to select a </t>
    </r>
    <r>
      <rPr>
        <b/>
        <sz val="11"/>
        <color theme="1"/>
        <rFont val="Calibri"/>
        <family val="2"/>
        <scheme val="minor"/>
      </rPr>
      <t>Consignee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</si>
  <si>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Consignee</t>
    </r>
    <r>
      <rPr>
        <sz val="11"/>
        <color theme="1"/>
        <rFont val="Calibri"/>
        <family val="2"/>
        <scheme val="minor"/>
      </rPr>
      <t xml:space="preserve"> value can be selected only from the autosuggest list.</t>
    </r>
  </si>
  <si>
    <r>
      <t xml:space="preserve">Textbox - </t>
    </r>
    <r>
      <rPr>
        <b/>
        <sz val="11"/>
        <color theme="1"/>
        <rFont val="Calibri"/>
        <family val="2"/>
        <scheme val="minor"/>
      </rPr>
      <t>Consignee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AAAA
-&gt; ABCD</t>
    </r>
  </si>
  <si>
    <t>Sea_Charge_Master_42</t>
  </si>
  <si>
    <r>
      <t xml:space="preserve">Validate the functionality of </t>
    </r>
    <r>
      <rPr>
        <b/>
        <sz val="11"/>
        <color theme="1"/>
        <rFont val="Calibri"/>
        <family val="2"/>
        <scheme val="minor"/>
      </rPr>
      <t>'Party Code'</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</si>
  <si>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Party Code </t>
    </r>
    <r>
      <rPr>
        <sz val="11"/>
        <color theme="1"/>
        <rFont val="Calibri"/>
        <family val="2"/>
        <scheme val="minor"/>
      </rPr>
      <t>textbox and observe the system behaviour.</t>
    </r>
  </si>
  <si>
    <r>
      <t xml:space="preserve">Textbox - </t>
    </r>
    <r>
      <rPr>
        <b/>
        <sz val="11"/>
        <color theme="1"/>
        <rFont val="Calibri"/>
        <family val="2"/>
        <scheme val="minor"/>
      </rPr>
      <t>Party Code
Valid Data:</t>
    </r>
    <r>
      <rPr>
        <sz val="11"/>
        <color theme="1"/>
        <rFont val="Calibri"/>
        <family val="2"/>
        <scheme val="minor"/>
      </rPr>
      <t xml:space="preserve">
Alphanumeric Value
</t>
    </r>
    <r>
      <rPr>
        <b/>
        <sz val="11"/>
        <color theme="1"/>
        <rFont val="Calibri"/>
        <family val="2"/>
        <scheme val="minor"/>
      </rPr>
      <t>Invalid Data:</t>
    </r>
    <r>
      <rPr>
        <sz val="11"/>
        <color theme="1"/>
        <rFont val="Calibri"/>
        <family val="2"/>
        <scheme val="minor"/>
      </rPr>
      <t xml:space="preserve">
Special character value, Only space value and combination of character.</t>
    </r>
  </si>
  <si>
    <r>
      <t xml:space="preserve">1. As per the use case, the </t>
    </r>
    <r>
      <rPr>
        <b/>
        <sz val="11"/>
        <color theme="1"/>
        <rFont val="Calibri"/>
        <family val="2"/>
        <scheme val="minor"/>
      </rPr>
      <t>Party Code</t>
    </r>
    <r>
      <rPr>
        <sz val="11"/>
        <color theme="1"/>
        <rFont val="Calibri"/>
        <family val="2"/>
        <scheme val="minor"/>
      </rPr>
      <t xml:space="preserve"> textbox should accept alphanumeric values.
2. </t>
    </r>
    <r>
      <rPr>
        <b/>
        <sz val="11"/>
        <color theme="1"/>
        <rFont val="Calibri"/>
        <family val="2"/>
        <scheme val="minor"/>
      </rPr>
      <t>Party Code</t>
    </r>
    <r>
      <rPr>
        <sz val="11"/>
        <color theme="1"/>
        <rFont val="Calibri"/>
        <family val="2"/>
        <scheme val="minor"/>
      </rPr>
      <t xml:space="preserve"> textbox should not accept special character value, only space value and combination of character value.
2. The textbox length should be limited to 20 characters as per </t>
    </r>
    <r>
      <rPr>
        <b/>
        <sz val="11"/>
        <color theme="1"/>
        <rFont val="Calibri"/>
        <family val="2"/>
        <scheme val="minor"/>
      </rPr>
      <t>Use Case</t>
    </r>
    <r>
      <rPr>
        <sz val="11"/>
        <color theme="1"/>
        <rFont val="Calibri"/>
        <family val="2"/>
        <scheme val="minor"/>
      </rPr>
      <t>.</t>
    </r>
  </si>
  <si>
    <r>
      <t xml:space="preserve">1. The </t>
    </r>
    <r>
      <rPr>
        <b/>
        <sz val="11"/>
        <color theme="1"/>
        <rFont val="Calibri"/>
        <family val="2"/>
        <scheme val="minor"/>
      </rPr>
      <t>Party Code</t>
    </r>
    <r>
      <rPr>
        <sz val="11"/>
        <color theme="1"/>
        <rFont val="Calibri"/>
        <family val="2"/>
        <scheme val="minor"/>
      </rPr>
      <t xml:space="preserve"> textbox accepts:
 -&gt; Alphabetic values
 -&gt; Numeric values
 -&gt; Special character values
2. The 20-character limit is not implemented correctly (It is accepting 10 Character value).</t>
    </r>
  </si>
  <si>
    <t>Sea_Charge_Master_43</t>
  </si>
  <si>
    <r>
      <t>Validate the functionality of ‘</t>
    </r>
    <r>
      <rPr>
        <b/>
        <sz val="11"/>
        <color theme="1"/>
        <rFont val="Calibri"/>
        <family val="2"/>
        <scheme val="minor"/>
      </rPr>
      <t>Vaild From Date</t>
    </r>
    <r>
      <rPr>
        <sz val="11"/>
        <color theme="1"/>
        <rFont val="Calibri"/>
        <family val="2"/>
        <scheme val="minor"/>
      </rPr>
      <t>’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</si>
  <si>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Vaild From Date</t>
    </r>
    <r>
      <rPr>
        <sz val="11"/>
        <color theme="1"/>
        <rFont val="Calibri"/>
        <family val="2"/>
        <scheme val="minor"/>
      </rPr>
      <t xml:space="preserve"> from the calendar autosuggest and observe the system behavior.</t>
    </r>
  </si>
  <si>
    <t>Sea_Charge_Master_44</t>
  </si>
  <si>
    <r>
      <t>Validate the functionality of ‘</t>
    </r>
    <r>
      <rPr>
        <b/>
        <sz val="11"/>
        <color theme="1"/>
        <rFont val="Calibri"/>
        <family val="2"/>
        <scheme val="minor"/>
      </rPr>
      <t>Vaild To Date</t>
    </r>
    <r>
      <rPr>
        <sz val="11"/>
        <color theme="1"/>
        <rFont val="Calibri"/>
        <family val="2"/>
        <scheme val="minor"/>
      </rPr>
      <t>’ textbox in Pricing Tab on Pricing Page.</t>
    </r>
  </si>
  <si>
    <r>
      <t>1. Open the application and log in 
2. Select Branch: AHMEDABAD, Export Type: Export Sea, FY 2025–2026, click OK.
3. Navigate to</t>
    </r>
    <r>
      <rPr>
        <b/>
        <sz val="11"/>
        <color theme="1"/>
        <rFont val="Calibri"/>
        <family val="2"/>
        <scheme val="minor"/>
      </rPr>
      <t xml:space="preserve"> Masters -&gt; Charge Master -&gt; Pricing</t>
    </r>
    <r>
      <rPr>
        <sz val="11"/>
        <color theme="1"/>
        <rFont val="Calibri"/>
        <family val="2"/>
        <scheme val="minor"/>
      </rPr>
      <t xml:space="preserve">
4.  Select </t>
    </r>
    <r>
      <rPr>
        <b/>
        <sz val="11"/>
        <color theme="1"/>
        <rFont val="Calibri"/>
        <family val="2"/>
        <scheme val="minor"/>
      </rPr>
      <t>Vaild To Date</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</si>
  <si>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Vaild From Date
Manual Inputs:</t>
    </r>
    <r>
      <rPr>
        <sz val="11"/>
        <color theme="1"/>
        <rFont val="Calibri"/>
        <family val="2"/>
        <scheme val="minor"/>
      </rPr>
      <t xml:space="preserve">
 -&gt; 18/12/2025202520
 -&gt; 67/8678678
</t>
    </r>
    <r>
      <rPr>
        <b/>
        <sz val="11"/>
        <color theme="1"/>
        <rFont val="Calibri"/>
        <family val="2"/>
        <scheme val="minor"/>
      </rPr>
      <t>Autosuggest Value:</t>
    </r>
    <r>
      <rPr>
        <sz val="11"/>
        <color theme="1"/>
        <rFont val="Calibri"/>
        <family val="2"/>
        <scheme val="minor"/>
      </rPr>
      <t xml:space="preserve">
 -&gt; 18/12/2025
</t>
    </r>
  </si>
  <si>
    <r>
      <t xml:space="preserve">Textbox - </t>
    </r>
    <r>
      <rPr>
        <b/>
        <sz val="11"/>
        <color theme="1"/>
        <rFont val="Calibri"/>
        <family val="2"/>
        <scheme val="minor"/>
      </rPr>
      <t>Vaild To Date
Manual Inputs:</t>
    </r>
    <r>
      <rPr>
        <sz val="11"/>
        <color theme="1"/>
        <rFont val="Calibri"/>
        <family val="2"/>
        <scheme val="minor"/>
      </rPr>
      <t xml:space="preserve">
 -&gt; 18/12/2020202520
 -&gt; 67/8678678
</t>
    </r>
    <r>
      <rPr>
        <b/>
        <sz val="11"/>
        <color theme="1"/>
        <rFont val="Calibri"/>
        <family val="2"/>
        <scheme val="minor"/>
      </rPr>
      <t>Autosuggest Value:</t>
    </r>
    <r>
      <rPr>
        <sz val="11"/>
        <color theme="1"/>
        <rFont val="Calibri"/>
        <family val="2"/>
        <scheme val="minor"/>
      </rPr>
      <t xml:space="preserve">
 -&gt; 18/12/2025
</t>
    </r>
  </si>
  <si>
    <r>
      <t xml:space="preserve">1. Manual typing should not be allowed in the </t>
    </r>
    <r>
      <rPr>
        <b/>
        <sz val="11"/>
        <color theme="1"/>
        <rFont val="Calibri"/>
        <family val="2"/>
        <scheme val="minor"/>
      </rPr>
      <t xml:space="preserve">Vaild To Date </t>
    </r>
    <r>
      <rPr>
        <sz val="11"/>
        <color theme="1"/>
        <rFont val="Calibri"/>
        <family val="2"/>
        <scheme val="minor"/>
      </rPr>
      <t xml:space="preserve">textbox
2. Date selection should be possible only via calendar autosuggest
3. On invalid manual input, the system should:
 -&gt; </t>
    </r>
    <r>
      <rPr>
        <b/>
        <sz val="11"/>
        <color theme="1"/>
        <rFont val="Calibri"/>
        <family val="2"/>
        <scheme val="minor"/>
      </rPr>
      <t>Clear the field and Display a proper validation message</t>
    </r>
    <r>
      <rPr>
        <sz val="11"/>
        <color theme="1"/>
        <rFont val="Calibri"/>
        <family val="2"/>
        <scheme val="minor"/>
      </rPr>
      <t xml:space="preserve">
4. Selected date should display in </t>
    </r>
    <r>
      <rPr>
        <b/>
        <sz val="11"/>
        <color theme="1"/>
        <rFont val="Calibri"/>
        <family val="2"/>
        <scheme val="minor"/>
      </rPr>
      <t>DD-MM-YYYY</t>
    </r>
    <r>
      <rPr>
        <sz val="11"/>
        <color theme="1"/>
        <rFont val="Calibri"/>
        <family val="2"/>
        <scheme val="minor"/>
      </rPr>
      <t xml:space="preserve"> format
5.</t>
    </r>
    <r>
      <rPr>
        <b/>
        <sz val="11"/>
        <color theme="1"/>
        <rFont val="Calibri"/>
        <family val="2"/>
        <scheme val="minor"/>
      </rPr>
      <t>Vaild To Date</t>
    </r>
    <r>
      <rPr>
        <sz val="11"/>
        <color theme="1"/>
        <rFont val="Calibri"/>
        <family val="2"/>
        <scheme val="minor"/>
      </rPr>
      <t xml:space="preserve"> textbox should accept maximum 10 characters only</t>
    </r>
  </si>
  <si>
    <r>
      <t xml:space="preserve">1. Manual typing should not be allowed in the </t>
    </r>
    <r>
      <rPr>
        <b/>
        <sz val="11"/>
        <color theme="1"/>
        <rFont val="Calibri"/>
        <family val="2"/>
        <scheme val="minor"/>
      </rPr>
      <t xml:space="preserve">Valid From Date </t>
    </r>
    <r>
      <rPr>
        <sz val="11"/>
        <color theme="1"/>
        <rFont val="Calibri"/>
        <family val="2"/>
        <scheme val="minor"/>
      </rPr>
      <t xml:space="preserve">textbox
2. Date selection should be possible only via calendar autosuggest
3. On invalid manual input, the system should:
 -&gt; </t>
    </r>
    <r>
      <rPr>
        <b/>
        <sz val="11"/>
        <color theme="1"/>
        <rFont val="Calibri"/>
        <family val="2"/>
        <scheme val="minor"/>
      </rPr>
      <t>Clear the field and Display a proper validation message</t>
    </r>
    <r>
      <rPr>
        <sz val="11"/>
        <color theme="1"/>
        <rFont val="Calibri"/>
        <family val="2"/>
        <scheme val="minor"/>
      </rPr>
      <t xml:space="preserve">
4. Selected date should display in </t>
    </r>
    <r>
      <rPr>
        <b/>
        <sz val="11"/>
        <color theme="1"/>
        <rFont val="Calibri"/>
        <family val="2"/>
        <scheme val="minor"/>
      </rPr>
      <t>DD-MM-YYYY</t>
    </r>
    <r>
      <rPr>
        <sz val="11"/>
        <color theme="1"/>
        <rFont val="Calibri"/>
        <family val="2"/>
        <scheme val="minor"/>
      </rPr>
      <t xml:space="preserve"> format
5. </t>
    </r>
    <r>
      <rPr>
        <b/>
        <sz val="11"/>
        <color theme="1"/>
        <rFont val="Calibri"/>
        <family val="2"/>
        <scheme val="minor"/>
      </rPr>
      <t>Valid From Date</t>
    </r>
    <r>
      <rPr>
        <sz val="11"/>
        <color theme="1"/>
        <rFont val="Calibri"/>
        <family val="2"/>
        <scheme val="minor"/>
      </rPr>
      <t xml:space="preserve"> textbox should accept maximum 10 characters only</t>
    </r>
  </si>
  <si>
    <r>
      <t xml:space="preserve">1. Functionality is not working as expected.
2. </t>
    </r>
    <r>
      <rPr>
        <b/>
        <sz val="11"/>
        <color theme="1"/>
        <rFont val="Calibri"/>
        <family val="2"/>
        <scheme val="minor"/>
      </rPr>
      <t>Vaild To Date</t>
    </r>
    <r>
      <rPr>
        <sz val="11"/>
        <color theme="1"/>
        <rFont val="Calibri"/>
        <family val="2"/>
        <scheme val="minor"/>
      </rPr>
      <t xml:space="preserve"> textbox allows date selection only through the calendar.
3. Manual typing is allowed, but the entered value is automatically cleared and a validation message is displayed.
4.</t>
    </r>
    <r>
      <rPr>
        <b/>
        <sz val="11"/>
        <color theme="1"/>
        <rFont val="Calibri"/>
        <family val="2"/>
        <scheme val="minor"/>
      </rPr>
      <t xml:space="preserve"> DD-MM-YYYY</t>
    </r>
    <r>
      <rPr>
        <sz val="11"/>
        <color theme="1"/>
        <rFont val="Calibri"/>
        <family val="2"/>
        <scheme val="minor"/>
      </rPr>
      <t xml:space="preserve"> date format validation is not enforced.
5. </t>
    </r>
    <r>
      <rPr>
        <b/>
        <sz val="11"/>
        <color theme="1"/>
        <rFont val="Calibri"/>
        <family val="2"/>
        <scheme val="minor"/>
      </rPr>
      <t>Vaild To Date</t>
    </r>
    <r>
      <rPr>
        <sz val="11"/>
        <color theme="1"/>
        <rFont val="Calibri"/>
        <family val="2"/>
        <scheme val="minor"/>
      </rPr>
      <t xml:space="preserve"> textbox accepts more than 10 characters (up to 20 characters).
6. Validation message text needs to be modified for better clarity.</t>
    </r>
  </si>
  <si>
    <r>
      <t xml:space="preserve">1. Functionality is not working as expected.
2. </t>
    </r>
    <r>
      <rPr>
        <b/>
        <sz val="11"/>
        <color theme="1"/>
        <rFont val="Calibri"/>
        <family val="2"/>
        <scheme val="minor"/>
      </rPr>
      <t>Valid From Date</t>
    </r>
    <r>
      <rPr>
        <sz val="11"/>
        <color theme="1"/>
        <rFont val="Calibri"/>
        <family val="2"/>
        <scheme val="minor"/>
      </rPr>
      <t xml:space="preserve"> textbox allows date selection only through the calendar.
3. Manual typing is allowed, but the entered value is automatically cleared and a validation message is displayed.
4.</t>
    </r>
    <r>
      <rPr>
        <b/>
        <sz val="11"/>
        <color theme="1"/>
        <rFont val="Calibri"/>
        <family val="2"/>
        <scheme val="minor"/>
      </rPr>
      <t xml:space="preserve"> DD-MM-YYYY</t>
    </r>
    <r>
      <rPr>
        <sz val="11"/>
        <color theme="1"/>
        <rFont val="Calibri"/>
        <family val="2"/>
        <scheme val="minor"/>
      </rPr>
      <t xml:space="preserve"> date format validation is not enforced.
5. </t>
    </r>
    <r>
      <rPr>
        <b/>
        <sz val="11"/>
        <color theme="1"/>
        <rFont val="Calibri"/>
        <family val="2"/>
        <scheme val="minor"/>
      </rPr>
      <t>Valid From Date</t>
    </r>
    <r>
      <rPr>
        <sz val="11"/>
        <color theme="1"/>
        <rFont val="Calibri"/>
        <family val="2"/>
        <scheme val="minor"/>
      </rPr>
      <t xml:space="preserve"> textbox accepts more than 10 characters (up to 20 characters).
6. Validation message text needs to be modified for better clarity.</t>
    </r>
  </si>
  <si>
    <t>Sea_Charge_Master_45</t>
  </si>
  <si>
    <r>
      <t xml:space="preserve">Validate the functionality of </t>
    </r>
    <r>
      <rPr>
        <b/>
        <sz val="11"/>
        <color theme="1"/>
        <rFont val="Calibri"/>
        <family val="2"/>
        <scheme val="minor"/>
      </rPr>
      <t>'Via'</t>
    </r>
    <r>
      <rPr>
        <sz val="11"/>
        <color theme="1"/>
        <rFont val="Calibri"/>
        <family val="2"/>
        <scheme val="minor"/>
      </rPr>
      <t xml:space="preserve"> textbox in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</si>
  <si>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Enter valid &amp; Invalid format data in </t>
    </r>
    <r>
      <rPr>
        <b/>
        <sz val="11"/>
        <color theme="1"/>
        <rFont val="Calibri"/>
        <family val="2"/>
        <scheme val="minor"/>
      </rPr>
      <t xml:space="preserve">Via </t>
    </r>
    <r>
      <rPr>
        <sz val="11"/>
        <color theme="1"/>
        <rFont val="Calibri"/>
        <family val="2"/>
        <scheme val="minor"/>
      </rPr>
      <t>textbox and observe the system behaviour.</t>
    </r>
  </si>
  <si>
    <r>
      <t xml:space="preserve">Textbox - </t>
    </r>
    <r>
      <rPr>
        <b/>
        <sz val="11"/>
        <color theme="1"/>
        <rFont val="Calibri"/>
        <family val="2"/>
        <scheme val="minor"/>
      </rPr>
      <t xml:space="preserve">Via
</t>
    </r>
  </si>
  <si>
    <r>
      <t xml:space="preserve">1. As per the use case, the </t>
    </r>
    <r>
      <rPr>
        <b/>
        <sz val="11"/>
        <color theme="1"/>
        <rFont val="Calibri"/>
        <family val="2"/>
        <scheme val="minor"/>
      </rPr>
      <t>Via</t>
    </r>
    <r>
      <rPr>
        <sz val="11"/>
        <color theme="1"/>
        <rFont val="Calibri"/>
        <family val="2"/>
        <scheme val="minor"/>
      </rPr>
      <t xml:space="preserve"> textbox should accept alphanumeric values.
2. </t>
    </r>
    <r>
      <rPr>
        <b/>
        <sz val="11"/>
        <color theme="1"/>
        <rFont val="Calibri"/>
        <family val="2"/>
        <scheme val="minor"/>
      </rPr>
      <t>Via</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</si>
  <si>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The </t>
    </r>
    <r>
      <rPr>
        <b/>
        <sz val="11"/>
        <color rgb="FF9C6500"/>
        <rFont val="Calibri"/>
        <family val="2"/>
        <scheme val="minor"/>
      </rPr>
      <t>Via</t>
    </r>
    <r>
      <rPr>
        <sz val="11"/>
        <color rgb="FF9C6500"/>
        <rFont val="Calibri"/>
        <family val="2"/>
        <scheme val="minor"/>
      </rPr>
      <t xml:space="preserve"> textbox accepts:
 -&gt; Alphabetic values
 -&gt; Numeric values
 -&gt; Special character values
2. The 50-character limit is implemented correctly.
</t>
    </r>
    <r>
      <rPr>
        <b/>
        <sz val="11"/>
        <color rgb="FF9C6500"/>
        <rFont val="Calibri"/>
        <family val="2"/>
        <scheme val="minor"/>
      </rPr>
      <t xml:space="preserve">Note: As per business Rule, This textbox should accept all type value and it is accepting. </t>
    </r>
  </si>
  <si>
    <t>Sea_Charge_Master_46</t>
  </si>
  <si>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In the </t>
    </r>
    <r>
      <rPr>
        <b/>
        <sz val="11"/>
        <color theme="1"/>
        <rFont val="Calibri"/>
        <family val="2"/>
        <scheme val="minor"/>
      </rPr>
      <t>Sea Charge Master</t>
    </r>
    <r>
      <rPr>
        <sz val="11"/>
        <color theme="1"/>
        <rFont val="Calibri"/>
        <family val="2"/>
        <scheme val="minor"/>
      </rPr>
      <t xml:space="preserve"> Page, Fill all mandatory and non-mandatory fields with valid data.
5. Do not upload any file
6. Click on the Add button
7. Observe the Charges Details Grid and related UI behavior</t>
    </r>
  </si>
  <si>
    <r>
      <rPr>
        <sz val="11"/>
        <color theme="1"/>
        <rFont val="Calibri"/>
        <family val="2"/>
        <scheme val="minor"/>
      </rPr>
      <t xml:space="preserve">Valid input values for all mandatory and non-mandatory fields
File upload: </t>
    </r>
    <r>
      <rPr>
        <b/>
        <sz val="11"/>
        <color theme="1"/>
        <rFont val="Calibri"/>
        <family val="2"/>
        <scheme val="minor"/>
      </rPr>
      <t>Not uploaded</t>
    </r>
    <r>
      <rPr>
        <sz val="11"/>
        <color theme="1"/>
        <rFont val="Calibri"/>
        <family val="2"/>
        <scheme val="minor"/>
      </rPr>
      <t xml:space="preserve">
</t>
    </r>
    <r>
      <rPr>
        <b/>
        <sz val="11"/>
        <color theme="1"/>
        <rFont val="Calibri"/>
        <family val="2"/>
        <scheme val="minor"/>
      </rPr>
      <t xml:space="preserve">
</t>
    </r>
  </si>
  <si>
    <r>
      <t xml:space="preserve">1. After filling all mandatory and non-mandatory fields, clicking the </t>
    </r>
    <r>
      <rPr>
        <b/>
        <sz val="11"/>
        <color theme="1"/>
        <rFont val="Calibri"/>
        <family val="2"/>
        <scheme val="minor"/>
      </rPr>
      <t>Add</t>
    </r>
    <r>
      <rPr>
        <sz val="11"/>
        <color theme="1"/>
        <rFont val="Calibri"/>
        <family val="2"/>
        <scheme val="minor"/>
      </rPr>
      <t xml:space="preserve"> button should successfully add a record to the </t>
    </r>
    <r>
      <rPr>
        <b/>
        <sz val="11"/>
        <color theme="1"/>
        <rFont val="Calibri"/>
        <family val="2"/>
        <scheme val="minor"/>
      </rPr>
      <t>Charges Details Grid</t>
    </r>
    <r>
      <rPr>
        <sz val="11"/>
        <color theme="1"/>
        <rFont val="Calibri"/>
        <family val="2"/>
        <scheme val="minor"/>
      </rPr>
      <t xml:space="preserve">, and all textbox values should be cleared.
2. Values in the </t>
    </r>
    <r>
      <rPr>
        <b/>
        <sz val="11"/>
        <color theme="1"/>
        <rFont val="Calibri"/>
        <family val="2"/>
        <scheme val="minor"/>
      </rPr>
      <t>Charges Details Grid</t>
    </r>
    <r>
      <rPr>
        <sz val="11"/>
        <color theme="1"/>
        <rFont val="Calibri"/>
        <family val="2"/>
        <scheme val="minor"/>
      </rPr>
      <t xml:space="preserve"> should be displayed under the correct column headers.
3. When the added grid record is selected:
 -&gt; The corresponding data should populate the respective textboxes correctly.
4. After adding a record to the grid:
 -&gt; The user should be able to save the record using the </t>
    </r>
    <r>
      <rPr>
        <b/>
        <sz val="11"/>
        <color theme="1"/>
        <rFont val="Calibri"/>
        <family val="2"/>
        <scheme val="minor"/>
      </rPr>
      <t>Save</t>
    </r>
    <r>
      <rPr>
        <sz val="11"/>
        <color theme="1"/>
        <rFont val="Calibri"/>
        <family val="2"/>
        <scheme val="minor"/>
      </rPr>
      <t xml:space="preserve"> button, and the saved record should appear in the left-side panel list.
 -&gt; The newly saved record should be searchable and selectable from the left-side panel.
 -&gt; The user should be able to click </t>
    </r>
    <r>
      <rPr>
        <b/>
        <sz val="11"/>
        <color theme="1"/>
        <rFont val="Calibri"/>
        <family val="2"/>
        <scheme val="minor"/>
      </rPr>
      <t>Clear,</t>
    </r>
    <r>
      <rPr>
        <sz val="11"/>
        <color theme="1"/>
        <rFont val="Calibri"/>
        <family val="2"/>
        <scheme val="minor"/>
      </rPr>
      <t xml:space="preserve"> after which all textboxes should be cleared and the grid entry should be removed.</t>
    </r>
  </si>
  <si>
    <t>1. Functionality is not working as expected.
2. On clicking the Add button:
 -&gt; The record is added successfully to the Charges Details Grid.
 -&gt; Textbox values are not cleared after adding the record.
 -&gt; Repeatedly clicking the Add button adds the same values as duplicate records in the grid continuously.
3. On clicking the Save button:
 -&gt; The record is saved successfully and appears in the left-side panel list.
 -&gt; Saved record is not selectable from the left-side panel list.
4. On clicking the Clear button:
 -&gt; The record and textbox values are cleared successfully.</t>
  </si>
  <si>
    <t>Sea_Charge_Master_47</t>
  </si>
  <si>
    <r>
      <t xml:space="preserve">Validate the functionality of </t>
    </r>
    <r>
      <rPr>
        <b/>
        <sz val="11"/>
        <color theme="1"/>
        <rFont val="Calibri"/>
        <family val="2"/>
        <scheme val="minor"/>
      </rPr>
      <t>Add</t>
    </r>
    <r>
      <rPr>
        <sz val="11"/>
        <color theme="1"/>
        <rFont val="Calibri"/>
        <family val="2"/>
        <scheme val="minor"/>
      </rPr>
      <t xml:space="preserve"> button when </t>
    </r>
    <r>
      <rPr>
        <b/>
        <sz val="11"/>
        <color theme="1"/>
        <rFont val="Calibri"/>
        <family val="2"/>
        <scheme val="minor"/>
      </rPr>
      <t>only</t>
    </r>
    <r>
      <rPr>
        <sz val="11"/>
        <color theme="1"/>
        <rFont val="Calibri"/>
        <family val="2"/>
        <scheme val="minor"/>
      </rPr>
      <t xml:space="preserve"> </t>
    </r>
    <r>
      <rPr>
        <b/>
        <sz val="11"/>
        <color theme="1"/>
        <rFont val="Calibri"/>
        <family val="2"/>
        <scheme val="minor"/>
      </rPr>
      <t xml:space="preserve">mandatory </t>
    </r>
    <r>
      <rPr>
        <sz val="11"/>
        <color theme="1"/>
        <rFont val="Calibri"/>
        <family val="2"/>
        <scheme val="minor"/>
      </rPr>
      <t>fields are filled and</t>
    </r>
    <r>
      <rPr>
        <b/>
        <sz val="11"/>
        <color theme="1"/>
        <rFont val="Calibri"/>
        <family val="2"/>
        <scheme val="minor"/>
      </rPr>
      <t xml:space="preserve"> file is not uploaded</t>
    </r>
    <r>
      <rPr>
        <sz val="11"/>
        <color theme="1"/>
        <rFont val="Calibri"/>
        <family val="2"/>
        <scheme val="minor"/>
      </rPr>
      <t xml:space="preserve"> in the </t>
    </r>
    <r>
      <rPr>
        <b/>
        <sz val="11"/>
        <color theme="1"/>
        <rFont val="Calibri"/>
        <family val="2"/>
        <scheme val="minor"/>
      </rPr>
      <t>Sea Charge Master</t>
    </r>
    <r>
      <rPr>
        <sz val="11"/>
        <color theme="1"/>
        <rFont val="Calibri"/>
        <family val="2"/>
        <scheme val="minor"/>
      </rPr>
      <t xml:space="preserve"> Page. 
</t>
    </r>
  </si>
  <si>
    <r>
      <t xml:space="preserve">Validate the functionality of </t>
    </r>
    <r>
      <rPr>
        <b/>
        <sz val="11"/>
        <color theme="1"/>
        <rFont val="Calibri"/>
        <family val="2"/>
        <scheme val="minor"/>
      </rPr>
      <t>Add</t>
    </r>
    <r>
      <rPr>
        <sz val="11"/>
        <color theme="1"/>
        <rFont val="Calibri"/>
        <family val="2"/>
        <scheme val="minor"/>
      </rPr>
      <t xml:space="preserve"> button when all </t>
    </r>
    <r>
      <rPr>
        <b/>
        <sz val="11"/>
        <color theme="1"/>
        <rFont val="Calibri"/>
        <family val="2"/>
        <scheme val="minor"/>
      </rPr>
      <t>mandatory and non-mandatory</t>
    </r>
    <r>
      <rPr>
        <sz val="11"/>
        <color theme="1"/>
        <rFont val="Calibri"/>
        <family val="2"/>
        <scheme val="minor"/>
      </rPr>
      <t xml:space="preserve"> fields are filled and</t>
    </r>
    <r>
      <rPr>
        <b/>
        <sz val="11"/>
        <color theme="1"/>
        <rFont val="Calibri"/>
        <family val="2"/>
        <scheme val="minor"/>
      </rPr>
      <t xml:space="preserve"> file is not uploaded</t>
    </r>
    <r>
      <rPr>
        <sz val="11"/>
        <color theme="1"/>
        <rFont val="Calibri"/>
        <family val="2"/>
        <scheme val="minor"/>
      </rPr>
      <t xml:space="preserve"> in the </t>
    </r>
    <r>
      <rPr>
        <b/>
        <sz val="11"/>
        <color theme="1"/>
        <rFont val="Calibri"/>
        <family val="2"/>
        <scheme val="minor"/>
      </rPr>
      <t>Sea Charge Master</t>
    </r>
    <r>
      <rPr>
        <sz val="11"/>
        <color theme="1"/>
        <rFont val="Calibri"/>
        <family val="2"/>
        <scheme val="minor"/>
      </rPr>
      <t xml:space="preserve"> Page. 
</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</si>
  <si>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In the </t>
    </r>
    <r>
      <rPr>
        <b/>
        <sz val="11"/>
        <color theme="1"/>
        <rFont val="Calibri"/>
        <family val="2"/>
        <scheme val="minor"/>
      </rPr>
      <t>Sea Charge Master</t>
    </r>
    <r>
      <rPr>
        <sz val="11"/>
        <color theme="1"/>
        <rFont val="Calibri"/>
        <family val="2"/>
        <scheme val="minor"/>
      </rPr>
      <t xml:space="preserve"> Page, Fill all mandatory fields with valid data.
5. Do not upload any file
6. Click on the Add button
7. Observe the Charges Details Grid and related UI behavior</t>
    </r>
  </si>
  <si>
    <r>
      <rPr>
        <sz val="11"/>
        <color theme="1"/>
        <rFont val="Calibri"/>
        <family val="2"/>
        <scheme val="minor"/>
      </rPr>
      <t xml:space="preserve">File upload: </t>
    </r>
    <r>
      <rPr>
        <b/>
        <sz val="11"/>
        <color theme="1"/>
        <rFont val="Calibri"/>
        <family val="2"/>
        <scheme val="minor"/>
      </rPr>
      <t>Not uploaded
Mandatory Field as per Page UI:</t>
    </r>
    <r>
      <rPr>
        <sz val="11"/>
        <color theme="1"/>
        <rFont val="Calibri"/>
        <family val="2"/>
        <scheme val="minor"/>
      </rPr>
      <t xml:space="preserve">
 -&gt; Destination 
-&gt; Origin
 -&gt; Segment
 -&gt; Unit
 -&gt; Amount Per Unit
 -&gt; Basis
</t>
    </r>
    <r>
      <rPr>
        <b/>
        <sz val="11"/>
        <color theme="1"/>
        <rFont val="Calibri"/>
        <family val="2"/>
        <scheme val="minor"/>
      </rPr>
      <t xml:space="preserve">
</t>
    </r>
  </si>
  <si>
    <r>
      <t xml:space="preserve">1. After filling only the </t>
    </r>
    <r>
      <rPr>
        <b/>
        <sz val="11"/>
        <color theme="1"/>
        <rFont val="Calibri"/>
        <family val="2"/>
        <scheme val="minor"/>
      </rPr>
      <t>mandatory</t>
    </r>
    <r>
      <rPr>
        <sz val="11"/>
        <color theme="1"/>
        <rFont val="Calibri"/>
        <family val="2"/>
        <scheme val="minor"/>
      </rPr>
      <t xml:space="preserve"> fields and </t>
    </r>
    <r>
      <rPr>
        <b/>
        <sz val="11"/>
        <color theme="1"/>
        <rFont val="Calibri"/>
        <family val="2"/>
        <scheme val="minor"/>
      </rPr>
      <t>without uploading a file</t>
    </r>
    <r>
      <rPr>
        <sz val="11"/>
        <color theme="1"/>
        <rFont val="Calibri"/>
        <family val="2"/>
        <scheme val="minor"/>
      </rPr>
      <t xml:space="preserve">, clicking the </t>
    </r>
    <r>
      <rPr>
        <b/>
        <sz val="11"/>
        <color theme="1"/>
        <rFont val="Calibri"/>
        <family val="2"/>
        <scheme val="minor"/>
      </rPr>
      <t>Add</t>
    </r>
    <r>
      <rPr>
        <sz val="11"/>
        <color theme="1"/>
        <rFont val="Calibri"/>
        <family val="2"/>
        <scheme val="minor"/>
      </rPr>
      <t xml:space="preserve"> button should successfully add a record to the </t>
    </r>
    <r>
      <rPr>
        <b/>
        <sz val="11"/>
        <color theme="1"/>
        <rFont val="Calibri"/>
        <family val="2"/>
        <scheme val="minor"/>
      </rPr>
      <t>Charges Details Grid.</t>
    </r>
    <r>
      <rPr>
        <sz val="11"/>
        <color theme="1"/>
        <rFont val="Calibri"/>
        <family val="2"/>
        <scheme val="minor"/>
      </rPr>
      <t xml:space="preserve">
2. Values in the </t>
    </r>
    <r>
      <rPr>
        <b/>
        <sz val="11"/>
        <color theme="1"/>
        <rFont val="Calibri"/>
        <family val="2"/>
        <scheme val="minor"/>
      </rPr>
      <t>Charges Details Grid</t>
    </r>
    <r>
      <rPr>
        <sz val="11"/>
        <color theme="1"/>
        <rFont val="Calibri"/>
        <family val="2"/>
        <scheme val="minor"/>
      </rPr>
      <t xml:space="preserve"> should be displayed under the correct column headers corresponding to the entered mandatory fields.
3. When the added grid record is selected:
 -&gt; The corresponding data should populate the respective textboxes correctly.
4. After adding the record to the </t>
    </r>
    <r>
      <rPr>
        <b/>
        <sz val="11"/>
        <color theme="1"/>
        <rFont val="Calibri"/>
        <family val="2"/>
        <scheme val="minor"/>
      </rPr>
      <t>grid:</t>
    </r>
    <r>
      <rPr>
        <sz val="11"/>
        <color theme="1"/>
        <rFont val="Calibri"/>
        <family val="2"/>
        <scheme val="minor"/>
      </rPr>
      <t xml:space="preserve">
 -&gt; The user should be able to </t>
    </r>
    <r>
      <rPr>
        <b/>
        <sz val="11"/>
        <color theme="1"/>
        <rFont val="Calibri"/>
        <family val="2"/>
        <scheme val="minor"/>
      </rPr>
      <t>save</t>
    </r>
    <r>
      <rPr>
        <sz val="11"/>
        <color theme="1"/>
        <rFont val="Calibri"/>
        <family val="2"/>
        <scheme val="minor"/>
      </rPr>
      <t xml:space="preserve"> the record using the </t>
    </r>
    <r>
      <rPr>
        <b/>
        <sz val="11"/>
        <color theme="1"/>
        <rFont val="Calibri"/>
        <family val="2"/>
        <scheme val="minor"/>
      </rPr>
      <t>Save</t>
    </r>
    <r>
      <rPr>
        <sz val="11"/>
        <color theme="1"/>
        <rFont val="Calibri"/>
        <family val="2"/>
        <scheme val="minor"/>
      </rPr>
      <t xml:space="preserve"> button, and the saved record should </t>
    </r>
    <r>
      <rPr>
        <b/>
        <sz val="11"/>
        <color theme="1"/>
        <rFont val="Calibri"/>
        <family val="2"/>
        <scheme val="minor"/>
      </rPr>
      <t>appear in the left-side panel list.</t>
    </r>
    <r>
      <rPr>
        <sz val="11"/>
        <color theme="1"/>
        <rFont val="Calibri"/>
        <family val="2"/>
        <scheme val="minor"/>
      </rPr>
      <t xml:space="preserve">
 -&gt; The newly saved record should be </t>
    </r>
    <r>
      <rPr>
        <b/>
        <sz val="11"/>
        <color theme="1"/>
        <rFont val="Calibri"/>
        <family val="2"/>
        <scheme val="minor"/>
      </rPr>
      <t>searchable</t>
    </r>
    <r>
      <rPr>
        <sz val="11"/>
        <color theme="1"/>
        <rFont val="Calibri"/>
        <family val="2"/>
        <scheme val="minor"/>
      </rPr>
      <t xml:space="preserve"> and </t>
    </r>
    <r>
      <rPr>
        <b/>
        <sz val="11"/>
        <color theme="1"/>
        <rFont val="Calibri"/>
        <family val="2"/>
        <scheme val="minor"/>
      </rPr>
      <t>selectable</t>
    </r>
    <r>
      <rPr>
        <sz val="11"/>
        <color theme="1"/>
        <rFont val="Calibri"/>
        <family val="2"/>
        <scheme val="minor"/>
      </rPr>
      <t xml:space="preserve"> from the </t>
    </r>
    <r>
      <rPr>
        <b/>
        <sz val="11"/>
        <color theme="1"/>
        <rFont val="Calibri"/>
        <family val="2"/>
        <scheme val="minor"/>
      </rPr>
      <t>left-side panel list</t>
    </r>
    <r>
      <rPr>
        <sz val="11"/>
        <color theme="1"/>
        <rFont val="Calibri"/>
        <family val="2"/>
        <scheme val="minor"/>
      </rPr>
      <t xml:space="preserve">.
 -&gt; Clicking the </t>
    </r>
    <r>
      <rPr>
        <b/>
        <sz val="11"/>
        <color theme="1"/>
        <rFont val="Calibri"/>
        <family val="2"/>
        <scheme val="minor"/>
      </rPr>
      <t>Clear</t>
    </r>
    <r>
      <rPr>
        <sz val="11"/>
        <color theme="1"/>
        <rFont val="Calibri"/>
        <family val="2"/>
        <scheme val="minor"/>
      </rPr>
      <t xml:space="preserve"> button should clear all textboxes and remove/reset the grid entry.</t>
    </r>
  </si>
  <si>
    <r>
      <t xml:space="preserve">1. Functionality is not working as expected.
2. After filling all mandatory fields and clicking the Add button:
 -&gt; The record is not added to the Charges Details Grid.
 -&gt; The system displays validation messages for non-mandatory fields, asking the user to enter valid data.
 -&gt; These fields are not marked as mandatory in the UI, but the system behaves as if they are mandatory.
3. Due to this behavior, the user is unable to add a record using only the mandatory fields.
</t>
    </r>
    <r>
      <rPr>
        <b/>
        <sz val="11"/>
        <color theme="1"/>
        <rFont val="Calibri"/>
        <family val="2"/>
        <scheme val="minor"/>
      </rPr>
      <t>4. Non-mandatory field showing mandatory validation:
 -&gt; Charge Type</t>
    </r>
  </si>
  <si>
    <t>Sea_Charge_Master_48</t>
  </si>
  <si>
    <r>
      <t xml:space="preserve">Validate the functionality of </t>
    </r>
    <r>
      <rPr>
        <b/>
        <sz val="11"/>
        <color theme="1"/>
        <rFont val="Calibri"/>
        <family val="2"/>
        <scheme val="minor"/>
      </rPr>
      <t>Add</t>
    </r>
    <r>
      <rPr>
        <sz val="11"/>
        <color theme="1"/>
        <rFont val="Calibri"/>
        <family val="2"/>
        <scheme val="minor"/>
      </rPr>
      <t xml:space="preserve"> button when </t>
    </r>
    <r>
      <rPr>
        <b/>
        <sz val="11"/>
        <color theme="1"/>
        <rFont val="Calibri"/>
        <family val="2"/>
        <scheme val="minor"/>
      </rPr>
      <t>only</t>
    </r>
    <r>
      <rPr>
        <sz val="11"/>
        <color theme="1"/>
        <rFont val="Calibri"/>
        <family val="2"/>
        <scheme val="minor"/>
      </rPr>
      <t xml:space="preserve"> </t>
    </r>
    <r>
      <rPr>
        <b/>
        <sz val="11"/>
        <color theme="1"/>
        <rFont val="Calibri"/>
        <family val="2"/>
        <scheme val="minor"/>
      </rPr>
      <t>Non-</t>
    </r>
    <r>
      <rPr>
        <b/>
        <sz val="11"/>
        <color theme="1"/>
        <rFont val="Calibri"/>
        <family val="2"/>
        <scheme val="minor"/>
      </rPr>
      <t xml:space="preserve">mandatory </t>
    </r>
    <r>
      <rPr>
        <sz val="11"/>
        <color theme="1"/>
        <rFont val="Calibri"/>
        <family val="2"/>
        <scheme val="minor"/>
      </rPr>
      <t>fields are filled and</t>
    </r>
    <r>
      <rPr>
        <b/>
        <sz val="11"/>
        <color theme="1"/>
        <rFont val="Calibri"/>
        <family val="2"/>
        <scheme val="minor"/>
      </rPr>
      <t xml:space="preserve"> file is not uploaded</t>
    </r>
    <r>
      <rPr>
        <sz val="11"/>
        <color theme="1"/>
        <rFont val="Calibri"/>
        <family val="2"/>
        <scheme val="minor"/>
      </rPr>
      <t xml:space="preserve"> in the </t>
    </r>
    <r>
      <rPr>
        <b/>
        <sz val="11"/>
        <color theme="1"/>
        <rFont val="Calibri"/>
        <family val="2"/>
        <scheme val="minor"/>
      </rPr>
      <t>Sea Charge Master</t>
    </r>
    <r>
      <rPr>
        <sz val="11"/>
        <color theme="1"/>
        <rFont val="Calibri"/>
        <family val="2"/>
        <scheme val="minor"/>
      </rPr>
      <t xml:space="preserve"> Page. 
</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</si>
  <si>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In the </t>
    </r>
    <r>
      <rPr>
        <b/>
        <sz val="11"/>
        <color theme="1"/>
        <rFont val="Calibri"/>
        <family val="2"/>
        <scheme val="minor"/>
      </rPr>
      <t>Sea Charge Master</t>
    </r>
    <r>
      <rPr>
        <sz val="11"/>
        <color theme="1"/>
        <rFont val="Calibri"/>
        <family val="2"/>
        <scheme val="minor"/>
      </rPr>
      <t xml:space="preserve"> Page, Fill all Non-mandatory fields with valid data.
5. Do not upload any file
6. Click on the Add button
7. Observe the Charges Details Grid and related UI behavior.</t>
    </r>
  </si>
  <si>
    <r>
      <rPr>
        <sz val="11"/>
        <color theme="1"/>
        <rFont val="Calibri"/>
        <family val="2"/>
        <scheme val="minor"/>
      </rPr>
      <t xml:space="preserve"> -&gt; Mandatory Fields: Left blank
 -&gt; Non-Mandatory Fields: Filled with valid data
 -&gt; File Upload: Not uploaded
</t>
    </r>
    <r>
      <rPr>
        <b/>
        <sz val="11"/>
        <color theme="1"/>
        <rFont val="Calibri"/>
        <family val="2"/>
        <scheme val="minor"/>
      </rPr>
      <t xml:space="preserve">
</t>
    </r>
  </si>
  <si>
    <r>
      <t xml:space="preserve">1. When only </t>
    </r>
    <r>
      <rPr>
        <b/>
        <sz val="11"/>
        <color theme="1"/>
        <rFont val="Calibri"/>
        <family val="2"/>
        <scheme val="minor"/>
      </rPr>
      <t xml:space="preserve">non-mandatory </t>
    </r>
    <r>
      <rPr>
        <sz val="11"/>
        <color theme="1"/>
        <rFont val="Calibri"/>
        <family val="2"/>
        <scheme val="minor"/>
      </rPr>
      <t xml:space="preserve">fields are filled, clicking the </t>
    </r>
    <r>
      <rPr>
        <b/>
        <sz val="11"/>
        <color theme="1"/>
        <rFont val="Calibri"/>
        <family val="2"/>
        <scheme val="minor"/>
      </rPr>
      <t>Add</t>
    </r>
    <r>
      <rPr>
        <sz val="11"/>
        <color theme="1"/>
        <rFont val="Calibri"/>
        <family val="2"/>
        <scheme val="minor"/>
      </rPr>
      <t xml:space="preserve"> button should not add any record to the </t>
    </r>
    <r>
      <rPr>
        <b/>
        <sz val="11"/>
        <color theme="1"/>
        <rFont val="Calibri"/>
        <family val="2"/>
        <scheme val="minor"/>
      </rPr>
      <t>Charges Details Grid.</t>
    </r>
    <r>
      <rPr>
        <sz val="11"/>
        <color theme="1"/>
        <rFont val="Calibri"/>
        <family val="2"/>
        <scheme val="minor"/>
      </rPr>
      <t xml:space="preserve">
2. Validation messages should be displayed for </t>
    </r>
    <r>
      <rPr>
        <b/>
        <sz val="11"/>
        <color theme="1"/>
        <rFont val="Calibri"/>
        <family val="2"/>
        <scheme val="minor"/>
      </rPr>
      <t>all mandatory fields</t>
    </r>
    <r>
      <rPr>
        <sz val="11"/>
        <color theme="1"/>
        <rFont val="Calibri"/>
        <family val="2"/>
        <scheme val="minor"/>
      </rPr>
      <t xml:space="preserve">, with:
 -&gt; Clear and correct validation text.
 -&gt; Validation shown as per the textbox sequence on the page
3. Only after </t>
    </r>
    <r>
      <rPr>
        <b/>
        <sz val="11"/>
        <color theme="1"/>
        <rFont val="Calibri"/>
        <family val="2"/>
        <scheme val="minor"/>
      </rPr>
      <t>all mandatory fields are filled</t>
    </r>
    <r>
      <rPr>
        <sz val="11"/>
        <color theme="1"/>
        <rFont val="Calibri"/>
        <family val="2"/>
        <scheme val="minor"/>
      </rPr>
      <t xml:space="preserve"> with valid data should the user be able to:
 -&gt; Add a record to the Charges Details Grid
 -&gt; Perform further actions such as </t>
    </r>
    <r>
      <rPr>
        <b/>
        <sz val="11"/>
        <color theme="1"/>
        <rFont val="Calibri"/>
        <family val="2"/>
        <scheme val="minor"/>
      </rPr>
      <t>Save</t>
    </r>
    <r>
      <rPr>
        <sz val="11"/>
        <color theme="1"/>
        <rFont val="Calibri"/>
        <family val="2"/>
        <scheme val="minor"/>
      </rPr>
      <t xml:space="preserve"> or </t>
    </r>
    <r>
      <rPr>
        <b/>
        <sz val="11"/>
        <color theme="1"/>
        <rFont val="Calibri"/>
        <family val="2"/>
        <scheme val="minor"/>
      </rPr>
      <t>Clear.</t>
    </r>
  </si>
  <si>
    <r>
      <t xml:space="preserve">1. After filling only the non-mandatory fields, clicking the Add button does not add any record to the Charges Details Grid.
2. Validation messages are displayed for all mandatory fields; however, the validation sequence does not match the textbox sequence on the page.
3. After filling all mandatory fields with valid data, the user is able to:
 -&gt; Add a record to the Charges Details Grid
 -&gt; Perform further actions such as Save and Clear
</t>
    </r>
    <r>
      <rPr>
        <b/>
        <sz val="11"/>
        <color theme="1"/>
        <rFont val="Calibri"/>
        <family val="2"/>
        <scheme val="minor"/>
      </rPr>
      <t>Textbox sequnece as per Page UI:</t>
    </r>
    <r>
      <rPr>
        <sz val="11"/>
        <color theme="1"/>
        <rFont val="Calibri"/>
        <family val="2"/>
        <scheme val="minor"/>
      </rPr>
      <t xml:space="preserve">
Charge Type -&gt; Destination -&gt; Origin -&gt; Segment -&gt; Unit -&gt; Amount Per Unit -&gt; Basis
</t>
    </r>
    <r>
      <rPr>
        <b/>
        <sz val="11"/>
        <color theme="1"/>
        <rFont val="Calibri"/>
        <family val="2"/>
        <scheme val="minor"/>
      </rPr>
      <t xml:space="preserve">Current Mandatory field validation Sequence:
</t>
    </r>
    <r>
      <rPr>
        <sz val="11"/>
        <color theme="1"/>
        <rFont val="Calibri"/>
        <family val="2"/>
        <scheme val="minor"/>
      </rPr>
      <t>Charge Type -&gt; Basis -&gt; Destination -&gt; Origin -&gt; Segment -&gt; Unit -&gt; Amount Per Unit</t>
    </r>
  </si>
  <si>
    <r>
      <t xml:space="preserve">1. Functionality is working as expected.
2. The textbox is accepting </t>
    </r>
    <r>
      <rPr>
        <b/>
        <sz val="11"/>
        <color theme="1"/>
        <rFont val="Calibri"/>
        <family val="2"/>
        <scheme val="minor"/>
      </rPr>
      <t>all special characters and space-only inputs.</t>
    </r>
    <r>
      <rPr>
        <sz val="11"/>
        <color theme="1"/>
        <rFont val="Calibri"/>
        <family val="2"/>
        <scheme val="minor"/>
      </rPr>
      <t xml:space="preserve">
3. The 100-character limit is implemented successfully.</t>
    </r>
  </si>
  <si>
    <t xml:space="preserve">Fixed </t>
  </si>
  <si>
    <t>1. Functionality is not working as expected.
2. Special character, alphabets value are accepting.
3. Maximum character length restriction (8 characters) is implemented correctly.</t>
  </si>
  <si>
    <t>BA-288</t>
  </si>
  <si>
    <t>BA-289</t>
  </si>
  <si>
    <t>BA-290</t>
  </si>
  <si>
    <t>BA-291</t>
  </si>
  <si>
    <t>BA-292</t>
  </si>
  <si>
    <t>BA-293</t>
  </si>
  <si>
    <t>BA-294</t>
  </si>
  <si>
    <t>BA-295</t>
  </si>
  <si>
    <r>
      <t xml:space="preserve">1. Open the application and log in 
2. Select Branch: AHMEDABAD, Export Type: Export Sea, FY 2025–2026, click OK.
3. Navigate to </t>
    </r>
    <r>
      <rPr>
        <b/>
        <sz val="11"/>
        <color theme="1"/>
        <rFont val="Calibri"/>
        <family val="2"/>
        <scheme val="minor"/>
      </rPr>
      <t xml:space="preserve">Masters -&gt; Regional Master -&gt; Region Master
</t>
    </r>
  </si>
  <si>
    <t>There is no use of this button in this page.
(Discussed with Sudhir Sir)</t>
  </si>
  <si>
    <t>Need to remove it from this page.
(Discussed with Sudhir Sir)</t>
  </si>
  <si>
    <t>BA-296</t>
  </si>
  <si>
    <t>1. Functionality is working as expected.
2. Entries count is not changing dynamically.
3. On Clicking clear button, it is chaging.</t>
  </si>
  <si>
    <t>BA-297</t>
  </si>
  <si>
    <t>BA-298</t>
  </si>
  <si>
    <t>BA-299</t>
  </si>
  <si>
    <t>BA-300</t>
  </si>
  <si>
    <t>BA-301</t>
  </si>
  <si>
    <t xml:space="preserve">1. Selected record details are displayed correctly in the textboxes, but the selected record is removed from the left-side list. It reappears only after refresh the page.
2. When selecting another record, the textboxes update, but that selected record is also removed from the list.
</t>
  </si>
  <si>
    <r>
      <t>1. Functionality is working as Expected.
2. Left-side panel list gets removed after clicking Clear and the list reappears only after refreshing the page. (It should not be removed.)
Note -</t>
    </r>
    <r>
      <rPr>
        <b/>
        <sz val="11"/>
        <color theme="1"/>
        <rFont val="Calibri"/>
        <family val="2"/>
        <scheme val="minor"/>
      </rPr>
      <t xml:space="preserve"> The system is not asking for confirmation before clearing the page.</t>
    </r>
  </si>
  <si>
    <t>BA-302</t>
  </si>
  <si>
    <t>BA-303</t>
  </si>
  <si>
    <t>BA-304</t>
  </si>
  <si>
    <t>BA-305</t>
  </si>
  <si>
    <t>BA-306</t>
  </si>
  <si>
    <t>No use of this button in this foam, Discussed with Sudhir Sir.
Need to remove it.</t>
  </si>
  <si>
    <t>BA-308</t>
  </si>
  <si>
    <t>BA-309</t>
  </si>
  <si>
    <t>BA-310</t>
  </si>
  <si>
    <t>BA-312</t>
  </si>
  <si>
    <r>
      <t xml:space="preserve">Validate the functionality of </t>
    </r>
    <r>
      <rPr>
        <b/>
        <sz val="11"/>
        <color theme="1"/>
        <rFont val="Calibri"/>
        <family val="2"/>
        <scheme val="minor"/>
      </rPr>
      <t>Query</t>
    </r>
    <r>
      <rPr>
        <sz val="11"/>
        <color theme="1"/>
        <rFont val="Calibri"/>
        <family val="2"/>
        <scheme val="minor"/>
      </rPr>
      <t xml:space="preserve"> button on the CHA Service Master page.</t>
    </r>
  </si>
  <si>
    <t>1. Functionality is  working as expected.
2. Record is not saved when mandatory fields are blank (correct behavior).
3. Validation message text does not match the corresponding textbox label. (Updated in Test Cases 22)
4. Validation message sequence does not follow the textbox order. (Updated in Test Cases 22)</t>
  </si>
  <si>
    <r>
      <t xml:space="preserve">1. Open the application and log in 
2. Select Branch: AHMEDABAD, Export Type: Export Sea, FY 2025–2026, click OK.
3. Navigate to </t>
    </r>
    <r>
      <rPr>
        <b/>
        <sz val="11"/>
        <color theme="1"/>
        <rFont val="Calibri"/>
        <family val="2"/>
        <scheme val="minor"/>
      </rPr>
      <t xml:space="preserve">Masters -&gt; Shipment Info -&gt; CHA Service Master
</t>
    </r>
  </si>
  <si>
    <t>BA-313</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</si>
  <si>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and Error pop-up messages </t>
    </r>
    <r>
      <rPr>
        <sz val="11"/>
        <color theme="1"/>
        <rFont val="Calibri"/>
        <family val="2"/>
        <scheme val="minor"/>
      </rPr>
      <t xml:space="preserve">on the </t>
    </r>
    <r>
      <rPr>
        <b/>
        <sz val="11"/>
        <color theme="1"/>
        <rFont val="Calibri"/>
        <family val="2"/>
        <scheme val="minor"/>
      </rPr>
      <t>CHA Service</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t>
    </r>
  </si>
  <si>
    <t>1. Success and Error pop-ups should appear with clear, readable messages.
2. Messages should be properly formatted and user-friendly.
3. Correct validation message should be displayed as per textbox level and validation message sequence should be correct as per the textbox sequence.</t>
  </si>
  <si>
    <t>BA-314</t>
  </si>
  <si>
    <t>Sea_Charge_Master_49</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</si>
  <si>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Sea Charge Master Page. 
</t>
    </r>
  </si>
  <si>
    <t>Any valid data  to create an Sea Charge record.</t>
  </si>
  <si>
    <r>
      <t xml:space="preserve">1. The newly saved record should be selectable from the left-side panel.
2. Selected record data should be displayed correctly in the grid and corresponding textboxes.
3. </t>
    </r>
    <r>
      <rPr>
        <b/>
        <sz val="11"/>
        <color theme="1"/>
        <rFont val="Calibri"/>
        <family val="2"/>
        <scheme val="minor"/>
      </rPr>
      <t xml:space="preserve">Entered By </t>
    </r>
    <r>
      <rPr>
        <sz val="11"/>
        <color theme="1"/>
        <rFont val="Calibri"/>
        <family val="2"/>
        <scheme val="minor"/>
      </rPr>
      <t>textbox should be auto-populated with the username of the logged-in user who saved the record.</t>
    </r>
  </si>
  <si>
    <r>
      <t xml:space="preserve">1. Newly saved record is not selectable from the left-side panel.
2. On selection, record data is not displayed in the grid or corresponding textboxes.
3. </t>
    </r>
    <r>
      <rPr>
        <b/>
        <sz val="11"/>
        <color theme="1"/>
        <rFont val="Calibri"/>
        <family val="2"/>
        <scheme val="minor"/>
      </rPr>
      <t xml:space="preserve">Entered By </t>
    </r>
    <r>
      <rPr>
        <sz val="11"/>
        <color theme="1"/>
        <rFont val="Calibri"/>
        <family val="2"/>
        <scheme val="minor"/>
      </rPr>
      <t>value cannot be verified as data is not loading correctly.</t>
    </r>
  </si>
  <si>
    <t>Sea_Charge_Master_50</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</si>
  <si>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Sea Charge Master Page. 
</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</si>
  <si>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 xml:space="preserve">4. Enter valid data in all mandatory fields.
5. Click the Add button to add the record to the grid.
6. Click the Save button.
7. Select the newly saved record from the left-side panel list.
8. Observe the value in the </t>
    </r>
    <r>
      <rPr>
        <b/>
        <sz val="11"/>
        <color theme="1"/>
        <rFont val="Calibri"/>
        <family val="2"/>
        <scheme val="minor"/>
      </rPr>
      <t>Entered Date</t>
    </r>
    <r>
      <rPr>
        <sz val="11"/>
        <color theme="1"/>
        <rFont val="Calibri"/>
        <family val="2"/>
        <scheme val="minor"/>
      </rPr>
      <t xml:space="preserve"> textbox.</t>
    </r>
  </si>
  <si>
    <t>Sea_Charge_Master_51</t>
  </si>
  <si>
    <r>
      <t xml:space="preserve">Validate the functionality of </t>
    </r>
    <r>
      <rPr>
        <b/>
        <sz val="11"/>
        <color theme="1"/>
        <rFont val="Calibri"/>
        <family val="2"/>
        <scheme val="minor"/>
      </rPr>
      <t xml:space="preserve">Modified By </t>
    </r>
    <r>
      <rPr>
        <sz val="11"/>
        <color theme="1"/>
        <rFont val="Calibri"/>
        <family val="2"/>
        <scheme val="minor"/>
      </rPr>
      <t xml:space="preserve">textbox in the Sea Charge Master Page. 
</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</si>
  <si>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any pre-existing record from the left-side panel list.
5. Modify any editable field value.
6. Click the add button to add record in the grid.
7. Click on Save button.
8. Re-select the same record from the left-side panel list.
9. Observe the value displayed in the Modified By textbox.</t>
    </r>
  </si>
  <si>
    <t>Sea_Charge_Master_52</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</si>
  <si>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in the Sea Charge Master Page. 
</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</si>
  <si>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Select any pre-existing record from the left-side panel list.
5. Modify any editable field value.
6. Click the add button to add record in the grid.
7. Click on Save button.
8. Re-select the same record from the left-side panel list.
9. Observe the value displayed in the </t>
    </r>
    <r>
      <rPr>
        <b/>
        <sz val="11"/>
        <color theme="1"/>
        <rFont val="Calibri"/>
        <family val="2"/>
        <scheme val="minor"/>
      </rPr>
      <t>Modified Date</t>
    </r>
    <r>
      <rPr>
        <sz val="11"/>
        <color theme="1"/>
        <rFont val="Calibri"/>
        <family val="2"/>
        <scheme val="minor"/>
      </rPr>
      <t xml:space="preserve"> textbox.</t>
    </r>
  </si>
  <si>
    <r>
      <t xml:space="preserve">1. Record should be selectable from the left-side panel.
2. Selected record details should be displayed correctly in the grid and corresponding textboxes.
3. For a record that has never been modified, the </t>
    </r>
    <r>
      <rPr>
        <b/>
        <sz val="11"/>
        <color theme="1"/>
        <rFont val="Calibri"/>
        <family val="2"/>
        <scheme val="minor"/>
      </rPr>
      <t>Modified Date</t>
    </r>
    <r>
      <rPr>
        <sz val="11"/>
        <color theme="1"/>
        <rFont val="Calibri"/>
        <family val="2"/>
        <scheme val="minor"/>
      </rPr>
      <t xml:space="preserve"> textbox should remain blank.
4. After modifying and saving the record, the </t>
    </r>
    <r>
      <rPr>
        <b/>
        <sz val="11"/>
        <color theme="1"/>
        <rFont val="Calibri"/>
        <family val="2"/>
        <scheme val="minor"/>
      </rPr>
      <t xml:space="preserve">Modified Date </t>
    </r>
    <r>
      <rPr>
        <sz val="11"/>
        <color theme="1"/>
        <rFont val="Calibri"/>
        <family val="2"/>
        <scheme val="minor"/>
      </rPr>
      <t xml:space="preserve">textbox must show the date when the modification was performed.
5. </t>
    </r>
    <r>
      <rPr>
        <b/>
        <sz val="11"/>
        <color theme="1"/>
        <rFont val="Calibri"/>
        <family val="2"/>
        <scheme val="minor"/>
      </rPr>
      <t>Modified Date</t>
    </r>
    <r>
      <rPr>
        <sz val="11"/>
        <color theme="1"/>
        <rFont val="Calibri"/>
        <family val="2"/>
        <scheme val="minor"/>
      </rPr>
      <t xml:space="preserve"> value should update only after modification, not during initial record creation.</t>
    </r>
  </si>
  <si>
    <r>
      <t xml:space="preserve">1. Record is not selectable from the left-side panel.
2. On selection, record data is not displayed in the grid or corresponding textboxes.
3. </t>
    </r>
    <r>
      <rPr>
        <b/>
        <sz val="11"/>
        <color theme="1"/>
        <rFont val="Calibri"/>
        <family val="2"/>
        <scheme val="minor"/>
      </rPr>
      <t>Modified Date</t>
    </r>
    <r>
      <rPr>
        <sz val="11"/>
        <color theme="1"/>
        <rFont val="Calibri"/>
        <family val="2"/>
        <scheme val="minor"/>
      </rPr>
      <t xml:space="preserve"> value cannot be verified as the record data is not loading correctly.</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</si>
  <si>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 xml:space="preserve">4. Enter valid data in </t>
    </r>
    <r>
      <rPr>
        <b/>
        <sz val="11"/>
        <color theme="1"/>
        <rFont val="Calibri"/>
        <family val="2"/>
        <scheme val="minor"/>
      </rPr>
      <t>all mandatory fields</t>
    </r>
    <r>
      <rPr>
        <sz val="11"/>
        <color theme="1"/>
        <rFont val="Calibri"/>
        <family val="2"/>
        <scheme val="minor"/>
      </rPr>
      <t xml:space="preserve">.
5. Click the </t>
    </r>
    <r>
      <rPr>
        <b/>
        <sz val="11"/>
        <color theme="1"/>
        <rFont val="Calibri"/>
        <family val="2"/>
        <scheme val="minor"/>
      </rPr>
      <t>Add</t>
    </r>
    <r>
      <rPr>
        <sz val="11"/>
        <color theme="1"/>
        <rFont val="Calibri"/>
        <family val="2"/>
        <scheme val="minor"/>
      </rPr>
      <t xml:space="preserve"> button to add the record to the </t>
    </r>
    <r>
      <rPr>
        <b/>
        <sz val="11"/>
        <color theme="1"/>
        <rFont val="Calibri"/>
        <family val="2"/>
        <scheme val="minor"/>
      </rPr>
      <t>grid.</t>
    </r>
    <r>
      <rPr>
        <sz val="11"/>
        <color theme="1"/>
        <rFont val="Calibri"/>
        <family val="2"/>
        <scheme val="minor"/>
      </rPr>
      <t xml:space="preserve">
6. Click the </t>
    </r>
    <r>
      <rPr>
        <b/>
        <sz val="11"/>
        <color theme="1"/>
        <rFont val="Calibri"/>
        <family val="2"/>
        <scheme val="minor"/>
      </rPr>
      <t>Save</t>
    </r>
    <r>
      <rPr>
        <sz val="11"/>
        <color theme="1"/>
        <rFont val="Calibri"/>
        <family val="2"/>
        <scheme val="minor"/>
      </rPr>
      <t xml:space="preserve"> button.
7. Select the newly saved record from the </t>
    </r>
    <r>
      <rPr>
        <b/>
        <sz val="11"/>
        <color theme="1"/>
        <rFont val="Calibri"/>
        <family val="2"/>
        <scheme val="minor"/>
      </rPr>
      <t>left-side panel list</t>
    </r>
    <r>
      <rPr>
        <sz val="11"/>
        <color theme="1"/>
        <rFont val="Calibri"/>
        <family val="2"/>
        <scheme val="minor"/>
      </rPr>
      <t xml:space="preserve">.
8. Observe the value in the </t>
    </r>
    <r>
      <rPr>
        <b/>
        <sz val="11"/>
        <color theme="1"/>
        <rFont val="Calibri"/>
        <family val="2"/>
        <scheme val="minor"/>
      </rPr>
      <t>Entered By</t>
    </r>
    <r>
      <rPr>
        <sz val="11"/>
        <color theme="1"/>
        <rFont val="Calibri"/>
        <family val="2"/>
        <scheme val="minor"/>
      </rPr>
      <t xml:space="preserve"> textbox.</t>
    </r>
  </si>
  <si>
    <r>
      <t xml:space="preserve">1. Newly saved record should be selectable from the left-side panel.
2. Selected record details should be displayed correctly in the grid and corresponding textboxes.
3. </t>
    </r>
    <r>
      <rPr>
        <b/>
        <sz val="11"/>
        <color theme="1"/>
        <rFont val="Calibri"/>
        <family val="2"/>
        <scheme val="minor"/>
      </rPr>
      <t>Entered Date</t>
    </r>
    <r>
      <rPr>
        <sz val="11"/>
        <color theme="1"/>
        <rFont val="Calibri"/>
        <family val="2"/>
        <scheme val="minor"/>
      </rPr>
      <t xml:space="preserve"> textbox should be auto-populated with the date on which the record was saved.
4. Date format should be displayed as </t>
    </r>
    <r>
      <rPr>
        <b/>
        <sz val="11"/>
        <color theme="1"/>
        <rFont val="Calibri"/>
        <family val="2"/>
        <scheme val="minor"/>
      </rPr>
      <t>DD-MM-YYYY</t>
    </r>
    <r>
      <rPr>
        <sz val="11"/>
        <color theme="1"/>
        <rFont val="Calibri"/>
        <family val="2"/>
        <scheme val="minor"/>
      </rPr>
      <t>, as per application standards.</t>
    </r>
  </si>
  <si>
    <r>
      <t xml:space="preserve">1. Newly saved record is not selectable from the left-side panel.
2. On selection, record data is not displayed in the grid or corresponding textboxes.
3. </t>
    </r>
    <r>
      <rPr>
        <b/>
        <sz val="11"/>
        <color theme="1"/>
        <rFont val="Calibri"/>
        <family val="2"/>
        <scheme val="minor"/>
      </rPr>
      <t>Entered Date</t>
    </r>
    <r>
      <rPr>
        <sz val="11"/>
        <color theme="1"/>
        <rFont val="Calibri"/>
        <family val="2"/>
        <scheme val="minor"/>
      </rPr>
      <t xml:space="preserve"> value cannot be verified as the record data is not loading correctly.</t>
    </r>
  </si>
  <si>
    <r>
      <t xml:space="preserve">1. Record should be selectable from the left-side panel.
2. Selected record details should be displayed correctly in the grid and corresponding textboxes.
3. For a record that has never been modified, the Modified By textbox should remain blank.
4. After modifying and saving the record, the </t>
    </r>
    <r>
      <rPr>
        <b/>
        <sz val="11"/>
        <color theme="1"/>
        <rFont val="Calibri"/>
        <family val="2"/>
        <scheme val="minor"/>
      </rPr>
      <t>Modified By</t>
    </r>
    <r>
      <rPr>
        <sz val="11"/>
        <color theme="1"/>
        <rFont val="Calibri"/>
        <family val="2"/>
        <scheme val="minor"/>
      </rPr>
      <t xml:space="preserve"> textbox should display the username of the user who performed the modification.
5. </t>
    </r>
    <r>
      <rPr>
        <b/>
        <sz val="11"/>
        <color theme="1"/>
        <rFont val="Calibri"/>
        <family val="2"/>
        <scheme val="minor"/>
      </rPr>
      <t>Modified By</t>
    </r>
    <r>
      <rPr>
        <sz val="11"/>
        <color theme="1"/>
        <rFont val="Calibri"/>
        <family val="2"/>
        <scheme val="minor"/>
      </rPr>
      <t xml:space="preserve"> value should update only after modification, not during initial record creation.</t>
    </r>
  </si>
  <si>
    <r>
      <t xml:space="preserve">1. Record is not selectable from the left-side panel.
2. On selection, record data is not displayed in the grid or corresponding textboxes.
3. </t>
    </r>
    <r>
      <rPr>
        <b/>
        <sz val="11"/>
        <color theme="1"/>
        <rFont val="Calibri"/>
        <family val="2"/>
        <scheme val="minor"/>
      </rPr>
      <t>Modified By</t>
    </r>
    <r>
      <rPr>
        <sz val="11"/>
        <color theme="1"/>
        <rFont val="Calibri"/>
        <family val="2"/>
        <scheme val="minor"/>
      </rPr>
      <t xml:space="preserve"> value cannot be verified as the record data is not loading correctly.</t>
    </r>
  </si>
  <si>
    <t>Sea_Charge_Master_53</t>
  </si>
  <si>
    <r>
      <t>Validate the functionality of ‘</t>
    </r>
    <r>
      <rPr>
        <b/>
        <sz val="11"/>
        <color theme="1"/>
        <rFont val="Calibri"/>
        <family val="2"/>
        <scheme val="minor"/>
      </rPr>
      <t>Select File</t>
    </r>
    <r>
      <rPr>
        <sz val="11"/>
        <color theme="1"/>
        <rFont val="Calibri"/>
        <family val="2"/>
        <scheme val="minor"/>
      </rPr>
      <t xml:space="preserve">’ textbox in the Sea Charge Master Page. </t>
    </r>
  </si>
  <si>
    <r>
      <t xml:space="preserve">Textbox - </t>
    </r>
    <r>
      <rPr>
        <b/>
        <sz val="11"/>
        <color theme="1"/>
        <rFont val="Calibri"/>
        <family val="2"/>
        <scheme val="minor"/>
      </rPr>
      <t xml:space="preserve">Select File
File Format: 
</t>
    </r>
    <r>
      <rPr>
        <sz val="11"/>
        <color theme="1"/>
        <rFont val="Calibri"/>
        <family val="2"/>
        <scheme val="minor"/>
      </rPr>
      <t xml:space="preserve">Excel files: .xls, .xlsx
PDF, JPG, PNG
</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</si>
  <si>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Click on the Choose File button.
5. Upload a valid file in Excel (.xls/.xlsx), PDF, JPG, or PNG format within allowed size limits.
6. Click the Upload button.
7. Try uploading a file with invalid format.
8. Try uploading files below minimum and above maximum file size limits.
9. Try selecting a file by clicking beside the Choose File dialog box (outside the file chooser).</t>
    </r>
  </si>
  <si>
    <t>1. User should be able to upload Excel, PDF, JPG, and PNG file formats.
2. File selection should be allowed only through the Choose File dialog box.
3. Files with invalid formats should be rejected with an appropriate validation message.
4. Files exceeding maximum or below minimum file size limits should not be uploaded.
5. Validation messages should be clear and file-type specific.</t>
  </si>
  <si>
    <r>
      <t xml:space="preserve">1. Application allows uploading of Excel, PDF, JPG, and PNG file formats. 
2. User is able to select a file by clicking beside the Choose File dialog box. 
3. After selecting a non-Excel file and clicking Upload, system displays validation message:
</t>
    </r>
    <r>
      <rPr>
        <b/>
        <sz val="11"/>
        <color theme="1"/>
        <rFont val="Calibri"/>
        <family val="2"/>
        <scheme val="minor"/>
      </rPr>
      <t xml:space="preserve">“Please upload a valid Excel file.” </t>
    </r>
  </si>
  <si>
    <t>Sea_Charge_Master_54</t>
  </si>
  <si>
    <t>Create a valid record in the Grid.</t>
  </si>
  <si>
    <r>
      <t xml:space="preserve">Validate the functionality of </t>
    </r>
    <r>
      <rPr>
        <b/>
        <sz val="11"/>
        <color theme="1"/>
        <rFont val="Calibri"/>
        <family val="2"/>
        <scheme val="minor"/>
      </rPr>
      <t>Save</t>
    </r>
    <r>
      <rPr>
        <sz val="11"/>
        <color theme="1"/>
        <rFont val="Calibri"/>
        <family val="2"/>
        <scheme val="minor"/>
      </rPr>
      <t xml:space="preserve"> button (</t>
    </r>
    <r>
      <rPr>
        <b/>
        <sz val="11"/>
        <color theme="1"/>
        <rFont val="Calibri"/>
        <family val="2"/>
        <scheme val="minor"/>
      </rPr>
      <t>when a record is added in the Grid</t>
    </r>
    <r>
      <rPr>
        <sz val="11"/>
        <color theme="1"/>
        <rFont val="Calibri"/>
        <family val="2"/>
        <scheme val="minor"/>
      </rPr>
      <t>) in the Sea Charge Master Page.</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</si>
  <si>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Fill all mandatory and non-mandatory fields with valid data.
5. Click the Add button to add the record to the Grid.
6. Click the Save button.</t>
    </r>
  </si>
  <si>
    <t>1. When a record is added in the grid and Save is clicked, the record should be saved successfully with a valid success validation message.
2. Saved record should be added to the left-side panel list.
3. Saved record should be selectable from the left-side panel.
4. After selection, saved record should be editable.</t>
  </si>
  <si>
    <r>
      <t xml:space="preserve">1. Record is saved successfully using the Save button with a valid success validation message. 
2. Saved record is displayed in the left-side panel list. 
3. </t>
    </r>
    <r>
      <rPr>
        <b/>
        <sz val="11"/>
        <color theme="1"/>
        <rFont val="Calibri"/>
        <family val="2"/>
        <scheme val="minor"/>
      </rPr>
      <t>Saved record is not selectable from the left-side panel. 
(Once record becomes selectable, editability needs to be verified.)</t>
    </r>
  </si>
  <si>
    <r>
      <t xml:space="preserve">Validate the functionality of </t>
    </r>
    <r>
      <rPr>
        <b/>
        <sz val="11"/>
        <color theme="1"/>
        <rFont val="Calibri"/>
        <family val="2"/>
        <scheme val="minor"/>
      </rPr>
      <t>Save</t>
    </r>
    <r>
      <rPr>
        <sz val="11"/>
        <color theme="1"/>
        <rFont val="Calibri"/>
        <family val="2"/>
        <scheme val="minor"/>
      </rPr>
      <t xml:space="preserve"> button (</t>
    </r>
    <r>
      <rPr>
        <b/>
        <sz val="11"/>
        <color theme="1"/>
        <rFont val="Calibri"/>
        <family val="2"/>
        <scheme val="minor"/>
      </rPr>
      <t>when a record is NOT added in the Grid</t>
    </r>
    <r>
      <rPr>
        <sz val="11"/>
        <color theme="1"/>
        <rFont val="Calibri"/>
        <family val="2"/>
        <scheme val="minor"/>
      </rPr>
      <t>) in the Sea Charge Master Page.</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</si>
  <si>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Do not add any record in the Grid.
5. Directly click the Save button.</t>
    </r>
  </si>
  <si>
    <t>1. When no record is added in the Grid, clicking Save should not save any record in the left-side panel list.
2. System should display mandatory field validation messages.
3. Validation messages should appear as per textbox sequence.
4. Record should be saved only after a record is added in the Grid.</t>
  </si>
  <si>
    <t xml:space="preserve">1. System does not save the record when mandatory fields are not filled. 
2. Mandatory field validation is displayed. 
</t>
  </si>
  <si>
    <t>Sea_Charge_Master_55</t>
  </si>
  <si>
    <r>
      <t xml:space="preserve">Validate the </t>
    </r>
    <r>
      <rPr>
        <b/>
        <sz val="11"/>
        <color theme="1"/>
        <rFont val="Calibri"/>
        <family val="2"/>
        <scheme val="minor"/>
      </rPr>
      <t>Clear</t>
    </r>
    <r>
      <rPr>
        <sz val="11"/>
        <color theme="1"/>
        <rFont val="Calibri"/>
        <family val="2"/>
        <scheme val="minor"/>
      </rPr>
      <t xml:space="preserve"> button functionality in the </t>
    </r>
    <r>
      <rPr>
        <b/>
        <sz val="11"/>
        <color theme="1"/>
        <rFont val="Calibri"/>
        <family val="2"/>
        <scheme val="minor"/>
      </rPr>
      <t xml:space="preserve">Sea Charge Master </t>
    </r>
    <r>
      <rPr>
        <sz val="11"/>
        <color theme="1"/>
        <rFont val="Calibri"/>
        <family val="2"/>
        <scheme val="minor"/>
      </rPr>
      <t>Page.</t>
    </r>
  </si>
  <si>
    <r>
      <t>1. Open the application and log in 
2. Select Branch: AHMEDABAD, Export Type: Export Sea, FY 2025–2026, click OK.
3. Navigate to</t>
    </r>
    <r>
      <rPr>
        <b/>
        <sz val="11"/>
        <color theme="1"/>
        <rFont val="Calibri"/>
        <family val="2"/>
        <scheme val="minor"/>
      </rPr>
      <t xml:space="preserve"> Masters -&gt; Charge Master -&gt; Sea Charge Master</t>
    </r>
    <r>
      <rPr>
        <sz val="11"/>
        <color theme="1"/>
        <rFont val="Calibri"/>
        <family val="2"/>
        <scheme val="minor"/>
      </rPr>
      <t xml:space="preserve">
4. Enter valid data in all mandatory and non-mandatory fields.
5. Attach a valid file.
6. Click on the Clear button.</t>
    </r>
  </si>
  <si>
    <t>Sea_Charge_Master_56</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</si>
  <si>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of </t>
    </r>
    <r>
      <rPr>
        <b/>
        <sz val="11"/>
        <color theme="1"/>
        <rFont val="Calibri"/>
        <family val="2"/>
        <scheme val="minor"/>
      </rPr>
      <t>Sea Charge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</si>
  <si>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4. Resize the browser to multiple resolutions and observe the system behaviour.</t>
    </r>
  </si>
  <si>
    <r>
      <t xml:space="preserve">1. All elements (Textbox, Dropdown and Radio button) on the </t>
    </r>
    <r>
      <rPr>
        <b/>
        <sz val="11"/>
        <color theme="1"/>
        <rFont val="Calibri"/>
        <family val="2"/>
        <scheme val="minor"/>
      </rPr>
      <t>Sea Charge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</si>
  <si>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Sea_Charge_Master_57</t>
  </si>
  <si>
    <r>
      <t xml:space="preserve">Validate the functionality of </t>
    </r>
    <r>
      <rPr>
        <b/>
        <sz val="11"/>
        <color theme="1"/>
        <rFont val="Calibri"/>
        <family val="2"/>
        <scheme val="minor"/>
      </rPr>
      <t>Keyword Action</t>
    </r>
    <r>
      <rPr>
        <sz val="11"/>
        <color theme="1"/>
        <rFont val="Calibri"/>
        <family val="2"/>
        <scheme val="minor"/>
      </rPr>
      <t xml:space="preserve"> in the </t>
    </r>
    <r>
      <rPr>
        <b/>
        <sz val="11"/>
        <color theme="1"/>
        <rFont val="Calibri"/>
        <family val="2"/>
        <scheme val="minor"/>
      </rPr>
      <t>Sea Charge Master</t>
    </r>
    <r>
      <rPr>
        <sz val="11"/>
        <color theme="1"/>
        <rFont val="Calibri"/>
        <family val="2"/>
        <scheme val="minor"/>
      </rPr>
      <t xml:space="preserve"> Page. (Tab button).</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</si>
  <si>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4. Use keyword button to fill the foam and observe the system behaviour.</t>
    </r>
  </si>
  <si>
    <t>Sea_Charge_Master_58</t>
  </si>
  <si>
    <r>
      <t>Validate the functionality of</t>
    </r>
    <r>
      <rPr>
        <b/>
        <sz val="11"/>
        <color theme="1"/>
        <rFont val="Calibri"/>
        <family val="2"/>
        <scheme val="minor"/>
      </rPr>
      <t xml:space="preserve"> readability </t>
    </r>
    <r>
      <rPr>
        <sz val="11"/>
        <color theme="1"/>
        <rFont val="Calibri"/>
        <family val="2"/>
        <scheme val="minor"/>
      </rPr>
      <t xml:space="preserve">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 xml:space="preserve">of </t>
    </r>
    <r>
      <rPr>
        <b/>
        <sz val="11"/>
        <color theme="1"/>
        <rFont val="Calibri"/>
        <family val="2"/>
        <scheme val="minor"/>
      </rPr>
      <t xml:space="preserve">Sea Charge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</si>
  <si>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Charge Master -&gt; Sea Charge Master
</t>
    </r>
    <r>
      <rPr>
        <sz val="11"/>
        <color theme="1"/>
        <rFont val="Calibri"/>
        <family val="2"/>
        <scheme val="minor"/>
      </rPr>
      <t>4. Observe the Success Pop-up and Error Pop-up Readability for each field.</t>
    </r>
  </si>
  <si>
    <t>1. Success and Error pop-ups should appear with clear, readable messages.
2. Messages should be properly formatted and user-friendly.
3. Correct validation message should be displayed as per textbox level and validation messsage sequence should be correct as per the textbox sequence.</t>
  </si>
  <si>
    <r>
      <t xml:space="preserve">1. Functionality is  working as expected.
2. For each mandatory field, validation message is appearing properly.
</t>
    </r>
    <r>
      <rPr>
        <b/>
        <sz val="11"/>
        <color theme="1"/>
        <rFont val="Calibri"/>
        <family val="2"/>
        <scheme val="minor"/>
      </rPr>
      <t>Observation:</t>
    </r>
    <r>
      <rPr>
        <sz val="11"/>
        <color theme="1"/>
        <rFont val="Calibri"/>
        <family val="2"/>
        <scheme val="minor"/>
      </rPr>
      <t xml:space="preserve">
File Uploading Validation, Save button Validation can be more clear.</t>
    </r>
  </si>
  <si>
    <t>Segment_Master_01</t>
  </si>
  <si>
    <t xml:space="preserve">Misc  Master -&gt; Segment Master
</t>
  </si>
  <si>
    <r>
      <t xml:space="preserve">Validate the functionality of </t>
    </r>
    <r>
      <rPr>
        <b/>
        <sz val="11"/>
        <color theme="1"/>
        <rFont val="Calibri"/>
        <family val="2"/>
        <scheme val="minor"/>
      </rPr>
      <t xml:space="preserve">Segment Master, </t>
    </r>
    <r>
      <rPr>
        <sz val="11"/>
        <color theme="1"/>
        <rFont val="Calibri"/>
        <family val="2"/>
        <scheme val="minor"/>
      </rPr>
      <t xml:space="preserve">Under </t>
    </r>
    <r>
      <rPr>
        <b/>
        <sz val="11"/>
        <color theme="1"/>
        <rFont val="Calibri"/>
        <family val="2"/>
        <scheme val="minor"/>
      </rPr>
      <t>Misc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</si>
  <si>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Misc Master</t>
    </r>
    <r>
      <rPr>
        <sz val="11"/>
        <color theme="1"/>
        <rFont val="Calibri"/>
        <family val="2"/>
        <scheme val="minor"/>
      </rPr>
      <t xml:space="preserve"> -&gt; </t>
    </r>
    <r>
      <rPr>
        <b/>
        <sz val="11"/>
        <color theme="1"/>
        <rFont val="Calibri"/>
        <family val="2"/>
        <scheme val="minor"/>
      </rPr>
      <t>Segment</t>
    </r>
    <r>
      <rPr>
        <sz val="11"/>
        <color theme="1"/>
        <rFont val="Calibri"/>
        <family val="2"/>
        <scheme val="minor"/>
      </rPr>
      <t xml:space="preserve"> </t>
    </r>
    <r>
      <rPr>
        <b/>
        <sz val="11"/>
        <color theme="1"/>
        <rFont val="Calibri"/>
        <family val="2"/>
        <scheme val="minor"/>
      </rPr>
      <t xml:space="preserve">Master
</t>
    </r>
  </si>
  <si>
    <r>
      <t xml:space="preserve">On Mouse Hovering action on </t>
    </r>
    <r>
      <rPr>
        <b/>
        <sz val="11"/>
        <color theme="1"/>
        <rFont val="Calibri"/>
        <family val="2"/>
        <scheme val="minor"/>
      </rPr>
      <t>Masters -&gt; Misc Master -&gt; Segment Master</t>
    </r>
    <r>
      <rPr>
        <sz val="11"/>
        <color theme="1"/>
        <rFont val="Calibri"/>
        <family val="2"/>
        <scheme val="minor"/>
      </rPr>
      <t>.</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</si>
  <si>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Segment Master </t>
    </r>
    <r>
      <rPr>
        <sz val="11"/>
        <color theme="1"/>
        <rFont val="Calibri"/>
        <family val="2"/>
        <scheme val="minor"/>
      </rPr>
      <t>Page is opening properly.</t>
    </r>
  </si>
  <si>
    <t>Segment_Master_02</t>
  </si>
  <si>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</si>
  <si>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Segment Master
</t>
    </r>
    <r>
      <rPr>
        <sz val="11"/>
        <color theme="1"/>
        <rFont val="Calibri"/>
        <family val="2"/>
        <scheme val="minor"/>
      </rPr>
      <t>4. Observe how the record list is filtered based on the entered search keyword.</t>
    </r>
  </si>
  <si>
    <t>Search Data:
 -&gt; FF LCL IMPORT</t>
  </si>
  <si>
    <r>
      <t xml:space="preserve">1. The </t>
    </r>
    <r>
      <rPr>
        <b/>
        <sz val="11"/>
        <color theme="1"/>
        <rFont val="Calibri"/>
        <family val="2"/>
        <scheme val="minor"/>
      </rPr>
      <t xml:space="preserve">Search </t>
    </r>
    <r>
      <rPr>
        <sz val="11"/>
        <color theme="1"/>
        <rFont val="Calibri"/>
        <family val="2"/>
        <scheme val="minor"/>
      </rPr>
      <t xml:space="preserve">textbox should return all matching records:
 -&gt; Full match
 -&gt; Partial match
 -&gt; Case-insensitive match
2. Records displayed should automatically filter and sort according to the search keyword.
3. If no record matches, the list should show empty.
</t>
    </r>
  </si>
  <si>
    <t>Segment_Master_03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</si>
  <si>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</si>
  <si>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In the left-side list panel:
 -&gt; Click Sort Ascending and observe the list order.
 -&gt; Click Sort Descending and observe the list order.
 -&gt; Select all column checkboxes and verify column visibility.
 -&gt; Deselect all column checkboxes and verify column visibility.</t>
    </r>
  </si>
  <si>
    <t>1. Sorting: List sorts correctly in ascending and descending order.
2. When all column checkboxes are selected, all columns should be visible.
3. When all column checkboxes are deselected, all columns should be hidden.</t>
  </si>
  <si>
    <t>1. List sorts correctly in both Ascending and Descending order.
2. When all column checkboxes are selected, all columns are displayed as expected.
3. When all column checkboxes are deselected, all columns are hidden as expected.</t>
  </si>
  <si>
    <t>Segment_Master_04</t>
  </si>
  <si>
    <r>
      <t xml:space="preserve">1. Open the application and log in.
2. Select Branch: AHMEDABAD, Export Type: Export Sea, FY: 2025–2026, and click OK.
3. Navigate to </t>
    </r>
    <r>
      <rPr>
        <b/>
        <sz val="11"/>
        <color theme="1"/>
        <rFont val="Calibri"/>
        <family val="2"/>
        <scheme val="minor"/>
      </rPr>
      <t>Masters -&gt;  Misc Master -&gt; Segment Master</t>
    </r>
    <r>
      <rPr>
        <sz val="11"/>
        <color theme="1"/>
        <rFont val="Calibri"/>
        <family val="2"/>
        <scheme val="minor"/>
      </rPr>
      <t xml:space="preserve">
4. From the left-side list panel, select any record.
5. Verify the selected record details displayed in the </t>
    </r>
    <r>
      <rPr>
        <b/>
        <sz val="11"/>
        <color theme="1"/>
        <rFont val="Calibri"/>
        <family val="2"/>
        <scheme val="minor"/>
      </rPr>
      <t xml:space="preserve">Segment Master </t>
    </r>
    <r>
      <rPr>
        <sz val="11"/>
        <color theme="1"/>
        <rFont val="Calibri"/>
        <family val="2"/>
        <scheme val="minor"/>
      </rPr>
      <t>Page.
6. Ensure the selected record is not removed from the left list.
7. Select another record from the left panel.
8. Verify the textboxes update with the newly selected record and the previous record loses its highlight.</t>
    </r>
  </si>
  <si>
    <r>
      <t xml:space="preserve">Validate that the </t>
    </r>
    <r>
      <rPr>
        <b/>
        <sz val="11"/>
        <color theme="1"/>
        <rFont val="Calibri"/>
        <family val="2"/>
        <scheme val="minor"/>
      </rPr>
      <t>selected record</t>
    </r>
    <r>
      <rPr>
        <sz val="11"/>
        <color theme="1"/>
        <rFont val="Calibri"/>
        <family val="2"/>
        <scheme val="minor"/>
      </rPr>
      <t xml:space="preserve"> from the </t>
    </r>
    <r>
      <rPr>
        <b/>
        <sz val="11"/>
        <color theme="1"/>
        <rFont val="Calibri"/>
        <family val="2"/>
        <scheme val="minor"/>
      </rPr>
      <t>left-side list</t>
    </r>
    <r>
      <rPr>
        <sz val="11"/>
        <color theme="1"/>
        <rFont val="Calibri"/>
        <family val="2"/>
        <scheme val="minor"/>
      </rPr>
      <t xml:space="preserve"> is correctly reflected in the corresponding textboxes of the </t>
    </r>
    <r>
      <rPr>
        <b/>
        <sz val="11"/>
        <color theme="1"/>
        <rFont val="Calibri"/>
        <family val="2"/>
        <scheme val="minor"/>
      </rPr>
      <t>Segment Master</t>
    </r>
    <r>
      <rPr>
        <sz val="11"/>
        <color theme="1"/>
        <rFont val="Calibri"/>
        <family val="2"/>
        <scheme val="minor"/>
      </rPr>
      <t xml:space="preserve"> Page.</t>
    </r>
  </si>
  <si>
    <r>
      <t xml:space="preserve">1. Selected record details should be displayed correctly in the </t>
    </r>
    <r>
      <rPr>
        <b/>
        <sz val="11"/>
        <color theme="1"/>
        <rFont val="Calibri"/>
        <family val="2"/>
        <scheme val="minor"/>
      </rPr>
      <t>Segment Master</t>
    </r>
    <r>
      <rPr>
        <sz val="11"/>
        <color theme="1"/>
        <rFont val="Calibri"/>
        <family val="2"/>
        <scheme val="minor"/>
      </rPr>
      <t xml:space="preserve"> textboxes.
2. Selected record should remain visible in the left-side list.
3. On selecting another record:
 -&gt; Textboxes should refresh with the new record’s data.
 -&gt; Previously selected record should lose highlight.
 -&gt; No records should disappear from the list.</t>
    </r>
  </si>
  <si>
    <r>
      <t xml:space="preserve">1. Selected record details are displayed correctly in the </t>
    </r>
    <r>
      <rPr>
        <b/>
        <sz val="11"/>
        <color theme="1"/>
        <rFont val="Calibri"/>
        <family val="2"/>
        <scheme val="minor"/>
      </rPr>
      <t xml:space="preserve">Segment Master </t>
    </r>
    <r>
      <rPr>
        <sz val="11"/>
        <color theme="1"/>
        <rFont val="Calibri"/>
        <family val="2"/>
        <scheme val="minor"/>
      </rPr>
      <t xml:space="preserve">page, but the selected record is removed from the left-side list. It reappears only after reopening the page.
2. When selecting another record, the textboxes update, but that selected record is also removed from the list.
3. On Clicking on </t>
    </r>
    <r>
      <rPr>
        <b/>
        <sz val="11"/>
        <color theme="1"/>
        <rFont val="Calibri"/>
        <family val="2"/>
        <scheme val="minor"/>
      </rPr>
      <t>Clear</t>
    </r>
    <r>
      <rPr>
        <sz val="11"/>
        <color theme="1"/>
        <rFont val="Calibri"/>
        <family val="2"/>
        <scheme val="minor"/>
      </rPr>
      <t xml:space="preserve"> button all list from the left panel is also disappeared.</t>
    </r>
  </si>
  <si>
    <t>Segment_Master_05</t>
  </si>
  <si>
    <r>
      <t xml:space="preserve">Validate the functionality of </t>
    </r>
    <r>
      <rPr>
        <b/>
        <sz val="11"/>
        <color theme="1"/>
        <rFont val="Calibri"/>
        <family val="2"/>
        <scheme val="minor"/>
      </rPr>
      <t>'Seg. Type'</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</si>
  <si>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Textbox - </t>
    </r>
    <r>
      <rPr>
        <b/>
        <sz val="11"/>
        <color theme="1"/>
        <rFont val="Calibri"/>
        <family val="2"/>
        <scheme val="minor"/>
      </rPr>
      <t>Seg. 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FCL
-&gt; LCL etc.</t>
    </r>
  </si>
  <si>
    <t>Segment_Master_06</t>
  </si>
  <si>
    <r>
      <t xml:space="preserve">Validate the functionality of </t>
    </r>
    <r>
      <rPr>
        <b/>
        <sz val="11"/>
        <color theme="1"/>
        <rFont val="Calibri"/>
        <family val="2"/>
        <scheme val="minor"/>
      </rPr>
      <t>'Line Code'</t>
    </r>
    <r>
      <rPr>
        <sz val="11"/>
        <color theme="1"/>
        <rFont val="Calibri"/>
        <family val="2"/>
        <scheme val="minor"/>
      </rPr>
      <t xml:space="preserve"> textbox in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</si>
  <si>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Enter Valid &amp; Invalid Data in </t>
    </r>
    <r>
      <rPr>
        <b/>
        <sz val="11"/>
        <color theme="1"/>
        <rFont val="Calibri"/>
        <family val="2"/>
        <scheme val="minor"/>
      </rPr>
      <t xml:space="preserve">Line Code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</si>
  <si>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Line Code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</si>
  <si>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Line Code</t>
    </r>
    <r>
      <rPr>
        <sz val="11"/>
        <color theme="1"/>
        <rFont val="Calibri"/>
        <family val="2"/>
        <scheme val="minor"/>
      </rPr>
      <t xml:space="preserve"> textbox should accept alphanumeric values.
2. </t>
    </r>
    <r>
      <rPr>
        <b/>
        <sz val="11"/>
        <color theme="1"/>
        <rFont val="Calibri"/>
        <family val="2"/>
        <scheme val="minor"/>
      </rPr>
      <t>Line Code</t>
    </r>
    <r>
      <rPr>
        <sz val="11"/>
        <color theme="1"/>
        <rFont val="Calibri"/>
        <family val="2"/>
        <scheme val="minor"/>
      </rPr>
      <t xml:space="preserve"> textbox should not accept special character value, only space value and combination of character value.
2. The textbox length should be limited to 5 characters.</t>
    </r>
  </si>
  <si>
    <r>
      <t xml:space="preserve">1. The </t>
    </r>
    <r>
      <rPr>
        <b/>
        <sz val="11"/>
        <color theme="1"/>
        <rFont val="Calibri"/>
        <family val="2"/>
        <scheme val="minor"/>
      </rPr>
      <t>Line Code</t>
    </r>
    <r>
      <rPr>
        <sz val="11"/>
        <color theme="1"/>
        <rFont val="Calibri"/>
        <family val="2"/>
        <scheme val="minor"/>
      </rPr>
      <t xml:space="preserve"> textbox accepts:
 -&gt; Alphabetic values
 -&gt; Numeric values
 -&gt; Special character values
2. The 5-character limit is implemented correctly.</t>
    </r>
  </si>
  <si>
    <t>Segment_Master_07</t>
  </si>
  <si>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Enter Valid &amp; Invalid Data in </t>
    </r>
    <r>
      <rPr>
        <b/>
        <sz val="11"/>
        <color theme="1"/>
        <rFont val="Calibri"/>
        <family val="2"/>
        <scheme val="minor"/>
      </rPr>
      <t xml:space="preserve">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</si>
  <si>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Name</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</si>
  <si>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t>Segment_Master_08</t>
  </si>
  <si>
    <r>
      <t xml:space="preserve">Validate the functionality of </t>
    </r>
    <r>
      <rPr>
        <b/>
        <sz val="11"/>
        <color theme="1"/>
        <rFont val="Calibri"/>
        <family val="2"/>
        <scheme val="minor"/>
      </rPr>
      <t>'Transport Mode'</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</si>
  <si>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Textbox - </t>
    </r>
    <r>
      <rPr>
        <b/>
        <sz val="11"/>
        <color theme="1"/>
        <rFont val="Calibri"/>
        <family val="2"/>
        <scheme val="minor"/>
      </rPr>
      <t>Transport Mode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Sea, Air, Land etc.</t>
    </r>
  </si>
  <si>
    <t>Segment_Master_09</t>
  </si>
  <si>
    <r>
      <t xml:space="preserve">Validate the functionality of </t>
    </r>
    <r>
      <rPr>
        <b/>
        <sz val="11"/>
        <color theme="1"/>
        <rFont val="Calibri"/>
        <family val="2"/>
        <scheme val="minor"/>
      </rPr>
      <t>'Import/Export'</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</si>
  <si>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Textbox - </t>
    </r>
    <r>
      <rPr>
        <b/>
        <sz val="11"/>
        <color theme="1"/>
        <rFont val="Calibri"/>
        <family val="2"/>
        <scheme val="minor"/>
      </rPr>
      <t>Import/Export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Import
 -&gt; Export</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</si>
  <si>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Seg. Type </t>
    </r>
    <r>
      <rPr>
        <sz val="11"/>
        <color theme="1"/>
        <rFont val="Calibri"/>
        <family val="2"/>
        <scheme val="minor"/>
      </rPr>
      <t xml:space="preserve">textbox.
5. Select a valid value from the </t>
    </r>
    <r>
      <rPr>
        <b/>
        <sz val="11"/>
        <color theme="1"/>
        <rFont val="Calibri"/>
        <family val="2"/>
        <scheme val="minor"/>
      </rPr>
      <t xml:space="preserve">Seg. Type </t>
    </r>
    <r>
      <rPr>
        <sz val="11"/>
        <color theme="1"/>
        <rFont val="Calibri"/>
        <family val="2"/>
        <scheme val="minor"/>
      </rPr>
      <t>dropdown.</t>
    </r>
  </si>
  <si>
    <r>
      <t xml:space="preserve">1. Manual input should not be allowed in the </t>
    </r>
    <r>
      <rPr>
        <b/>
        <sz val="11"/>
        <color theme="1"/>
        <rFont val="Calibri"/>
        <family val="2"/>
        <scheme val="minor"/>
      </rPr>
      <t>Seg. Type</t>
    </r>
    <r>
      <rPr>
        <sz val="11"/>
        <color theme="1"/>
        <rFont val="Calibri"/>
        <family val="2"/>
        <scheme val="minor"/>
      </rPr>
      <t xml:space="preserve"> field.
2. User should be able to select</t>
    </r>
    <r>
      <rPr>
        <b/>
        <sz val="11"/>
        <color theme="1"/>
        <rFont val="Calibri"/>
        <family val="2"/>
        <scheme val="minor"/>
      </rPr>
      <t xml:space="preserve"> Seg. Type</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</si>
  <si>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Seg. Type</t>
    </r>
    <r>
      <rPr>
        <sz val="11"/>
        <color theme="1"/>
        <rFont val="Calibri"/>
        <family val="2"/>
        <scheme val="minor"/>
      </rPr>
      <t xml:space="preserve"> field.
2. </t>
    </r>
    <r>
      <rPr>
        <b/>
        <sz val="11"/>
        <color theme="1"/>
        <rFont val="Calibri"/>
        <family val="2"/>
        <scheme val="minor"/>
      </rPr>
      <t>Seg. Type</t>
    </r>
    <r>
      <rPr>
        <sz val="11"/>
        <color theme="1"/>
        <rFont val="Calibri"/>
        <family val="2"/>
        <scheme val="minor"/>
      </rPr>
      <t xml:space="preserve"> value can be selected only from the dropdown.
</t>
    </r>
  </si>
  <si>
    <r>
      <t xml:space="preserve">Validate the functionality of </t>
    </r>
    <r>
      <rPr>
        <b/>
        <sz val="11"/>
        <color theme="1"/>
        <rFont val="Calibri"/>
        <family val="2"/>
        <scheme val="minor"/>
      </rPr>
      <t>'Name'</t>
    </r>
    <r>
      <rPr>
        <sz val="11"/>
        <color theme="1"/>
        <rFont val="Calibri"/>
        <family val="2"/>
        <scheme val="minor"/>
      </rPr>
      <t xml:space="preserve"> textbox in </t>
    </r>
    <r>
      <rPr>
        <b/>
        <sz val="11"/>
        <color theme="1"/>
        <rFont val="Calibri"/>
        <family val="2"/>
        <scheme val="minor"/>
      </rPr>
      <t xml:space="preserve">Segment Master </t>
    </r>
    <r>
      <rPr>
        <sz val="11"/>
        <color theme="1"/>
        <rFont val="Calibri"/>
        <family val="2"/>
        <scheme val="minor"/>
      </rPr>
      <t>Page.</t>
    </r>
  </si>
  <si>
    <r>
      <t xml:space="preserve">1. The </t>
    </r>
    <r>
      <rPr>
        <b/>
        <sz val="11"/>
        <color theme="1"/>
        <rFont val="Calibri"/>
        <family val="2"/>
        <scheme val="minor"/>
      </rPr>
      <t>Name</t>
    </r>
    <r>
      <rPr>
        <sz val="11"/>
        <color theme="1"/>
        <rFont val="Calibri"/>
        <family val="2"/>
        <scheme val="minor"/>
      </rPr>
      <t xml:space="preserve"> textbox accepts:
 -&gt; Alphabetic values
 -&gt; Numeric values
 -&gt; Special character values
2. The 50-character limit is implemented correctly.
Note: </t>
    </r>
    <r>
      <rPr>
        <b/>
        <sz val="11"/>
        <color theme="1"/>
        <rFont val="Calibri"/>
        <family val="2"/>
        <scheme val="minor"/>
      </rPr>
      <t>As per business Rule, Name textbox should accept alphanumeric value and following special characters:
Dot (.), Comma (,), Percentage (%), Ampersand (&amp;), Hyphen (-),  Underscore (_), Forward slash (/), Backward slash (\)</t>
    </r>
  </si>
  <si>
    <r>
      <t xml:space="preserve">1. As per the use case, The </t>
    </r>
    <r>
      <rPr>
        <b/>
        <sz val="11"/>
        <color theme="1"/>
        <rFont val="Calibri"/>
        <family val="2"/>
        <scheme val="minor"/>
      </rPr>
      <t>Name</t>
    </r>
    <r>
      <rPr>
        <sz val="11"/>
        <color theme="1"/>
        <rFont val="Calibri"/>
        <family val="2"/>
        <scheme val="minor"/>
      </rPr>
      <t xml:space="preserve"> textbox should accept alphanumeric values.
2. </t>
    </r>
    <r>
      <rPr>
        <b/>
        <sz val="11"/>
        <color theme="1"/>
        <rFont val="Calibri"/>
        <family val="2"/>
        <scheme val="minor"/>
      </rPr>
      <t>Name</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</si>
  <si>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Transport Mode </t>
    </r>
    <r>
      <rPr>
        <sz val="11"/>
        <color theme="1"/>
        <rFont val="Calibri"/>
        <family val="2"/>
        <scheme val="minor"/>
      </rPr>
      <t xml:space="preserve">textbox.
5. Select a valid value from the </t>
    </r>
    <r>
      <rPr>
        <b/>
        <sz val="11"/>
        <color theme="1"/>
        <rFont val="Calibri"/>
        <family val="2"/>
        <scheme val="minor"/>
      </rPr>
      <t xml:space="preserve">Transport Mode </t>
    </r>
    <r>
      <rPr>
        <sz val="11"/>
        <color theme="1"/>
        <rFont val="Calibri"/>
        <family val="2"/>
        <scheme val="minor"/>
      </rPr>
      <t>dropdown.</t>
    </r>
  </si>
  <si>
    <r>
      <t xml:space="preserve">1. Manual input should not be allowed in the </t>
    </r>
    <r>
      <rPr>
        <b/>
        <sz val="11"/>
        <color theme="1"/>
        <rFont val="Calibri"/>
        <family val="2"/>
        <scheme val="minor"/>
      </rPr>
      <t>Transport Mode</t>
    </r>
    <r>
      <rPr>
        <sz val="11"/>
        <color theme="1"/>
        <rFont val="Calibri"/>
        <family val="2"/>
        <scheme val="minor"/>
      </rPr>
      <t xml:space="preserve"> field.
2. User should be able to select</t>
    </r>
    <r>
      <rPr>
        <b/>
        <sz val="11"/>
        <color theme="1"/>
        <rFont val="Calibri"/>
        <family val="2"/>
        <scheme val="minor"/>
      </rPr>
      <t xml:space="preserve"> Transport Mode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</si>
  <si>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Transport Mode</t>
    </r>
    <r>
      <rPr>
        <sz val="11"/>
        <color theme="1"/>
        <rFont val="Calibri"/>
        <family val="2"/>
        <scheme val="minor"/>
      </rPr>
      <t xml:space="preserve"> field.
2. </t>
    </r>
    <r>
      <rPr>
        <b/>
        <sz val="11"/>
        <color theme="1"/>
        <rFont val="Calibri"/>
        <family val="2"/>
        <scheme val="minor"/>
      </rPr>
      <t>Transport Mode</t>
    </r>
    <r>
      <rPr>
        <sz val="11"/>
        <color theme="1"/>
        <rFont val="Calibri"/>
        <family val="2"/>
        <scheme val="minor"/>
      </rPr>
      <t xml:space="preserve"> value can be selected only from the dropdown.</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</si>
  <si>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Import/Export </t>
    </r>
    <r>
      <rPr>
        <sz val="11"/>
        <color theme="1"/>
        <rFont val="Calibri"/>
        <family val="2"/>
        <scheme val="minor"/>
      </rPr>
      <t xml:space="preserve">textbox.
5. Select a valid value from the </t>
    </r>
    <r>
      <rPr>
        <b/>
        <sz val="11"/>
        <color theme="1"/>
        <rFont val="Calibri"/>
        <family val="2"/>
        <scheme val="minor"/>
      </rPr>
      <t xml:space="preserve">Import/Export </t>
    </r>
    <r>
      <rPr>
        <sz val="11"/>
        <color theme="1"/>
        <rFont val="Calibri"/>
        <family val="2"/>
        <scheme val="minor"/>
      </rPr>
      <t>dropdown.</t>
    </r>
  </si>
  <si>
    <r>
      <t xml:space="preserve">1. Manual input is not allowed in the </t>
    </r>
    <r>
      <rPr>
        <b/>
        <sz val="11"/>
        <color theme="1"/>
        <rFont val="Calibri"/>
        <family val="2"/>
        <scheme val="minor"/>
      </rPr>
      <t>Import/Export</t>
    </r>
    <r>
      <rPr>
        <sz val="11"/>
        <color theme="1"/>
        <rFont val="Calibri"/>
        <family val="2"/>
        <scheme val="minor"/>
      </rPr>
      <t xml:space="preserve"> field.
2. </t>
    </r>
    <r>
      <rPr>
        <b/>
        <sz val="11"/>
        <color theme="1"/>
        <rFont val="Calibri"/>
        <family val="2"/>
        <scheme val="minor"/>
      </rPr>
      <t>Import/Export</t>
    </r>
    <r>
      <rPr>
        <sz val="11"/>
        <color theme="1"/>
        <rFont val="Calibri"/>
        <family val="2"/>
        <scheme val="minor"/>
      </rPr>
      <t xml:space="preserve"> value can be selected only from the dropdown.</t>
    </r>
  </si>
  <si>
    <r>
      <t xml:space="preserve">1. Manual input should not be allowed in the </t>
    </r>
    <r>
      <rPr>
        <b/>
        <sz val="11"/>
        <color theme="1"/>
        <rFont val="Calibri"/>
        <family val="2"/>
        <scheme val="minor"/>
      </rPr>
      <t>Import/Export</t>
    </r>
    <r>
      <rPr>
        <sz val="11"/>
        <color theme="1"/>
        <rFont val="Calibri"/>
        <family val="2"/>
        <scheme val="minor"/>
      </rPr>
      <t xml:space="preserve"> field.
2. User should be able to select</t>
    </r>
    <r>
      <rPr>
        <b/>
        <sz val="11"/>
        <color theme="1"/>
        <rFont val="Calibri"/>
        <family val="2"/>
        <scheme val="minor"/>
      </rPr>
      <t xml:space="preserve"> Import/Export</t>
    </r>
    <r>
      <rPr>
        <sz val="11"/>
        <color theme="1"/>
        <rFont val="Calibri"/>
        <family val="2"/>
        <scheme val="minor"/>
      </rPr>
      <t xml:space="preserve"> only from the dropdown.
3. If invalid input is typed, the field should automatically clear.</t>
    </r>
  </si>
  <si>
    <t>Segment_Master_10</t>
  </si>
  <si>
    <r>
      <t xml:space="preserve">Validate the functionality of </t>
    </r>
    <r>
      <rPr>
        <b/>
        <sz val="11"/>
        <color theme="1"/>
        <rFont val="Calibri"/>
        <family val="2"/>
        <scheme val="minor"/>
      </rPr>
      <t>'Group Age'</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</si>
  <si>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Group Age </t>
    </r>
    <r>
      <rPr>
        <sz val="11"/>
        <color theme="1"/>
        <rFont val="Calibri"/>
        <family val="2"/>
        <scheme val="minor"/>
      </rPr>
      <t xml:space="preserve">textbox.
5. Select a valid value from the </t>
    </r>
    <r>
      <rPr>
        <b/>
        <sz val="11"/>
        <color theme="1"/>
        <rFont val="Calibri"/>
        <family val="2"/>
        <scheme val="minor"/>
      </rPr>
      <t xml:space="preserve">Group Age </t>
    </r>
    <r>
      <rPr>
        <sz val="11"/>
        <color theme="1"/>
        <rFont val="Calibri"/>
        <family val="2"/>
        <scheme val="minor"/>
      </rPr>
      <t>dropdown.</t>
    </r>
  </si>
  <si>
    <r>
      <t xml:space="preserve">Textbox - </t>
    </r>
    <r>
      <rPr>
        <b/>
        <sz val="11"/>
        <color theme="1"/>
        <rFont val="Calibri"/>
        <family val="2"/>
        <scheme val="minor"/>
      </rPr>
      <t>Group Age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Full
 -&gt; Full Group Age etc.</t>
    </r>
  </si>
  <si>
    <r>
      <t xml:space="preserve">1. Manual input should not be allowed in the </t>
    </r>
    <r>
      <rPr>
        <b/>
        <sz val="11"/>
        <color theme="1"/>
        <rFont val="Calibri"/>
        <family val="2"/>
        <scheme val="minor"/>
      </rPr>
      <t>Group Age</t>
    </r>
    <r>
      <rPr>
        <sz val="11"/>
        <color theme="1"/>
        <rFont val="Calibri"/>
        <family val="2"/>
        <scheme val="minor"/>
      </rPr>
      <t xml:space="preserve"> field.
2. User should be able to select</t>
    </r>
    <r>
      <rPr>
        <b/>
        <sz val="11"/>
        <color theme="1"/>
        <rFont val="Calibri"/>
        <family val="2"/>
        <scheme val="minor"/>
      </rPr>
      <t xml:space="preserve"> Group Age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</si>
  <si>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Group Age</t>
    </r>
    <r>
      <rPr>
        <sz val="11"/>
        <color theme="1"/>
        <rFont val="Calibri"/>
        <family val="2"/>
        <scheme val="minor"/>
      </rPr>
      <t xml:space="preserve"> field.
2. </t>
    </r>
    <r>
      <rPr>
        <b/>
        <sz val="11"/>
        <color theme="1"/>
        <rFont val="Calibri"/>
        <family val="2"/>
        <scheme val="minor"/>
      </rPr>
      <t>Group Age</t>
    </r>
    <r>
      <rPr>
        <sz val="11"/>
        <color theme="1"/>
        <rFont val="Calibri"/>
        <family val="2"/>
        <scheme val="minor"/>
      </rPr>
      <t xml:space="preserve"> value can be selected only from the dropdown.</t>
    </r>
  </si>
  <si>
    <t>Segment_Master_11</t>
  </si>
  <si>
    <r>
      <t xml:space="preserve">Validate the functionality of </t>
    </r>
    <r>
      <rPr>
        <b/>
        <sz val="11"/>
        <color theme="1"/>
        <rFont val="Calibri"/>
        <family val="2"/>
        <scheme val="minor"/>
      </rPr>
      <t>'Project'</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</si>
  <si>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Project </t>
    </r>
    <r>
      <rPr>
        <sz val="11"/>
        <color theme="1"/>
        <rFont val="Calibri"/>
        <family val="2"/>
        <scheme val="minor"/>
      </rPr>
      <t xml:space="preserve">textbox.
5. Select a valid value from the </t>
    </r>
    <r>
      <rPr>
        <b/>
        <sz val="11"/>
        <color theme="1"/>
        <rFont val="Calibri"/>
        <family val="2"/>
        <scheme val="minor"/>
      </rPr>
      <t xml:space="preserve">Project </t>
    </r>
    <r>
      <rPr>
        <sz val="11"/>
        <color theme="1"/>
        <rFont val="Calibri"/>
        <family val="2"/>
        <scheme val="minor"/>
      </rPr>
      <t>dropdown.</t>
    </r>
  </si>
  <si>
    <r>
      <t xml:space="preserve">Textbox - </t>
    </r>
    <r>
      <rPr>
        <b/>
        <sz val="11"/>
        <color theme="1"/>
        <rFont val="Calibri"/>
        <family val="2"/>
        <scheme val="minor"/>
      </rPr>
      <t>Project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</si>
  <si>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Project</t>
    </r>
    <r>
      <rPr>
        <sz val="11"/>
        <color theme="1"/>
        <rFont val="Calibri"/>
        <family val="2"/>
        <scheme val="minor"/>
      </rPr>
      <t xml:space="preserve"> field.
2. User should be able to select</t>
    </r>
    <r>
      <rPr>
        <b/>
        <sz val="11"/>
        <color theme="1"/>
        <rFont val="Calibri"/>
        <family val="2"/>
        <scheme val="minor"/>
      </rPr>
      <t xml:space="preserve"> Project</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</si>
  <si>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Project</t>
    </r>
    <r>
      <rPr>
        <sz val="11"/>
        <color theme="1"/>
        <rFont val="Calibri"/>
        <family val="2"/>
        <scheme val="minor"/>
      </rPr>
      <t xml:space="preserve"> field.
2. </t>
    </r>
    <r>
      <rPr>
        <b/>
        <sz val="11"/>
        <color theme="1"/>
        <rFont val="Calibri"/>
        <family val="2"/>
        <scheme val="minor"/>
      </rPr>
      <t>Project</t>
    </r>
    <r>
      <rPr>
        <sz val="11"/>
        <color theme="1"/>
        <rFont val="Calibri"/>
        <family val="2"/>
        <scheme val="minor"/>
      </rPr>
      <t xml:space="preserve"> value can be selected only from the dropdown.</t>
    </r>
  </si>
  <si>
    <t>Segment_Master_12</t>
  </si>
  <si>
    <r>
      <t xml:space="preserve">Validate the functionality of </t>
    </r>
    <r>
      <rPr>
        <b/>
        <sz val="11"/>
        <color theme="1"/>
        <rFont val="Calibri"/>
        <family val="2"/>
        <scheme val="minor"/>
      </rPr>
      <t>'Unit Code'</t>
    </r>
    <r>
      <rPr>
        <sz val="11"/>
        <color theme="1"/>
        <rFont val="Calibri"/>
        <family val="2"/>
        <scheme val="minor"/>
      </rPr>
      <t xml:space="preserve"> textbox in</t>
    </r>
    <r>
      <rPr>
        <b/>
        <sz val="11"/>
        <color theme="1"/>
        <rFont val="Calibri"/>
        <family val="2"/>
        <scheme val="minor"/>
      </rPr>
      <t xml:space="preserve"> 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</si>
  <si>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Charge Master -&gt; Sea Charge Master</t>
    </r>
    <r>
      <rPr>
        <sz val="11"/>
        <color theme="1"/>
        <rFont val="Calibri"/>
        <family val="2"/>
        <scheme val="minor"/>
      </rPr>
      <t xml:space="preserve">
4. In the </t>
    </r>
    <r>
      <rPr>
        <b/>
        <sz val="11"/>
        <color theme="1"/>
        <rFont val="Calibri"/>
        <family val="2"/>
        <scheme val="minor"/>
      </rPr>
      <t xml:space="preserve">Unit Code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</si>
  <si>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Unit Code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FEET
-&gt; DOZEN etc.</t>
    </r>
  </si>
  <si>
    <r>
      <t xml:space="preserve">1. Manual input should not be allowed in the </t>
    </r>
    <r>
      <rPr>
        <b/>
        <sz val="11"/>
        <color theme="1"/>
        <rFont val="Calibri"/>
        <family val="2"/>
        <scheme val="minor"/>
      </rPr>
      <t>Unit Code</t>
    </r>
    <r>
      <rPr>
        <sz val="11"/>
        <color theme="1"/>
        <rFont val="Calibri"/>
        <family val="2"/>
        <scheme val="minor"/>
      </rPr>
      <t xml:space="preserve"> textbox.
2. The user should be able to select a </t>
    </r>
    <r>
      <rPr>
        <b/>
        <sz val="11"/>
        <color theme="1"/>
        <rFont val="Calibri"/>
        <family val="2"/>
        <scheme val="minor"/>
      </rPr>
      <t>Unit Code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</si>
  <si>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Unit Code</t>
    </r>
    <r>
      <rPr>
        <sz val="11"/>
        <color theme="1"/>
        <rFont val="Calibri"/>
        <family val="2"/>
        <scheme val="minor"/>
      </rPr>
      <t xml:space="preserve"> value can be selected only from the autosuggest list.</t>
    </r>
  </si>
  <si>
    <t>Segment_Master_13</t>
  </si>
  <si>
    <r>
      <t xml:space="preserve">Validate the functionality of </t>
    </r>
    <r>
      <rPr>
        <b/>
        <sz val="11"/>
        <color theme="1"/>
        <rFont val="Calibri"/>
        <family val="2"/>
        <scheme val="minor"/>
      </rPr>
      <t>'Clearance'</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</si>
  <si>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Clearance </t>
    </r>
    <r>
      <rPr>
        <sz val="11"/>
        <color theme="1"/>
        <rFont val="Calibri"/>
        <family val="2"/>
        <scheme val="minor"/>
      </rPr>
      <t xml:space="preserve">textbox.
5. Select a valid value from the </t>
    </r>
    <r>
      <rPr>
        <b/>
        <sz val="11"/>
        <color theme="1"/>
        <rFont val="Calibri"/>
        <family val="2"/>
        <scheme val="minor"/>
      </rPr>
      <t xml:space="preserve">Clearance </t>
    </r>
    <r>
      <rPr>
        <sz val="11"/>
        <color theme="1"/>
        <rFont val="Calibri"/>
        <family val="2"/>
        <scheme val="minor"/>
      </rPr>
      <t>dropdown.</t>
    </r>
  </si>
  <si>
    <r>
      <t xml:space="preserve">Textbox - </t>
    </r>
    <r>
      <rPr>
        <b/>
        <sz val="11"/>
        <color theme="1"/>
        <rFont val="Calibri"/>
        <family val="2"/>
        <scheme val="minor"/>
      </rPr>
      <t>Clearance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</si>
  <si>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Clearance</t>
    </r>
    <r>
      <rPr>
        <sz val="11"/>
        <color theme="1"/>
        <rFont val="Calibri"/>
        <family val="2"/>
        <scheme val="minor"/>
      </rPr>
      <t xml:space="preserve"> field.
2. User should be able to select</t>
    </r>
    <r>
      <rPr>
        <b/>
        <sz val="11"/>
        <color theme="1"/>
        <rFont val="Calibri"/>
        <family val="2"/>
        <scheme val="minor"/>
      </rPr>
      <t xml:space="preserve"> Clearance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</si>
  <si>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Clearance</t>
    </r>
    <r>
      <rPr>
        <sz val="11"/>
        <color theme="1"/>
        <rFont val="Calibri"/>
        <family val="2"/>
        <scheme val="minor"/>
      </rPr>
      <t xml:space="preserve"> field.
2. </t>
    </r>
    <r>
      <rPr>
        <b/>
        <sz val="11"/>
        <color theme="1"/>
        <rFont val="Calibri"/>
        <family val="2"/>
        <scheme val="minor"/>
      </rPr>
      <t>Clearance</t>
    </r>
    <r>
      <rPr>
        <sz val="11"/>
        <color theme="1"/>
        <rFont val="Calibri"/>
        <family val="2"/>
        <scheme val="minor"/>
      </rPr>
      <t xml:space="preserve"> value can be selected only from the dropdown.</t>
    </r>
  </si>
  <si>
    <t>Segment_Master_14</t>
  </si>
  <si>
    <r>
      <t xml:space="preserve">Validate the functionality of </t>
    </r>
    <r>
      <rPr>
        <b/>
        <sz val="11"/>
        <color theme="1"/>
        <rFont val="Calibri"/>
        <family val="2"/>
        <scheme val="minor"/>
      </rPr>
      <t>'Is Haulage'</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</si>
  <si>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Is Haulage </t>
    </r>
    <r>
      <rPr>
        <sz val="11"/>
        <color theme="1"/>
        <rFont val="Calibri"/>
        <family val="2"/>
        <scheme val="minor"/>
      </rPr>
      <t xml:space="preserve">textbox.
5. Select a valid value from the </t>
    </r>
    <r>
      <rPr>
        <b/>
        <sz val="11"/>
        <color theme="1"/>
        <rFont val="Calibri"/>
        <family val="2"/>
        <scheme val="minor"/>
      </rPr>
      <t xml:space="preserve">Is Haulage </t>
    </r>
    <r>
      <rPr>
        <sz val="11"/>
        <color theme="1"/>
        <rFont val="Calibri"/>
        <family val="2"/>
        <scheme val="minor"/>
      </rPr>
      <t>dropdown.</t>
    </r>
  </si>
  <si>
    <r>
      <t xml:space="preserve">Textbox - </t>
    </r>
    <r>
      <rPr>
        <b/>
        <sz val="11"/>
        <color theme="1"/>
        <rFont val="Calibri"/>
        <family val="2"/>
        <scheme val="minor"/>
      </rPr>
      <t>Is Haulage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</si>
  <si>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Is Haulage</t>
    </r>
    <r>
      <rPr>
        <sz val="11"/>
        <color theme="1"/>
        <rFont val="Calibri"/>
        <family val="2"/>
        <scheme val="minor"/>
      </rPr>
      <t xml:space="preserve"> field.
2. User should be able to select</t>
    </r>
    <r>
      <rPr>
        <b/>
        <sz val="11"/>
        <color theme="1"/>
        <rFont val="Calibri"/>
        <family val="2"/>
        <scheme val="minor"/>
      </rPr>
      <t xml:space="preserve"> Is Haulage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</si>
  <si>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Is Haulage</t>
    </r>
    <r>
      <rPr>
        <sz val="11"/>
        <color theme="1"/>
        <rFont val="Calibri"/>
        <family val="2"/>
        <scheme val="minor"/>
      </rPr>
      <t xml:space="preserve"> field.
2. </t>
    </r>
    <r>
      <rPr>
        <b/>
        <sz val="11"/>
        <color theme="1"/>
        <rFont val="Calibri"/>
        <family val="2"/>
        <scheme val="minor"/>
      </rPr>
      <t>Is Haulage</t>
    </r>
    <r>
      <rPr>
        <sz val="11"/>
        <color theme="1"/>
        <rFont val="Calibri"/>
        <family val="2"/>
        <scheme val="minor"/>
      </rPr>
      <t xml:space="preserve"> value can be selected only from the dropdown.</t>
    </r>
  </si>
  <si>
    <t>Segment_Master_15</t>
  </si>
  <si>
    <r>
      <t>Validate the functionality of the '</t>
    </r>
    <r>
      <rPr>
        <b/>
        <sz val="11"/>
        <color theme="1"/>
        <rFont val="Calibri"/>
        <family val="2"/>
        <scheme val="minor"/>
      </rPr>
      <t xml:space="preserve">Cost Center' </t>
    </r>
    <r>
      <rPr>
        <sz val="11"/>
        <color theme="1"/>
        <rFont val="Calibri"/>
        <family val="2"/>
        <scheme val="minor"/>
      </rPr>
      <t xml:space="preserve">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</si>
  <si>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Observe how the system is autopopulating </t>
    </r>
    <r>
      <rPr>
        <b/>
        <sz val="11"/>
        <color theme="1"/>
        <rFont val="Calibri"/>
        <family val="2"/>
        <scheme val="minor"/>
      </rPr>
      <t>Cost Center</t>
    </r>
    <r>
      <rPr>
        <sz val="11"/>
        <color theme="1"/>
        <rFont val="Calibri"/>
        <family val="2"/>
        <scheme val="minor"/>
      </rPr>
      <t>.</t>
    </r>
  </si>
  <si>
    <t xml:space="preserve">1. Functionality is working as expected.
</t>
  </si>
  <si>
    <t>Segment_Master_16</t>
  </si>
  <si>
    <r>
      <t xml:space="preserve">Validate the functionality of </t>
    </r>
    <r>
      <rPr>
        <b/>
        <sz val="11"/>
        <color theme="1"/>
        <rFont val="Calibri"/>
        <family val="2"/>
        <scheme val="minor"/>
      </rPr>
      <t>'Display Status'</t>
    </r>
    <r>
      <rPr>
        <sz val="11"/>
        <color theme="1"/>
        <rFont val="Calibri"/>
        <family val="2"/>
        <scheme val="minor"/>
      </rPr>
      <t xml:space="preserve"> dropdown textbox in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</si>
  <si>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Try entering manual values in the </t>
    </r>
    <r>
      <rPr>
        <b/>
        <sz val="11"/>
        <color theme="1"/>
        <rFont val="Calibri"/>
        <family val="2"/>
        <scheme val="minor"/>
      </rPr>
      <t xml:space="preserve">Display Status </t>
    </r>
    <r>
      <rPr>
        <sz val="11"/>
        <color theme="1"/>
        <rFont val="Calibri"/>
        <family val="2"/>
        <scheme val="minor"/>
      </rPr>
      <t xml:space="preserve">textbox.
5. Select a valid value from the </t>
    </r>
    <r>
      <rPr>
        <b/>
        <sz val="11"/>
        <color theme="1"/>
        <rFont val="Calibri"/>
        <family val="2"/>
        <scheme val="minor"/>
      </rPr>
      <t xml:space="preserve">Display Status </t>
    </r>
    <r>
      <rPr>
        <sz val="11"/>
        <color theme="1"/>
        <rFont val="Calibri"/>
        <family val="2"/>
        <scheme val="minor"/>
      </rPr>
      <t>dropdown.</t>
    </r>
  </si>
  <si>
    <r>
      <t xml:space="preserve">Textbox - </t>
    </r>
    <r>
      <rPr>
        <b/>
        <sz val="11"/>
        <color theme="1"/>
        <rFont val="Calibri"/>
        <family val="2"/>
        <scheme val="minor"/>
      </rPr>
      <t>Display Status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Display
 -&gt; Hide</t>
    </r>
  </si>
  <si>
    <r>
      <t xml:space="preserve">1. Manual input should not be allowed in the </t>
    </r>
    <r>
      <rPr>
        <b/>
        <sz val="11"/>
        <color theme="1"/>
        <rFont val="Calibri"/>
        <family val="2"/>
        <scheme val="minor"/>
      </rPr>
      <t>Display Status</t>
    </r>
    <r>
      <rPr>
        <sz val="11"/>
        <color theme="1"/>
        <rFont val="Calibri"/>
        <family val="2"/>
        <scheme val="minor"/>
      </rPr>
      <t xml:space="preserve"> field.
2. User should be able to select</t>
    </r>
    <r>
      <rPr>
        <b/>
        <sz val="11"/>
        <color theme="1"/>
        <rFont val="Calibri"/>
        <family val="2"/>
        <scheme val="minor"/>
      </rPr>
      <t xml:space="preserve"> Display Status</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</si>
  <si>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Display Status</t>
    </r>
    <r>
      <rPr>
        <sz val="11"/>
        <color theme="1"/>
        <rFont val="Calibri"/>
        <family val="2"/>
        <scheme val="minor"/>
      </rPr>
      <t xml:space="preserve"> field.
2. </t>
    </r>
    <r>
      <rPr>
        <b/>
        <sz val="11"/>
        <color theme="1"/>
        <rFont val="Calibri"/>
        <family val="2"/>
        <scheme val="minor"/>
      </rPr>
      <t>Display Status</t>
    </r>
    <r>
      <rPr>
        <sz val="11"/>
        <color theme="1"/>
        <rFont val="Calibri"/>
        <family val="2"/>
        <scheme val="minor"/>
      </rPr>
      <t xml:space="preserve"> value can be selected only from the dropdown.</t>
    </r>
  </si>
  <si>
    <t>Segment_Master_17</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</si>
  <si>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</si>
  <si>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Segment Master
</t>
    </r>
    <r>
      <rPr>
        <sz val="11"/>
        <color theme="1"/>
        <rFont val="Calibri"/>
        <family val="2"/>
        <scheme val="minor"/>
      </rPr>
      <t>4. Enter valid data in all fields on the Segment Master page.
5. Click on the Save button and observe the system behaviour.</t>
    </r>
  </si>
  <si>
    <r>
      <t>1. System should save the record successfully.
2. A confirmation message should be displayed (e.g., “</t>
    </r>
    <r>
      <rPr>
        <b/>
        <sz val="11"/>
        <color theme="1"/>
        <rFont val="Calibri"/>
        <family val="2"/>
        <scheme val="minor"/>
      </rPr>
      <t>Record saved successfully</t>
    </r>
    <r>
      <rPr>
        <sz val="11"/>
        <color theme="1"/>
        <rFont val="Calibri"/>
        <family val="2"/>
        <scheme val="minor"/>
      </rPr>
      <t xml:space="preserve">”).
3. The saved record should appear in the left-side panel list.
4. The newly saved record should be searchable and selectable from the left panel.
</t>
    </r>
  </si>
  <si>
    <t>1. Record is saved successfully.
2. Confirmation message is displayed.
3. Saved record appears in the left-side list.
4. Record is searchable and selectable.</t>
  </si>
  <si>
    <t>Segment_Master_18</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</si>
  <si>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Mandatory fields</t>
    </r>
    <r>
      <rPr>
        <sz val="11"/>
        <color theme="1"/>
        <rFont val="Calibri"/>
        <family val="2"/>
        <scheme val="minor"/>
      </rPr>
      <t xml:space="preserve"> are filled and Non-Mandatory fields are left blank in the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</si>
  <si>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Misc Master -&gt; Segment Master
</t>
    </r>
    <r>
      <rPr>
        <sz val="11"/>
        <color theme="1"/>
        <rFont val="Calibri"/>
        <family val="2"/>
        <scheme val="minor"/>
      </rPr>
      <t>4. Enter valid data in all mandatory fields only.
5. Leave all non-mandatory fields blank.
6. Click on the Save button.</t>
    </r>
  </si>
  <si>
    <t>1. Record should be saved successfully when all mandatory fields are filled.
2. Success confirmation message should be displayed.
3. Newly saved record should appear in the left-side list and be searchable and selectable.
4. If any mandatory field is left blank, appropriate validation message should be shown and record should not be saved.</t>
  </si>
  <si>
    <r>
      <t xml:space="preserve">1. The record is not saved when the </t>
    </r>
    <r>
      <rPr>
        <b/>
        <sz val="11"/>
        <color theme="1"/>
        <rFont val="Calibri"/>
        <family val="2"/>
        <scheme val="minor"/>
      </rPr>
      <t>Seg. Type</t>
    </r>
    <r>
      <rPr>
        <sz val="11"/>
        <color theme="1"/>
        <rFont val="Calibri"/>
        <family val="2"/>
        <scheme val="minor"/>
      </rPr>
      <t xml:space="preserve"> dropdown value is not selected, even though this field is not marked as mandatory on the UI.
2. The </t>
    </r>
    <r>
      <rPr>
        <b/>
        <sz val="11"/>
        <color theme="1"/>
        <rFont val="Calibri"/>
        <family val="2"/>
        <scheme val="minor"/>
      </rPr>
      <t>Seg. Type</t>
    </r>
    <r>
      <rPr>
        <sz val="11"/>
        <color theme="1"/>
        <rFont val="Calibri"/>
        <family val="2"/>
        <scheme val="minor"/>
      </rPr>
      <t xml:space="preserve"> dropdown textbox behaves as a mandatory field, but it is not visually indicated as mandatory (red)  unlike other mandatory fields on the page.</t>
    </r>
  </si>
  <si>
    <t>Segment_Master_19</t>
  </si>
  <si>
    <r>
      <t xml:space="preserve">Validate </t>
    </r>
    <r>
      <rPr>
        <b/>
        <sz val="11"/>
        <color theme="1"/>
        <rFont val="Calibri"/>
        <family val="2"/>
        <scheme val="minor"/>
      </rPr>
      <t>Save</t>
    </r>
    <r>
      <rPr>
        <sz val="11"/>
        <color theme="1"/>
        <rFont val="Calibri"/>
        <family val="2"/>
        <scheme val="minor"/>
      </rPr>
      <t xml:space="preserve"> button functionality when All </t>
    </r>
    <r>
      <rPr>
        <b/>
        <sz val="11"/>
        <color theme="1"/>
        <rFont val="Calibri"/>
        <family val="2"/>
        <scheme val="minor"/>
      </rPr>
      <t xml:space="preserve">Mandatory fields are </t>
    </r>
    <r>
      <rPr>
        <sz val="11"/>
        <color theme="1"/>
        <rFont val="Calibri"/>
        <family val="2"/>
        <scheme val="minor"/>
      </rPr>
      <t xml:space="preserve">  left blank on the CHA Service Master Page.</t>
    </r>
  </si>
  <si>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</si>
  <si>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Shupment Info -&gt; CHA Service Master</t>
    </r>
    <r>
      <rPr>
        <sz val="11"/>
        <color theme="1"/>
        <rFont val="Calibri"/>
        <family val="2"/>
        <scheme val="minor"/>
      </rPr>
      <t xml:space="preserve">
4. Enter valid values in all Non-mandatory fields only, while keeping all mandatory fields blank and click the Save button.
5. Observe the validation messages displayed for missing mandatory fields.</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</si>
  <si>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Enter valid values in non-mandatory fields only.
5. Leave all mandatory fields blank.
6. Click on the Save button.
7. Observe validation messages and save behavior.</t>
    </r>
  </si>
  <si>
    <t>1. Record must not be saved if any mandatory field is blank.
2. Mandatory field validation should trigger correctly:
 -&gt; Validation message displayed for each missing mandatory field.
 -&gt; Validation text should match the respective textbox label.
 -&gt; Validation messages should appear in the same sequence as the fields on the UI.
3. Once all mandatory fields are filled:
 -&gt; Record should be saved successfully.
 -&gt; Saved record should appear in the left-side panel list.
 -&gt; Record should be searchable and selectable.</t>
  </si>
  <si>
    <t>1. Record is saved even when mandatory fields are left blank.
2. Record is saved when only Seg. Type and Name fields are filled.
3. Mandatory validation messages are not displayed for the following fields:
 -&gt; Transport Mode
 -&gt; Import/Export
 -&gt; Clearance
 -&gt; Display Status
4. System allows saving the record without enforcing mandatory field validation.</t>
  </si>
  <si>
    <t>Segment_Master_20</t>
  </si>
  <si>
    <r>
      <t xml:space="preserve">Validate </t>
    </r>
    <r>
      <rPr>
        <b/>
        <sz val="11"/>
        <color theme="1"/>
        <rFont val="Calibri"/>
        <family val="2"/>
        <scheme val="minor"/>
      </rPr>
      <t>Save</t>
    </r>
    <r>
      <rPr>
        <sz val="11"/>
        <color theme="1"/>
        <rFont val="Calibri"/>
        <family val="2"/>
        <scheme val="minor"/>
      </rPr>
      <t xml:space="preserve"> button functionality when All field left blank on the </t>
    </r>
    <r>
      <rPr>
        <b/>
        <sz val="11"/>
        <color theme="1"/>
        <rFont val="Calibri"/>
        <family val="2"/>
        <scheme val="minor"/>
      </rPr>
      <t>Segment Master Page</t>
    </r>
  </si>
  <si>
    <r>
      <t xml:space="preserve">1. Open the application and log in 
2. Select Branch: AHMEDABAD, Export Type: Export Sea, FY 2025–2026, click OK.
3. Navigate to </t>
    </r>
    <r>
      <rPr>
        <b/>
        <sz val="11"/>
        <color theme="1"/>
        <rFont val="Calibri"/>
        <family val="2"/>
        <scheme val="minor"/>
      </rPr>
      <t>Masters -&gt; Misc Master -&gt; Segment Master</t>
    </r>
    <r>
      <rPr>
        <sz val="11"/>
        <color theme="1"/>
        <rFont val="Calibri"/>
        <family val="2"/>
        <scheme val="minor"/>
      </rPr>
      <t xml:space="preserve">
4. Without Filling any field in Segment Master Page, click on save button and observe system behaviour.</t>
    </r>
  </si>
  <si>
    <t>Segment_Master_21</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</si>
  <si>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</si>
  <si>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Enter valid data in all required input fields.
5. Click on the Save button.
6. From the left-side list, select the newly saved record.
7. Observe the value displayed in the Entered By textbox.</t>
    </r>
  </si>
  <si>
    <t>Any valid data to create an record.</t>
  </si>
  <si>
    <r>
      <t>The</t>
    </r>
    <r>
      <rPr>
        <b/>
        <sz val="11"/>
        <color theme="1"/>
        <rFont val="Calibri"/>
        <family val="2"/>
        <scheme val="minor"/>
      </rPr>
      <t xml:space="preserve"> Entered By </t>
    </r>
    <r>
      <rPr>
        <sz val="11"/>
        <color theme="1"/>
        <rFont val="Calibri"/>
        <family val="2"/>
        <scheme val="minor"/>
      </rPr>
      <t>textbox should be auto-populated with the username of the logged-in user who saved the record.</t>
    </r>
  </si>
  <si>
    <r>
      <t xml:space="preserve">1. </t>
    </r>
    <r>
      <rPr>
        <b/>
        <sz val="11"/>
        <color theme="1"/>
        <rFont val="Calibri"/>
        <family val="2"/>
        <scheme val="minor"/>
      </rPr>
      <t xml:space="preserve">Entered By </t>
    </r>
    <r>
      <rPr>
        <sz val="11"/>
        <color theme="1"/>
        <rFont val="Calibri"/>
        <family val="2"/>
        <scheme val="minor"/>
      </rPr>
      <t>textbox is auto-populated after saving the record.
2. Correct username is displayed when the saved record is selected.</t>
    </r>
  </si>
  <si>
    <t>Segment_Master_22</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</si>
  <si>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</si>
  <si>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Enter valid data in all required input fields.
5. Click on the Save button.
6. From the left-side list, select the newly saved record.
7. Observe the value displayed in the Entered Date textbox.</t>
    </r>
  </si>
  <si>
    <r>
      <t xml:space="preserve">1. </t>
    </r>
    <r>
      <rPr>
        <b/>
        <sz val="11"/>
        <color theme="1"/>
        <rFont val="Calibri"/>
        <family val="2"/>
        <scheme val="minor"/>
      </rPr>
      <t xml:space="preserve">Entered Date </t>
    </r>
    <r>
      <rPr>
        <sz val="11"/>
        <color theme="1"/>
        <rFont val="Calibri"/>
        <family val="2"/>
        <scheme val="minor"/>
      </rPr>
      <t xml:space="preserve">textbox should be auto-populated with the date on which the record was saved.
2. Displayed date should follow the application’s standard format: </t>
    </r>
    <r>
      <rPr>
        <b/>
        <sz val="11"/>
        <color theme="1"/>
        <rFont val="Calibri"/>
        <family val="2"/>
        <scheme val="minor"/>
      </rPr>
      <t>DD-MM-YYYY.</t>
    </r>
  </si>
  <si>
    <t>1. Entered Date textbox is auto-populated after saving the record.
2. Date is displayed correctly when the saved record is selected.</t>
  </si>
  <si>
    <t>Segment_Master_23</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</si>
  <si>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Segment Master</t>
    </r>
    <r>
      <rPr>
        <sz val="11"/>
        <color theme="1"/>
        <rFont val="Calibri"/>
        <family val="2"/>
        <scheme val="minor"/>
      </rPr>
      <t xml:space="preserve"> Page.</t>
    </r>
  </si>
  <si>
    <r>
      <t xml:space="preserve">1. For a record that has never been modified, the </t>
    </r>
    <r>
      <rPr>
        <b/>
        <sz val="11"/>
        <color theme="1"/>
        <rFont val="Calibri"/>
        <family val="2"/>
        <scheme val="minor"/>
      </rPr>
      <t>Modified By</t>
    </r>
    <r>
      <rPr>
        <sz val="11"/>
        <color theme="1"/>
        <rFont val="Calibri"/>
        <family val="2"/>
        <scheme val="minor"/>
      </rPr>
      <t xml:space="preserve"> textbox should remain blank.
2. After modifying and saving the record, The </t>
    </r>
    <r>
      <rPr>
        <b/>
        <sz val="11"/>
        <color theme="1"/>
        <rFont val="Calibri"/>
        <family val="2"/>
        <scheme val="minor"/>
      </rPr>
      <t>Modified By</t>
    </r>
    <r>
      <rPr>
        <sz val="11"/>
        <color theme="1"/>
        <rFont val="Calibri"/>
        <family val="2"/>
        <scheme val="minor"/>
      </rPr>
      <t xml:space="preserve"> textbox should display the username of the user who performed the modification.
3. The </t>
    </r>
    <r>
      <rPr>
        <b/>
        <sz val="11"/>
        <color theme="1"/>
        <rFont val="Calibri"/>
        <family val="2"/>
        <scheme val="minor"/>
      </rPr>
      <t xml:space="preserve">Modified By </t>
    </r>
    <r>
      <rPr>
        <sz val="11"/>
        <color theme="1"/>
        <rFont val="Calibri"/>
        <family val="2"/>
        <scheme val="minor"/>
      </rPr>
      <t>value should update only when the record is modified - not during initial creation.</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</si>
  <si>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 xml:space="preserve">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By</t>
    </r>
    <r>
      <rPr>
        <sz val="11"/>
        <color theme="1"/>
        <rFont val="Calibri"/>
        <family val="2"/>
        <scheme val="minor"/>
      </rPr>
      <t xml:space="preserve"> textbox.</t>
    </r>
  </si>
  <si>
    <t>Segment_Master_24</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</si>
  <si>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</si>
  <si>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Misc Master -&gt; Segment Master</t>
    </r>
    <r>
      <rPr>
        <sz val="11"/>
        <color theme="1"/>
        <rFont val="Calibri"/>
        <family val="2"/>
        <scheme val="minor"/>
      </rPr>
      <t xml:space="preserve">
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Date</t>
    </r>
    <r>
      <rPr>
        <sz val="11"/>
        <color theme="1"/>
        <rFont val="Calibri"/>
        <family val="2"/>
        <scheme val="minor"/>
      </rPr>
      <t xml:space="preserve"> textbox.</t>
    </r>
  </si>
  <si>
    <r>
      <t xml:space="preserve">1. For a record that has never been modified, the </t>
    </r>
    <r>
      <rPr>
        <b/>
        <sz val="11"/>
        <color theme="1"/>
        <rFont val="Calibri"/>
        <family val="2"/>
        <scheme val="minor"/>
      </rPr>
      <t xml:space="preserve">Modified Date </t>
    </r>
    <r>
      <rPr>
        <sz val="11"/>
        <color theme="1"/>
        <rFont val="Calibri"/>
        <family val="2"/>
        <scheme val="minor"/>
      </rPr>
      <t xml:space="preserve">textbox must remain blank.
2. After modifying and saving the record, the </t>
    </r>
    <r>
      <rPr>
        <b/>
        <sz val="11"/>
        <color theme="1"/>
        <rFont val="Calibri"/>
        <family val="2"/>
        <scheme val="minor"/>
      </rPr>
      <t xml:space="preserve">Modified Date </t>
    </r>
    <r>
      <rPr>
        <sz val="11"/>
        <color theme="1"/>
        <rFont val="Calibri"/>
        <family val="2"/>
        <scheme val="minor"/>
      </rPr>
      <t xml:space="preserve">textbox must show the date when the modification was performed.
3. The </t>
    </r>
    <r>
      <rPr>
        <b/>
        <sz val="11"/>
        <color theme="1"/>
        <rFont val="Calibri"/>
        <family val="2"/>
        <scheme val="minor"/>
      </rPr>
      <t>Modified Date</t>
    </r>
    <r>
      <rPr>
        <sz val="11"/>
        <color theme="1"/>
        <rFont val="Calibri"/>
        <family val="2"/>
        <scheme val="minor"/>
      </rPr>
      <t xml:space="preserve"> must update only when the record is changed, not during the initial creation of the record.</t>
    </r>
  </si>
  <si>
    <r>
      <t xml:space="preserve">1. Functionality is working as expected.
2. After modification, the </t>
    </r>
    <r>
      <rPr>
        <b/>
        <sz val="11"/>
        <color theme="1"/>
        <rFont val="Calibri"/>
        <family val="2"/>
        <scheme val="minor"/>
      </rPr>
      <t>Modified By</t>
    </r>
    <r>
      <rPr>
        <sz val="11"/>
        <color theme="1"/>
        <rFont val="Calibri"/>
        <family val="2"/>
        <scheme val="minor"/>
      </rPr>
      <t xml:space="preserve"> textbox is auto-populated with the correct username.</t>
    </r>
  </si>
  <si>
    <r>
      <t xml:space="preserve">1. Functionality is working as expected.
2. After modification, the </t>
    </r>
    <r>
      <rPr>
        <b/>
        <sz val="11"/>
        <color theme="1"/>
        <rFont val="Calibri"/>
        <family val="2"/>
        <scheme val="minor"/>
      </rPr>
      <t xml:space="preserve">Modified Date </t>
    </r>
    <r>
      <rPr>
        <sz val="11"/>
        <color theme="1"/>
        <rFont val="Calibri"/>
        <family val="2"/>
        <scheme val="minor"/>
      </rPr>
      <t>textbox is auto-populated with the correct date format.</t>
    </r>
  </si>
  <si>
    <t>Segment_Master_25</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</si>
  <si>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Segment Master </t>
    </r>
    <r>
      <rPr>
        <sz val="11"/>
        <color theme="1"/>
        <rFont val="Calibri"/>
        <family val="2"/>
        <scheme val="minor"/>
      </rPr>
      <t>Page.</t>
    </r>
  </si>
  <si>
    <t>1. Select any existing record from the left-side list.
2. Modify one or more fields with new valid data.</t>
  </si>
  <si>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Select an existing record from the left-side list.
5. Modify one or more fields with valid new data.
6. Click on the Modify button.
7. Re-select the same record and verify updated values.</t>
    </r>
  </si>
  <si>
    <t>1. Modify button should be enabled only when a record is selected and its data is loaded into the corresponding textboxes.
2. On clicking Modify, the record should be updated with the new values.
3. The updated record should reflect correctly in the left-side records list.
4. User should be able to modify the same record multiple times.</t>
  </si>
  <si>
    <t>Segment_Master_26</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</si>
  <si>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Segment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</si>
  <si>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Enter values in all or few input fields.
5. Click the Clear button and observe the system behavior.</t>
    </r>
  </si>
  <si>
    <r>
      <t xml:space="preserve">1. On clicking the Clear button, System should display a confirmation popup: </t>
    </r>
    <r>
      <rPr>
        <b/>
        <sz val="11"/>
        <color theme="1"/>
        <rFont val="Calibri"/>
        <family val="2"/>
        <scheme val="minor"/>
      </rPr>
      <t>“Are you sure you want to clear the data?”
 -&gt;</t>
    </r>
    <r>
      <rPr>
        <sz val="11"/>
        <color theme="1"/>
        <rFont val="Calibri"/>
        <family val="2"/>
        <scheme val="minor"/>
      </rPr>
      <t xml:space="preserve"> If user clicks Yes:
All form fields should be cleared and reset to default state.
All dropdowns should reset to </t>
    </r>
    <r>
      <rPr>
        <b/>
        <sz val="11"/>
        <color theme="1"/>
        <rFont val="Calibri"/>
        <family val="2"/>
        <scheme val="minor"/>
      </rPr>
      <t xml:space="preserve">“Select”.
 -&gt; </t>
    </r>
    <r>
      <rPr>
        <sz val="11"/>
        <color theme="1"/>
        <rFont val="Calibri"/>
        <family val="2"/>
        <scheme val="minor"/>
      </rPr>
      <t>If user clicks No:
All entered values should remain unchanged.</t>
    </r>
  </si>
  <si>
    <r>
      <t xml:space="preserve">1. Functionality is not working as Expected.
2. On clicking Clear, all dropdown fields become blank instead of resetting to </t>
    </r>
    <r>
      <rPr>
        <b/>
        <sz val="11"/>
        <color theme="1"/>
        <rFont val="Calibri"/>
        <family val="2"/>
        <scheme val="minor"/>
      </rPr>
      <t>“Select”.</t>
    </r>
    <r>
      <rPr>
        <sz val="11"/>
        <color theme="1"/>
        <rFont val="Calibri"/>
        <family val="2"/>
        <scheme val="minor"/>
      </rPr>
      <t xml:space="preserve">
</t>
    </r>
    <r>
      <rPr>
        <b/>
        <sz val="11"/>
        <color theme="1"/>
        <rFont val="Calibri"/>
        <family val="2"/>
        <scheme val="minor"/>
      </rPr>
      <t>Observation - The system is not asking for confirmation before clearing the page.</t>
    </r>
  </si>
  <si>
    <t>Segment_Master_27</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</si>
  <si>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Segment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</si>
  <si>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</si>
  <si>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Segment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</si>
  <si>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Segment_Master_28</t>
  </si>
  <si>
    <r>
      <t xml:space="preserve">Validate the functionality of </t>
    </r>
    <r>
      <rPr>
        <b/>
        <sz val="11"/>
        <color theme="1"/>
        <rFont val="Calibri"/>
        <family val="2"/>
        <scheme val="minor"/>
      </rPr>
      <t>Keyword Action</t>
    </r>
    <r>
      <rPr>
        <sz val="11"/>
        <color theme="1"/>
        <rFont val="Calibri"/>
        <family val="2"/>
        <scheme val="minor"/>
      </rPr>
      <t xml:space="preserve"> on the </t>
    </r>
    <r>
      <rPr>
        <b/>
        <sz val="11"/>
        <color theme="1"/>
        <rFont val="Calibri"/>
        <family val="2"/>
        <scheme val="minor"/>
      </rPr>
      <t xml:space="preserve">Segment Master </t>
    </r>
    <r>
      <rPr>
        <sz val="11"/>
        <color theme="1"/>
        <rFont val="Calibri"/>
        <family val="2"/>
        <scheme val="minor"/>
      </rPr>
      <t>Page. (Tab button).</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</si>
  <si>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Use keyword button to fill the foam and observe the system behaviour.</t>
    </r>
  </si>
  <si>
    <t>Segment_Master_29</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</si>
  <si>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 xml:space="preserve">on the </t>
    </r>
    <r>
      <rPr>
        <b/>
        <sz val="11"/>
        <color theme="1"/>
        <rFont val="Calibri"/>
        <family val="2"/>
        <scheme val="minor"/>
      </rPr>
      <t>Segment Master</t>
    </r>
    <r>
      <rPr>
        <sz val="11"/>
        <color theme="1"/>
        <rFont val="Calibri"/>
        <family val="2"/>
        <scheme val="minor"/>
      </rPr>
      <t xml:space="preserve"> Page. (Tab button).</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</si>
  <si>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4. Observe the Success Pop-up and Error Pop-up Readability for each field.</t>
    </r>
  </si>
  <si>
    <t>Segment_Master_30</t>
  </si>
  <si>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Segment Master </t>
    </r>
    <r>
      <rPr>
        <sz val="11"/>
        <color theme="1"/>
        <rFont val="Calibri"/>
        <family val="2"/>
        <scheme val="minor"/>
      </rPr>
      <t xml:space="preserve">Page. </t>
    </r>
  </si>
  <si>
    <r>
      <t xml:space="preserve">1. Open the application and log in 
2. Select Branch: AHMEDABAD, Export Type: Export Sea, FY 2025–2026, click OK.
3. Navigate to </t>
    </r>
    <r>
      <rPr>
        <b/>
        <sz val="11"/>
        <color theme="1"/>
        <rFont val="Calibri"/>
        <family val="2"/>
        <scheme val="minor"/>
      </rPr>
      <t xml:space="preserve">Masters - Misc Master -&gt; Segment Master.
</t>
    </r>
    <r>
      <rPr>
        <sz val="11"/>
        <color theme="1"/>
        <rFont val="Calibri"/>
        <family val="2"/>
        <scheme val="minor"/>
      </rPr>
      <t xml:space="preserve">4. Leave the </t>
    </r>
    <r>
      <rPr>
        <b/>
        <sz val="11"/>
        <color theme="1"/>
        <rFont val="Calibri"/>
        <family val="2"/>
        <scheme val="minor"/>
      </rPr>
      <t>Segment Master</t>
    </r>
    <r>
      <rPr>
        <sz val="11"/>
        <color theme="1"/>
        <rFont val="Calibri"/>
        <family val="2"/>
        <scheme val="minor"/>
      </rPr>
      <t xml:space="preserve"> page idle for long time and observe the system behaviour.</t>
    </r>
  </si>
  <si>
    <t>Trigger_Master_01</t>
  </si>
  <si>
    <t xml:space="preserve">Misc  Master -&gt; Trigger Master
</t>
  </si>
  <si>
    <r>
      <t xml:space="preserve">Validate the functionality of </t>
    </r>
    <r>
      <rPr>
        <b/>
        <sz val="11"/>
        <color theme="1"/>
        <rFont val="Calibri"/>
        <family val="2"/>
        <scheme val="minor"/>
      </rPr>
      <t xml:space="preserve">Trigger Master, </t>
    </r>
    <r>
      <rPr>
        <sz val="11"/>
        <color theme="1"/>
        <rFont val="Calibri"/>
        <family val="2"/>
        <scheme val="minor"/>
      </rPr>
      <t xml:space="preserve">Under </t>
    </r>
    <r>
      <rPr>
        <b/>
        <sz val="11"/>
        <color theme="1"/>
        <rFont val="Calibri"/>
        <family val="2"/>
        <scheme val="minor"/>
      </rPr>
      <t>Misc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</si>
  <si>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Misc Master</t>
    </r>
    <r>
      <rPr>
        <sz val="11"/>
        <color theme="1"/>
        <rFont val="Calibri"/>
        <family val="2"/>
        <scheme val="minor"/>
      </rPr>
      <t xml:space="preserve"> -&gt; </t>
    </r>
    <r>
      <rPr>
        <b/>
        <sz val="11"/>
        <color theme="1"/>
        <rFont val="Calibri"/>
        <family val="2"/>
        <scheme val="minor"/>
      </rPr>
      <t>Trigger Master</t>
    </r>
  </si>
  <si>
    <r>
      <t xml:space="preserve">1. On Mouse Hovering action on </t>
    </r>
    <r>
      <rPr>
        <b/>
        <sz val="11"/>
        <color theme="1"/>
        <rFont val="Calibri"/>
        <family val="2"/>
        <scheme val="minor"/>
      </rPr>
      <t>Masters -&gt; Misc Master -&gt; Trigger Master</t>
    </r>
    <r>
      <rPr>
        <sz val="11"/>
        <color theme="1"/>
        <rFont val="Calibri"/>
        <family val="2"/>
        <scheme val="minor"/>
      </rPr>
      <t>.</t>
    </r>
    <r>
      <rPr>
        <b/>
        <sz val="11"/>
        <color theme="1"/>
        <rFont val="Calibri"/>
        <family val="2"/>
        <scheme val="minor"/>
      </rPr>
      <t xml:space="preserv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</si>
  <si>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Trigger Master </t>
    </r>
    <r>
      <rPr>
        <sz val="11"/>
        <color theme="1"/>
        <rFont val="Calibri"/>
        <family val="2"/>
        <scheme val="minor"/>
      </rPr>
      <t>Page is opening properly.</t>
    </r>
  </si>
  <si>
    <t>Trigger_Master_02</t>
  </si>
  <si>
    <t>Search Data:
 -&gt; DOCUMENT RECEIVED</t>
  </si>
  <si>
    <r>
      <t xml:space="preserve">Validate the functionality of the </t>
    </r>
    <r>
      <rPr>
        <b/>
        <sz val="11"/>
        <color theme="1"/>
        <rFont val="Calibri"/>
        <family val="2"/>
        <scheme val="minor"/>
      </rPr>
      <t>Search</t>
    </r>
    <r>
      <rPr>
        <sz val="11"/>
        <color theme="1"/>
        <rFont val="Calibri"/>
        <family val="2"/>
        <scheme val="minor"/>
      </rPr>
      <t xml:space="preserve"> textbox in the left-side panel on the </t>
    </r>
    <r>
      <rPr>
        <b/>
        <sz val="11"/>
        <color theme="1"/>
        <rFont val="Calibri"/>
        <family val="2"/>
        <scheme val="minor"/>
      </rPr>
      <t>Trigger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</si>
  <si>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Misc Master -&gt; Trigger Master
</t>
    </r>
    <r>
      <rPr>
        <sz val="11"/>
        <color theme="1"/>
        <rFont val="Calibri"/>
        <family val="2"/>
        <scheme val="minor"/>
      </rPr>
      <t>4. Enter different search keywords in the Search textbox.
5. Observe the filtered records in the left-side list panel.</t>
    </r>
  </si>
  <si>
    <r>
      <t>1. Search textbox should return all matching records for:
 -&gt; Full match
 -&gt; Partial match (any word in the record name)
 -&gt; Case-insensitive input
2. Records should dynamically filter based on the entered search keyword.
3. If no record matches the keyword, the list should appear empty.
4. Search textbox placeholder should display “</t>
    </r>
    <r>
      <rPr>
        <b/>
        <sz val="11"/>
        <color theme="1"/>
        <rFont val="Calibri"/>
        <family val="2"/>
        <scheme val="minor"/>
      </rPr>
      <t>Search Trigger</t>
    </r>
    <r>
      <rPr>
        <sz val="11"/>
        <color theme="1"/>
        <rFont val="Calibri"/>
        <family val="2"/>
        <scheme val="minor"/>
      </rPr>
      <t xml:space="preserve">”.
</t>
    </r>
  </si>
  <si>
    <r>
      <t xml:space="preserve">1. The Search textbox is working only for the first word of the record name.
</t>
    </r>
    <r>
      <rPr>
        <b/>
        <sz val="11"/>
        <color theme="1"/>
        <rFont val="Calibri"/>
        <family val="2"/>
        <scheme val="minor"/>
      </rPr>
      <t>Example record: 'DOCUMENT RECEIVED' recrod
-&gt; Searching 'DOCUMENT' → Return Result
 -&gt; Searching 'RECEIVED' →  No result
Placeholder text should be : Search Trigger</t>
    </r>
  </si>
  <si>
    <t>Trigger_Master_03</t>
  </si>
  <si>
    <t xml:space="preserve">From Date -
To Date - 
</t>
  </si>
  <si>
    <r>
      <t xml:space="preserve">Validate the functionality of the </t>
    </r>
    <r>
      <rPr>
        <b/>
        <sz val="11"/>
        <color theme="1"/>
        <rFont val="Calibri"/>
        <family val="2"/>
        <scheme val="minor"/>
      </rPr>
      <t>From Date</t>
    </r>
    <r>
      <rPr>
        <sz val="11"/>
        <color theme="1"/>
        <rFont val="Calibri"/>
        <family val="2"/>
        <scheme val="minor"/>
      </rPr>
      <t xml:space="preserve"> and</t>
    </r>
    <r>
      <rPr>
        <b/>
        <sz val="11"/>
        <color theme="1"/>
        <rFont val="Calibri"/>
        <family val="2"/>
        <scheme val="minor"/>
      </rPr>
      <t xml:space="preserve"> To Date</t>
    </r>
    <r>
      <rPr>
        <sz val="11"/>
        <color theme="1"/>
        <rFont val="Calibri"/>
        <family val="2"/>
        <scheme val="minor"/>
      </rPr>
      <t xml:space="preserve"> search box in the left-side panel on the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</si>
  <si>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Trigger Master
</t>
    </r>
    <r>
      <rPr>
        <sz val="11"/>
        <color theme="1"/>
        <rFont val="Calibri"/>
        <family val="2"/>
        <scheme val="minor"/>
      </rPr>
      <t>4. Select dates from the auto-suggest calendar in both From Date and To Date fields.
5. Click on the Search button.
6. Observe the filtered records in the left-side list panel.</t>
    </r>
  </si>
  <si>
    <t>1. Manual date entry should not be allowed in From Date and To Date fields.
2. Dates should be selectable only via the calendar.
3. Search should not execute if only one date is entered; both dates must be mandatory for search.
4. Records should be filtered correctly based on the selected date range.
5. If no records exist within the selected range, the list should display no records</t>
  </si>
  <si>
    <t>1. Functionality is working as expected 
2. Records are filtered correctly based on the selected date range.
3. Empty list is displayed when no records exist in the selected range.</t>
  </si>
  <si>
    <t>Trigger_Master_04</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</si>
  <si>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Trigger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</si>
  <si>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In the left-side list panel:
 -&gt; Click Sort Ascending and observe the list order.
 -&gt; Click Sort Descending and observe the list order.
 -&gt; Select all column checkboxes and verify column visibility.
 -&gt; Deselect all column checkboxes and verify column visibility.</t>
    </r>
  </si>
  <si>
    <t>Trigger_Master_05</t>
  </si>
  <si>
    <r>
      <t xml:space="preserve">1. Open the application and log in.
2. Select Branch: AHMEDABAD, Export Type: Export Sea, FY: 2025–2026, and click OK.
3. Navigate to </t>
    </r>
    <r>
      <rPr>
        <b/>
        <sz val="11"/>
        <color theme="1"/>
        <rFont val="Calibri"/>
        <family val="2"/>
        <scheme val="minor"/>
      </rPr>
      <t>Masters -&gt;  Misc Master -&gt; Trigger Master</t>
    </r>
    <r>
      <rPr>
        <sz val="11"/>
        <color theme="1"/>
        <rFont val="Calibri"/>
        <family val="2"/>
        <scheme val="minor"/>
      </rPr>
      <t xml:space="preserve">
4. From the left-side list panel, select any record and verify that the corresponding details are displayed in the Grid.
5. Select a different record and confirm that the grid updates accordingly.
6.Verify that the previously selected record returns to the default (non-highlighted) color.</t>
    </r>
  </si>
  <si>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t>
    </r>
    <r>
      <rPr>
        <b/>
        <sz val="11"/>
        <color theme="1"/>
        <rFont val="Calibri"/>
        <family val="2"/>
        <scheme val="minor"/>
      </rPr>
      <t>Grid</t>
    </r>
    <r>
      <rPr>
        <sz val="11"/>
        <color theme="1"/>
        <rFont val="Calibri"/>
        <family val="2"/>
        <scheme val="minor"/>
      </rPr>
      <t xml:space="preserve"> on the </t>
    </r>
    <r>
      <rPr>
        <b/>
        <sz val="11"/>
        <color theme="1"/>
        <rFont val="Calibri"/>
        <family val="2"/>
        <scheme val="minor"/>
      </rPr>
      <t xml:space="preserve">Trigger Master </t>
    </r>
    <r>
      <rPr>
        <sz val="11"/>
        <color theme="1"/>
        <rFont val="Calibri"/>
        <family val="2"/>
        <scheme val="minor"/>
      </rPr>
      <t>Page</t>
    </r>
  </si>
  <si>
    <r>
      <t xml:space="preserve">1. Selected record details should be displayed correctly in the </t>
    </r>
    <r>
      <rPr>
        <b/>
        <sz val="11"/>
        <color theme="1"/>
        <rFont val="Calibri"/>
        <family val="2"/>
        <scheme val="minor"/>
      </rPr>
      <t>Grid.</t>
    </r>
    <r>
      <rPr>
        <sz val="11"/>
        <color theme="1"/>
        <rFont val="Calibri"/>
        <family val="2"/>
        <scheme val="minor"/>
      </rPr>
      <t xml:space="preserve">
2. When another record is selected, the </t>
    </r>
    <r>
      <rPr>
        <b/>
        <sz val="11"/>
        <color theme="1"/>
        <rFont val="Calibri"/>
        <family val="2"/>
        <scheme val="minor"/>
      </rPr>
      <t>Grid should refresh</t>
    </r>
    <r>
      <rPr>
        <sz val="11"/>
        <color theme="1"/>
        <rFont val="Calibri"/>
        <family val="2"/>
        <scheme val="minor"/>
      </rPr>
      <t xml:space="preserve"> and display the newly selected record’s details.
3. The previously selected record should </t>
    </r>
    <r>
      <rPr>
        <b/>
        <sz val="11"/>
        <color theme="1"/>
        <rFont val="Calibri"/>
        <family val="2"/>
        <scheme val="minor"/>
      </rPr>
      <t xml:space="preserve">lose highlight </t>
    </r>
    <r>
      <rPr>
        <sz val="11"/>
        <color theme="1"/>
        <rFont val="Calibri"/>
        <family val="2"/>
        <scheme val="minor"/>
      </rPr>
      <t>and return to the default (white) color.</t>
    </r>
  </si>
  <si>
    <t>1. Selected record details are displayed correctly in the Grid.
2. When another record is selected, the grid updates correctly.
3. Previously selected record remains highlighted in green, even after selecting another record.</t>
  </si>
  <si>
    <t>Trigger_Master_06</t>
  </si>
  <si>
    <r>
      <t xml:space="preserve">Validate that a record selected from the </t>
    </r>
    <r>
      <rPr>
        <b/>
        <sz val="11"/>
        <color theme="1"/>
        <rFont val="Calibri"/>
        <family val="2"/>
        <scheme val="minor"/>
      </rPr>
      <t>Grid</t>
    </r>
    <r>
      <rPr>
        <sz val="11"/>
        <color theme="1"/>
        <rFont val="Calibri"/>
        <family val="2"/>
        <scheme val="minor"/>
      </rPr>
      <t xml:space="preserve"> is correctly reflected in the corresponding textboxes on the </t>
    </r>
    <r>
      <rPr>
        <b/>
        <sz val="11"/>
        <color theme="1"/>
        <rFont val="Calibri"/>
        <family val="2"/>
        <scheme val="minor"/>
      </rPr>
      <t xml:space="preserve">Trigger Master </t>
    </r>
    <r>
      <rPr>
        <sz val="11"/>
        <color theme="1"/>
        <rFont val="Calibri"/>
        <family val="2"/>
        <scheme val="minor"/>
      </rPr>
      <t>Page</t>
    </r>
  </si>
  <si>
    <r>
      <t>1. Open the application and log in.
2. Select Branch: AHMEDABAD, Export Type: Export Sea, FY: 2025–2026, and click OK.
3. Navigate to</t>
    </r>
    <r>
      <rPr>
        <b/>
        <sz val="11"/>
        <color theme="1"/>
        <rFont val="Calibri"/>
        <family val="2"/>
        <scheme val="minor"/>
      </rPr>
      <t xml:space="preserve"> Masters -&gt;  Misc Master -&gt; Trigger Master</t>
    </r>
    <r>
      <rPr>
        <sz val="11"/>
        <color theme="1"/>
        <rFont val="Calibri"/>
        <family val="2"/>
        <scheme val="minor"/>
      </rPr>
      <t xml:space="preserve">
4. From the left-side panel list, click Select on any existing record.
5. Verify that the Grid populates for the selected record.
6. Within the Grid, click Select on a grid record.
7. Verify that the selected grid record’s data is reflected in the corresponding textboxes on the page.
8. Observe the Total Entry Count label.</t>
    </r>
  </si>
  <si>
    <t>1. Selected record from the left-side panel list should appear in the Grid.
2. Selecting a record in the Grid should populate the corresponding textboxes with that record’s data.
3. Total Entry Count should update dynamically based on the number of records in the Grid.
4. If the Grid is empty, Total Entry Count should display 0.</t>
  </si>
  <si>
    <t>1. Selected record’s data is displayed correctly in the corresponding textboxes.
2. Total Entry Count does not update when records are present or removed from the Grid.</t>
  </si>
  <si>
    <t>Trigger_Master_07</t>
  </si>
  <si>
    <r>
      <t xml:space="preserve">Validate the functionality of </t>
    </r>
    <r>
      <rPr>
        <b/>
        <sz val="11"/>
        <color theme="1"/>
        <rFont val="Calibri"/>
        <family val="2"/>
        <scheme val="minor"/>
      </rPr>
      <t>'Name'</t>
    </r>
    <r>
      <rPr>
        <sz val="11"/>
        <color theme="1"/>
        <rFont val="Calibri"/>
        <family val="2"/>
        <scheme val="minor"/>
      </rPr>
      <t xml:space="preserve"> textbox in the</t>
    </r>
    <r>
      <rPr>
        <b/>
        <sz val="11"/>
        <color theme="1"/>
        <rFont val="Calibri"/>
        <family val="2"/>
        <scheme val="minor"/>
      </rPr>
      <t xml:space="preserve"> 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</si>
  <si>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In the </t>
    </r>
    <r>
      <rPr>
        <b/>
        <sz val="11"/>
        <color theme="1"/>
        <rFont val="Calibri"/>
        <family val="2"/>
        <scheme val="minor"/>
      </rPr>
      <t xml:space="preserve">Name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</si>
  <si>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Name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DUTY CALL
-&gt; ATA</t>
    </r>
  </si>
  <si>
    <r>
      <t xml:space="preserve">1. Manual input should not be allowed in the </t>
    </r>
    <r>
      <rPr>
        <b/>
        <sz val="11"/>
        <color theme="1"/>
        <rFont val="Calibri"/>
        <family val="2"/>
        <scheme val="minor"/>
      </rPr>
      <t>Name</t>
    </r>
    <r>
      <rPr>
        <sz val="11"/>
        <color theme="1"/>
        <rFont val="Calibri"/>
        <family val="2"/>
        <scheme val="minor"/>
      </rPr>
      <t xml:space="preserve"> textbox.
2. The user should be able to select a </t>
    </r>
    <r>
      <rPr>
        <b/>
        <sz val="11"/>
        <color theme="1"/>
        <rFont val="Calibri"/>
        <family val="2"/>
        <scheme val="minor"/>
      </rPr>
      <t>Name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</si>
  <si>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r>
      <t xml:space="preserve">1. Functionality is working as expected.
2. </t>
    </r>
    <r>
      <rPr>
        <b/>
        <sz val="11"/>
        <color theme="1"/>
        <rFont val="Calibri"/>
        <family val="2"/>
        <scheme val="minor"/>
      </rPr>
      <t>Name</t>
    </r>
    <r>
      <rPr>
        <sz val="11"/>
        <color theme="1"/>
        <rFont val="Calibri"/>
        <family val="2"/>
        <scheme val="minor"/>
      </rPr>
      <t xml:space="preserve"> value can be selected only from the autosuggest list.</t>
    </r>
  </si>
  <si>
    <t>Trigger_Master_08</t>
  </si>
  <si>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Try entering manual values in the </t>
    </r>
    <r>
      <rPr>
        <b/>
        <sz val="11"/>
        <color theme="1"/>
        <rFont val="Calibri"/>
        <family val="2"/>
        <scheme val="minor"/>
      </rPr>
      <t xml:space="preserve">Type </t>
    </r>
    <r>
      <rPr>
        <sz val="11"/>
        <color theme="1"/>
        <rFont val="Calibri"/>
        <family val="2"/>
        <scheme val="minor"/>
      </rPr>
      <t xml:space="preserve">textbox.
5. Select a valid value from the </t>
    </r>
    <r>
      <rPr>
        <b/>
        <sz val="11"/>
        <color theme="1"/>
        <rFont val="Calibri"/>
        <family val="2"/>
        <scheme val="minor"/>
      </rPr>
      <t xml:space="preserve">Type </t>
    </r>
    <r>
      <rPr>
        <sz val="11"/>
        <color theme="1"/>
        <rFont val="Calibri"/>
        <family val="2"/>
        <scheme val="minor"/>
      </rPr>
      <t>dropdown.</t>
    </r>
  </si>
  <si>
    <r>
      <t xml:space="preserve">Textbox - </t>
    </r>
    <r>
      <rPr>
        <b/>
        <sz val="11"/>
        <color theme="1"/>
        <rFont val="Calibri"/>
        <family val="2"/>
        <scheme val="minor"/>
      </rPr>
      <t>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Self
 -&gt; Agent</t>
    </r>
  </si>
  <si>
    <r>
      <t xml:space="preserve">1. Manual input should not be allowed in the </t>
    </r>
    <r>
      <rPr>
        <b/>
        <sz val="11"/>
        <color theme="1"/>
        <rFont val="Calibri"/>
        <family val="2"/>
        <scheme val="minor"/>
      </rPr>
      <t>Type</t>
    </r>
    <r>
      <rPr>
        <sz val="11"/>
        <color theme="1"/>
        <rFont val="Calibri"/>
        <family val="2"/>
        <scheme val="minor"/>
      </rPr>
      <t xml:space="preserve"> field.
2. User should be able to select</t>
    </r>
    <r>
      <rPr>
        <b/>
        <sz val="11"/>
        <color theme="1"/>
        <rFont val="Calibri"/>
        <family val="2"/>
        <scheme val="minor"/>
      </rPr>
      <t xml:space="preserve"> Type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</si>
  <si>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Type</t>
    </r>
    <r>
      <rPr>
        <sz val="11"/>
        <color theme="1"/>
        <rFont val="Calibri"/>
        <family val="2"/>
        <scheme val="minor"/>
      </rPr>
      <t xml:space="preserve"> field.
2. </t>
    </r>
    <r>
      <rPr>
        <b/>
        <sz val="11"/>
        <color theme="1"/>
        <rFont val="Calibri"/>
        <family val="2"/>
        <scheme val="minor"/>
      </rPr>
      <t>Type</t>
    </r>
    <r>
      <rPr>
        <sz val="11"/>
        <color theme="1"/>
        <rFont val="Calibri"/>
        <family val="2"/>
        <scheme val="minor"/>
      </rPr>
      <t xml:space="preserve"> value can be selected only from the dropdown.</t>
    </r>
  </si>
  <si>
    <t>Trigger_Master_09</t>
  </si>
  <si>
    <r>
      <t xml:space="preserve">Validate the functionality of </t>
    </r>
    <r>
      <rPr>
        <b/>
        <sz val="11"/>
        <color theme="1"/>
        <rFont val="Calibri"/>
        <family val="2"/>
        <scheme val="minor"/>
      </rPr>
      <t>'Type'</t>
    </r>
    <r>
      <rPr>
        <sz val="11"/>
        <color theme="1"/>
        <rFont val="Calibri"/>
        <family val="2"/>
        <scheme val="minor"/>
      </rPr>
      <t xml:space="preserve"> dropdown textbox in </t>
    </r>
    <r>
      <rPr>
        <b/>
        <sz val="11"/>
        <color theme="1"/>
        <rFont val="Calibri"/>
        <family val="2"/>
        <scheme val="minor"/>
      </rPr>
      <t xml:space="preserve">Trigger Master </t>
    </r>
    <r>
      <rPr>
        <sz val="11"/>
        <color theme="1"/>
        <rFont val="Calibri"/>
        <family val="2"/>
        <scheme val="minor"/>
      </rPr>
      <t>Page.</t>
    </r>
  </si>
  <si>
    <r>
      <t xml:space="preserve">Validate the functionality of </t>
    </r>
    <r>
      <rPr>
        <b/>
        <sz val="11"/>
        <color theme="1"/>
        <rFont val="Calibri"/>
        <family val="2"/>
        <scheme val="minor"/>
      </rPr>
      <t>'Agent Remarks'</t>
    </r>
    <r>
      <rPr>
        <sz val="11"/>
        <color theme="1"/>
        <rFont val="Calibri"/>
        <family val="2"/>
        <scheme val="minor"/>
      </rPr>
      <t xml:space="preserve">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</si>
  <si>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 xml:space="preserve">Agent Remarks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</si>
  <si>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Agent Remarks</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</si>
  <si>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Agent Remarks</t>
    </r>
    <r>
      <rPr>
        <sz val="11"/>
        <color theme="1"/>
        <rFont val="Calibri"/>
        <family val="2"/>
        <scheme val="minor"/>
      </rPr>
      <t xml:space="preserve"> textbox should accept alphanumeric values.
2. </t>
    </r>
    <r>
      <rPr>
        <b/>
        <sz val="11"/>
        <color theme="1"/>
        <rFont val="Calibri"/>
        <family val="2"/>
        <scheme val="minor"/>
      </rPr>
      <t>Agent Remarks</t>
    </r>
    <r>
      <rPr>
        <sz val="11"/>
        <color theme="1"/>
        <rFont val="Calibri"/>
        <family val="2"/>
        <scheme val="minor"/>
      </rPr>
      <t xml:space="preserve"> textbox should not accept special character value, only space value and combination of character value.
2. The textbox length should be limited to 250 characters.</t>
    </r>
  </si>
  <si>
    <t>1. The Agent Remarks textbox accepts:
 -&gt; Alphabetic values
 -&gt; Numeric values
 -&gt; Special character values
2. The 250-character limit is enforced correctly.</t>
  </si>
  <si>
    <t>Trigger_Master_10</t>
  </si>
  <si>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Air Days</t>
    </r>
    <r>
      <rPr>
        <sz val="11"/>
        <color theme="1"/>
        <rFont val="Calibri"/>
        <family val="2"/>
        <scheme val="minor"/>
      </rPr>
      <t xml:space="preserve"> textbox and observe the system behaviour.</t>
    </r>
  </si>
  <si>
    <r>
      <t xml:space="preserve">1. The Air Days textbox should accept </t>
    </r>
    <r>
      <rPr>
        <b/>
        <sz val="11"/>
        <color theme="1"/>
        <rFont val="Calibri"/>
        <family val="2"/>
        <scheme val="minor"/>
      </rPr>
      <t>numeric values</t>
    </r>
    <r>
      <rPr>
        <sz val="11"/>
        <color theme="1"/>
        <rFont val="Calibri"/>
        <family val="2"/>
        <scheme val="minor"/>
      </rPr>
      <t xml:space="preserve"> only.
2. The textbox should allow a </t>
    </r>
    <r>
      <rPr>
        <b/>
        <sz val="11"/>
        <color theme="1"/>
        <rFont val="Calibri"/>
        <family val="2"/>
        <scheme val="minor"/>
      </rPr>
      <t>single decimal point</t>
    </r>
    <r>
      <rPr>
        <sz val="11"/>
        <color theme="1"/>
        <rFont val="Calibri"/>
        <family val="2"/>
        <scheme val="minor"/>
      </rPr>
      <t xml:space="preserve"> (.).
3. The textbox should not accept:
 -&gt; Only space values
 -&gt; Alphabetic values
 -&gt; Special characters (except decimal point .)
 -&gt; Alphanumeric values with special characters or spaces
4. Only </t>
    </r>
    <r>
      <rPr>
        <b/>
        <sz val="11"/>
        <color theme="1"/>
        <rFont val="Calibri"/>
        <family val="2"/>
        <scheme val="minor"/>
      </rPr>
      <t xml:space="preserve">one decimal point </t>
    </r>
    <r>
      <rPr>
        <sz val="11"/>
        <color theme="1"/>
        <rFont val="Calibri"/>
        <family val="2"/>
        <scheme val="minor"/>
      </rPr>
      <t xml:space="preserve">should be allowed.
5. The textbox should restrict input to a maximum of 7 characters.
6. </t>
    </r>
    <r>
      <rPr>
        <b/>
        <sz val="11"/>
        <color theme="1"/>
        <rFont val="Calibri"/>
        <family val="2"/>
        <scheme val="minor"/>
      </rPr>
      <t>If a decimal point is entered without any value after it, the decimal point should be automatically cleared.</t>
    </r>
  </si>
  <si>
    <t>Trigger_Master_11</t>
  </si>
  <si>
    <r>
      <t xml:space="preserve">Validate the functionality of </t>
    </r>
    <r>
      <rPr>
        <b/>
        <sz val="11"/>
        <color theme="1"/>
        <rFont val="Calibri"/>
        <family val="2"/>
        <scheme val="minor"/>
      </rPr>
      <t xml:space="preserve">'Air Days' </t>
    </r>
    <r>
      <rPr>
        <sz val="11"/>
        <color theme="1"/>
        <rFont val="Calibri"/>
        <family val="2"/>
        <scheme val="minor"/>
      </rPr>
      <t xml:space="preserve">textbox in </t>
    </r>
    <r>
      <rPr>
        <b/>
        <sz val="11"/>
        <color theme="1"/>
        <rFont val="Calibri"/>
        <family val="2"/>
        <scheme val="minor"/>
      </rPr>
      <t xml:space="preserve">Trigger Master </t>
    </r>
    <r>
      <rPr>
        <sz val="11"/>
        <color theme="1"/>
        <rFont val="Calibri"/>
        <family val="2"/>
        <scheme val="minor"/>
      </rPr>
      <t>Page.</t>
    </r>
  </si>
  <si>
    <r>
      <t xml:space="preserve">Validate the functionality of </t>
    </r>
    <r>
      <rPr>
        <b/>
        <sz val="11"/>
        <color theme="1"/>
        <rFont val="Calibri"/>
        <family val="2"/>
        <scheme val="minor"/>
      </rPr>
      <t>'Sea Days'</t>
    </r>
    <r>
      <rPr>
        <sz val="11"/>
        <color theme="1"/>
        <rFont val="Calibri"/>
        <family val="2"/>
        <scheme val="minor"/>
      </rPr>
      <t xml:space="preserve">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</si>
  <si>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Sea Days</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</si>
  <si>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Air Days
</t>
    </r>
    <r>
      <rPr>
        <b/>
        <sz val="11"/>
        <color theme="1"/>
        <rFont val="Calibri"/>
        <family val="2"/>
        <scheme val="minor"/>
      </rPr>
      <t>Valid Data</t>
    </r>
    <r>
      <rPr>
        <sz val="11"/>
        <color theme="1"/>
        <rFont val="Calibri"/>
        <family val="2"/>
        <scheme val="minor"/>
      </rPr>
      <t xml:space="preserve"> - 5, 10, 10.25, 1234567, 55. etc.
</t>
    </r>
    <r>
      <rPr>
        <b/>
        <sz val="11"/>
        <color theme="1"/>
        <rFont val="Calibri"/>
        <family val="2"/>
        <scheme val="minor"/>
      </rPr>
      <t xml:space="preserve">Invalid data - </t>
    </r>
    <r>
      <rPr>
        <sz val="11"/>
        <color theme="1"/>
        <rFont val="Calibri"/>
        <family val="2"/>
        <scheme val="minor"/>
      </rPr>
      <t>Only space value, special character value, Alphabetic Value</t>
    </r>
  </si>
  <si>
    <r>
      <rPr>
        <b/>
        <sz val="11"/>
        <color theme="1"/>
        <rFont val="Calibri"/>
        <family val="2"/>
        <scheme val="minor"/>
      </rPr>
      <t xml:space="preserve">Textbox </t>
    </r>
    <r>
      <rPr>
        <sz val="11"/>
        <color theme="1"/>
        <rFont val="Calibri"/>
        <family val="2"/>
        <scheme val="minor"/>
      </rPr>
      <t xml:space="preserve">- Sea Days
</t>
    </r>
    <r>
      <rPr>
        <b/>
        <sz val="11"/>
        <color theme="1"/>
        <rFont val="Calibri"/>
        <family val="2"/>
        <scheme val="minor"/>
      </rPr>
      <t>Valid Data</t>
    </r>
    <r>
      <rPr>
        <sz val="11"/>
        <color theme="1"/>
        <rFont val="Calibri"/>
        <family val="2"/>
        <scheme val="minor"/>
      </rPr>
      <t xml:space="preserve"> - 5, 10, 10.25, 1234567, 55. etc.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</si>
  <si>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The </t>
    </r>
    <r>
      <rPr>
        <b/>
        <sz val="11"/>
        <color theme="1"/>
        <rFont val="Calibri"/>
        <family val="2"/>
        <scheme val="minor"/>
      </rPr>
      <t>Sea Days</t>
    </r>
    <r>
      <rPr>
        <sz val="11"/>
        <color theme="1"/>
        <rFont val="Calibri"/>
        <family val="2"/>
        <scheme val="minor"/>
      </rPr>
      <t xml:space="preserve"> textbox should accept </t>
    </r>
    <r>
      <rPr>
        <b/>
        <sz val="11"/>
        <color theme="1"/>
        <rFont val="Calibri"/>
        <family val="2"/>
        <scheme val="minor"/>
      </rPr>
      <t>numeric values</t>
    </r>
    <r>
      <rPr>
        <sz val="11"/>
        <color theme="1"/>
        <rFont val="Calibri"/>
        <family val="2"/>
        <scheme val="minor"/>
      </rPr>
      <t xml:space="preserve"> only.
2. The textbox should allow a </t>
    </r>
    <r>
      <rPr>
        <b/>
        <sz val="11"/>
        <color theme="1"/>
        <rFont val="Calibri"/>
        <family val="2"/>
        <scheme val="minor"/>
      </rPr>
      <t>single decimal point</t>
    </r>
    <r>
      <rPr>
        <sz val="11"/>
        <color theme="1"/>
        <rFont val="Calibri"/>
        <family val="2"/>
        <scheme val="minor"/>
      </rPr>
      <t xml:space="preserve"> (.).
3. The textbox should not accept:
 -&gt; Only space values
 -&gt; Alphabetic values
 -&gt; Special characters (except decimal point .)
 -&gt; Alphanumeric values with special characters or spaces
4. Only </t>
    </r>
    <r>
      <rPr>
        <b/>
        <sz val="11"/>
        <color theme="1"/>
        <rFont val="Calibri"/>
        <family val="2"/>
        <scheme val="minor"/>
      </rPr>
      <t xml:space="preserve">one decimal point </t>
    </r>
    <r>
      <rPr>
        <sz val="11"/>
        <color theme="1"/>
        <rFont val="Calibri"/>
        <family val="2"/>
        <scheme val="minor"/>
      </rPr>
      <t xml:space="preserve">should be allowed.
5. The textbox should restrict input to a maximum of 7 characters.
6. </t>
    </r>
    <r>
      <rPr>
        <b/>
        <sz val="11"/>
        <color theme="1"/>
        <rFont val="Calibri"/>
        <family val="2"/>
        <scheme val="minor"/>
      </rPr>
      <t>If a decimal point is entered without any value after it, the decimal point should be automatically cleared.</t>
    </r>
  </si>
  <si>
    <t>Trigger_Master_12</t>
  </si>
  <si>
    <r>
      <t xml:space="preserve">Validate the functionality of </t>
    </r>
    <r>
      <rPr>
        <b/>
        <sz val="11"/>
        <color theme="1"/>
        <rFont val="Calibri"/>
        <family val="2"/>
        <scheme val="minor"/>
      </rPr>
      <t>'Land Days'</t>
    </r>
    <r>
      <rPr>
        <sz val="11"/>
        <color theme="1"/>
        <rFont val="Calibri"/>
        <family val="2"/>
        <scheme val="minor"/>
      </rPr>
      <t xml:space="preserve">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</si>
  <si>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Land Days</t>
    </r>
    <r>
      <rPr>
        <sz val="11"/>
        <color theme="1"/>
        <rFont val="Calibri"/>
        <family val="2"/>
        <scheme val="minor"/>
      </rPr>
      <t xml:space="preserve"> textbox and observe the system behaviour.</t>
    </r>
  </si>
  <si>
    <r>
      <rPr>
        <b/>
        <sz val="11"/>
        <color theme="1"/>
        <rFont val="Calibri"/>
        <family val="2"/>
        <scheme val="minor"/>
      </rPr>
      <t xml:space="preserve">Textbox </t>
    </r>
    <r>
      <rPr>
        <sz val="11"/>
        <color theme="1"/>
        <rFont val="Calibri"/>
        <family val="2"/>
        <scheme val="minor"/>
      </rPr>
      <t xml:space="preserve">- Land Days
</t>
    </r>
    <r>
      <rPr>
        <b/>
        <sz val="11"/>
        <color theme="1"/>
        <rFont val="Calibri"/>
        <family val="2"/>
        <scheme val="minor"/>
      </rPr>
      <t>Valid Data</t>
    </r>
    <r>
      <rPr>
        <sz val="11"/>
        <color theme="1"/>
        <rFont val="Calibri"/>
        <family val="2"/>
        <scheme val="minor"/>
      </rPr>
      <t xml:space="preserve"> - 5, 10, 10.25, 1234567, 55. etc.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</si>
  <si>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The </t>
    </r>
    <r>
      <rPr>
        <b/>
        <sz val="11"/>
        <color theme="1"/>
        <rFont val="Calibri"/>
        <family val="2"/>
        <scheme val="minor"/>
      </rPr>
      <t>Land Days</t>
    </r>
    <r>
      <rPr>
        <sz val="11"/>
        <color theme="1"/>
        <rFont val="Calibri"/>
        <family val="2"/>
        <scheme val="minor"/>
      </rPr>
      <t xml:space="preserve"> textbox should accept </t>
    </r>
    <r>
      <rPr>
        <b/>
        <sz val="11"/>
        <color theme="1"/>
        <rFont val="Calibri"/>
        <family val="2"/>
        <scheme val="minor"/>
      </rPr>
      <t>numeric values</t>
    </r>
    <r>
      <rPr>
        <sz val="11"/>
        <color theme="1"/>
        <rFont val="Calibri"/>
        <family val="2"/>
        <scheme val="minor"/>
      </rPr>
      <t xml:space="preserve"> only.
2. The textbox should allow a </t>
    </r>
    <r>
      <rPr>
        <b/>
        <sz val="11"/>
        <color theme="1"/>
        <rFont val="Calibri"/>
        <family val="2"/>
        <scheme val="minor"/>
      </rPr>
      <t>single decimal point</t>
    </r>
    <r>
      <rPr>
        <sz val="11"/>
        <color theme="1"/>
        <rFont val="Calibri"/>
        <family val="2"/>
        <scheme val="minor"/>
      </rPr>
      <t xml:space="preserve"> (.).
3. The textbox should not accept:
 -&gt; Only space values
 -&gt; Alphabetic values
 -&gt; Special characters (except decimal point .)
 -&gt; Alphanumeric values with special characters or spaces
4. Only </t>
    </r>
    <r>
      <rPr>
        <b/>
        <sz val="11"/>
        <color theme="1"/>
        <rFont val="Calibri"/>
        <family val="2"/>
        <scheme val="minor"/>
      </rPr>
      <t xml:space="preserve">one decimal point </t>
    </r>
    <r>
      <rPr>
        <sz val="11"/>
        <color theme="1"/>
        <rFont val="Calibri"/>
        <family val="2"/>
        <scheme val="minor"/>
      </rPr>
      <t xml:space="preserve">should be allowed.
5. The textbox should restrict input to a maximum of 7 characters.
6. </t>
    </r>
    <r>
      <rPr>
        <b/>
        <sz val="11"/>
        <color theme="1"/>
        <rFont val="Calibri"/>
        <family val="2"/>
        <scheme val="minor"/>
      </rPr>
      <t>If a decimal point is entered without any value after it, the decimal point should be automatically cleared.</t>
    </r>
  </si>
  <si>
    <r>
      <t xml:space="preserve">Validate the functionality of </t>
    </r>
    <r>
      <rPr>
        <b/>
        <sz val="11"/>
        <color theme="1"/>
        <rFont val="Calibri"/>
        <family val="2"/>
        <scheme val="minor"/>
      </rPr>
      <t>'Account Type'</t>
    </r>
    <r>
      <rPr>
        <sz val="11"/>
        <color theme="1"/>
        <rFont val="Calibri"/>
        <family val="2"/>
        <scheme val="minor"/>
      </rPr>
      <t xml:space="preserve"> dropdown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</si>
  <si>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Try entering manual values in the </t>
    </r>
    <r>
      <rPr>
        <b/>
        <sz val="11"/>
        <color theme="1"/>
        <rFont val="Calibri"/>
        <family val="2"/>
        <scheme val="minor"/>
      </rPr>
      <t xml:space="preserve">Account Type </t>
    </r>
    <r>
      <rPr>
        <sz val="11"/>
        <color theme="1"/>
        <rFont val="Calibri"/>
        <family val="2"/>
        <scheme val="minor"/>
      </rPr>
      <t xml:space="preserve">textbox.
5. Select a valid value from the </t>
    </r>
    <r>
      <rPr>
        <b/>
        <sz val="11"/>
        <color theme="1"/>
        <rFont val="Calibri"/>
        <family val="2"/>
        <scheme val="minor"/>
      </rPr>
      <t xml:space="preserve">Account Type </t>
    </r>
    <r>
      <rPr>
        <sz val="11"/>
        <color theme="1"/>
        <rFont val="Calibri"/>
        <family val="2"/>
        <scheme val="minor"/>
      </rPr>
      <t>dropdown.</t>
    </r>
  </si>
  <si>
    <r>
      <t xml:space="preserve">Textbox - </t>
    </r>
    <r>
      <rPr>
        <b/>
        <sz val="11"/>
        <color theme="1"/>
        <rFont val="Calibri"/>
        <family val="2"/>
        <scheme val="minor"/>
      </rPr>
      <t>Account 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Yes
 -&gt; No</t>
    </r>
  </si>
  <si>
    <r>
      <t xml:space="preserve">1. Manual input should not be allowed in the </t>
    </r>
    <r>
      <rPr>
        <b/>
        <sz val="11"/>
        <color theme="1"/>
        <rFont val="Calibri"/>
        <family val="2"/>
        <scheme val="minor"/>
      </rPr>
      <t>Account Type</t>
    </r>
    <r>
      <rPr>
        <sz val="11"/>
        <color theme="1"/>
        <rFont val="Calibri"/>
        <family val="2"/>
        <scheme val="minor"/>
      </rPr>
      <t xml:space="preserve"> field.
2. User should be able to select</t>
    </r>
    <r>
      <rPr>
        <b/>
        <sz val="11"/>
        <color theme="1"/>
        <rFont val="Calibri"/>
        <family val="2"/>
        <scheme val="minor"/>
      </rPr>
      <t xml:space="preserve"> Account Type</t>
    </r>
    <r>
      <rPr>
        <sz val="11"/>
        <color theme="1"/>
        <rFont val="Calibri"/>
        <family val="2"/>
        <scheme val="minor"/>
      </rPr>
      <t xml:space="preserve"> only from the dropdown.
3. If invalid input is typed, the field should automatically clear.</t>
    </r>
  </si>
  <si>
    <r>
      <t xml:space="preserve">1. Manual input is not allowed in the </t>
    </r>
    <r>
      <rPr>
        <b/>
        <sz val="11"/>
        <color theme="1"/>
        <rFont val="Calibri"/>
        <family val="2"/>
        <scheme val="minor"/>
      </rPr>
      <t>Account Type</t>
    </r>
    <r>
      <rPr>
        <sz val="11"/>
        <color theme="1"/>
        <rFont val="Calibri"/>
        <family val="2"/>
        <scheme val="minor"/>
      </rPr>
      <t xml:space="preserve"> field.
2. </t>
    </r>
    <r>
      <rPr>
        <b/>
        <sz val="11"/>
        <color theme="1"/>
        <rFont val="Calibri"/>
        <family val="2"/>
        <scheme val="minor"/>
      </rPr>
      <t>Account Type</t>
    </r>
    <r>
      <rPr>
        <sz val="11"/>
        <color theme="1"/>
        <rFont val="Calibri"/>
        <family val="2"/>
        <scheme val="minor"/>
      </rPr>
      <t xml:space="preserve"> value can be selected only from the dropdown.</t>
    </r>
  </si>
  <si>
    <t>Trigger_Master_13</t>
  </si>
  <si>
    <t>Trigger_Master_14</t>
  </si>
  <si>
    <r>
      <t xml:space="preserve">Validate the functionality of </t>
    </r>
    <r>
      <rPr>
        <b/>
        <sz val="11"/>
        <color theme="1"/>
        <rFont val="Calibri"/>
        <family val="2"/>
        <scheme val="minor"/>
      </rPr>
      <t>'Display Status'</t>
    </r>
    <r>
      <rPr>
        <sz val="11"/>
        <color theme="1"/>
        <rFont val="Calibri"/>
        <family val="2"/>
        <scheme val="minor"/>
      </rPr>
      <t xml:space="preserve"> dropdown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</si>
  <si>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Try entering manual values in the </t>
    </r>
    <r>
      <rPr>
        <b/>
        <sz val="11"/>
        <color theme="1"/>
        <rFont val="Calibri"/>
        <family val="2"/>
        <scheme val="minor"/>
      </rPr>
      <t xml:space="preserve">Display Status </t>
    </r>
    <r>
      <rPr>
        <sz val="11"/>
        <color theme="1"/>
        <rFont val="Calibri"/>
        <family val="2"/>
        <scheme val="minor"/>
      </rPr>
      <t xml:space="preserve">textbox.
5. Select a valid value from the </t>
    </r>
    <r>
      <rPr>
        <b/>
        <sz val="11"/>
        <color theme="1"/>
        <rFont val="Calibri"/>
        <family val="2"/>
        <scheme val="minor"/>
      </rPr>
      <t xml:space="preserve">Display Status </t>
    </r>
    <r>
      <rPr>
        <sz val="11"/>
        <color theme="1"/>
        <rFont val="Calibri"/>
        <family val="2"/>
        <scheme val="minor"/>
      </rPr>
      <t>dropdown.</t>
    </r>
  </si>
  <si>
    <t>Trigger_Master_15</t>
  </si>
  <si>
    <r>
      <t xml:space="preserve">Validate the functionality of </t>
    </r>
    <r>
      <rPr>
        <b/>
        <sz val="11"/>
        <color theme="1"/>
        <rFont val="Calibri"/>
        <family val="2"/>
        <scheme val="minor"/>
      </rPr>
      <t>'Note'</t>
    </r>
    <r>
      <rPr>
        <sz val="11"/>
        <color theme="1"/>
        <rFont val="Calibri"/>
        <family val="2"/>
        <scheme val="minor"/>
      </rPr>
      <t xml:space="preserve">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</si>
  <si>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 xml:space="preserve">Note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</si>
  <si>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Note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</si>
  <si>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Note</t>
    </r>
    <r>
      <rPr>
        <sz val="11"/>
        <color theme="1"/>
        <rFont val="Calibri"/>
        <family val="2"/>
        <scheme val="minor"/>
      </rPr>
      <t xml:space="preserve"> textbox should accept alphanumeric values.
2. </t>
    </r>
    <r>
      <rPr>
        <b/>
        <sz val="11"/>
        <color theme="1"/>
        <rFont val="Calibri"/>
        <family val="2"/>
        <scheme val="minor"/>
      </rPr>
      <t>Note</t>
    </r>
    <r>
      <rPr>
        <sz val="11"/>
        <color theme="1"/>
        <rFont val="Calibri"/>
        <family val="2"/>
        <scheme val="minor"/>
      </rPr>
      <t xml:space="preserve"> textbox should not accept special character value, only space value and combination of character value.
2. The textbox length should be limited to 250 characters.</t>
    </r>
  </si>
  <si>
    <t>Trigger_Master_16</t>
  </si>
  <si>
    <r>
      <t xml:space="preserve">Validate the functionality of </t>
    </r>
    <r>
      <rPr>
        <b/>
        <sz val="11"/>
        <color theme="1"/>
        <rFont val="Calibri"/>
        <family val="2"/>
        <scheme val="minor"/>
      </rPr>
      <t>'Mail Subject'</t>
    </r>
    <r>
      <rPr>
        <sz val="11"/>
        <color theme="1"/>
        <rFont val="Calibri"/>
        <family val="2"/>
        <scheme val="minor"/>
      </rPr>
      <t xml:space="preserve"> textbox in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</si>
  <si>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&amp; Invalid Data in </t>
    </r>
    <r>
      <rPr>
        <b/>
        <sz val="11"/>
        <color theme="1"/>
        <rFont val="Calibri"/>
        <family val="2"/>
        <scheme val="minor"/>
      </rPr>
      <t xml:space="preserve">Mail Subject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</si>
  <si>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Mail Subject</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</si>
  <si>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Mail Subject</t>
    </r>
    <r>
      <rPr>
        <sz val="11"/>
        <color theme="1"/>
        <rFont val="Calibri"/>
        <family val="2"/>
        <scheme val="minor"/>
      </rPr>
      <t xml:space="preserve"> textbox should accept alphanumeric values.
2. </t>
    </r>
    <r>
      <rPr>
        <b/>
        <sz val="11"/>
        <color theme="1"/>
        <rFont val="Calibri"/>
        <family val="2"/>
        <scheme val="minor"/>
      </rPr>
      <t>Mail Subject</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</si>
  <si>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Mail Subject</t>
    </r>
    <r>
      <rPr>
        <sz val="11"/>
        <color theme="1"/>
        <rFont val="Calibri"/>
        <family val="2"/>
        <scheme val="minor"/>
      </rPr>
      <t xml:space="preserve"> textbox accepts:
 -&gt; Alphabetic values
 -&gt; Numeric values
 -&gt; Special character values
2. The 250-character limit is enforced correctly.
</t>
    </r>
    <r>
      <rPr>
        <b/>
        <sz val="11"/>
        <color theme="1"/>
        <rFont val="Calibri"/>
        <family val="2"/>
        <scheme val="minor"/>
      </rPr>
      <t>Note: As per business rule, this textbox accepts all type value.</t>
    </r>
  </si>
  <si>
    <r>
      <t xml:space="preserve">1. The </t>
    </r>
    <r>
      <rPr>
        <b/>
        <sz val="11"/>
        <color theme="1"/>
        <rFont val="Calibri"/>
        <family val="2"/>
        <scheme val="minor"/>
      </rPr>
      <t>Note</t>
    </r>
    <r>
      <rPr>
        <sz val="11"/>
        <color theme="1"/>
        <rFont val="Calibri"/>
        <family val="2"/>
        <scheme val="minor"/>
      </rPr>
      <t xml:space="preserve"> textbox accepts:
 -&gt; Alphabetic values
 -&gt; Numeric values
 -&gt; Special character values
2. The 250-character limit is enforced correctly.
</t>
    </r>
    <r>
      <rPr>
        <b/>
        <sz val="11"/>
        <color theme="1"/>
        <rFont val="Calibri"/>
        <family val="2"/>
        <scheme val="minor"/>
      </rPr>
      <t>Note: As per business rule, this textbox accepts all type value.</t>
    </r>
  </si>
  <si>
    <t>Trigger_Master_17</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</si>
  <si>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</si>
  <si>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Trigger Master
</t>
    </r>
    <r>
      <rPr>
        <sz val="11"/>
        <color theme="1"/>
        <rFont val="Calibri"/>
        <family val="2"/>
        <scheme val="minor"/>
      </rPr>
      <t xml:space="preserve">4. Enter valid data in all fields on the </t>
    </r>
    <r>
      <rPr>
        <b/>
        <sz val="11"/>
        <color theme="1"/>
        <rFont val="Calibri"/>
        <family val="2"/>
        <scheme val="minor"/>
      </rPr>
      <t>Trigger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</si>
  <si>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t>Trigger_Master_18</t>
  </si>
  <si>
    <r>
      <t xml:space="preserve">1. Open the application and log in 
2. Select Branch: AHMEDABAD, Export Type: Export Sea, FY 2025–2026, click OK.
3. Navigate to </t>
    </r>
    <r>
      <rPr>
        <b/>
        <sz val="11"/>
        <color theme="1"/>
        <rFont val="Calibri"/>
        <family val="2"/>
        <scheme val="minor"/>
      </rPr>
      <t xml:space="preserve">Masters -&gt; Misc Master -&gt; Trigger Master
</t>
    </r>
    <r>
      <rPr>
        <sz val="11"/>
        <color theme="1"/>
        <rFont val="Calibri"/>
        <family val="2"/>
        <scheme val="minor"/>
      </rPr>
      <t>4. Enter valid data in all mandatory fields only.
5. Leave all non-mandatory fields blank.
6. Click on the Save button.</t>
    </r>
  </si>
  <si>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in the</t>
    </r>
    <r>
      <rPr>
        <b/>
        <sz val="11"/>
        <color theme="1"/>
        <rFont val="Calibri"/>
        <family val="2"/>
        <scheme val="minor"/>
      </rPr>
      <t xml:space="preserve"> Trigger Master</t>
    </r>
    <r>
      <rPr>
        <sz val="11"/>
        <color theme="1"/>
        <rFont val="Calibri"/>
        <family val="2"/>
        <scheme val="minor"/>
      </rPr>
      <t xml:space="preserve"> page.</t>
    </r>
  </si>
  <si>
    <t xml:space="preserve">Fill Name, Type, and Note fields.
Leave all other fields blank.
</t>
  </si>
  <si>
    <r>
      <t xml:space="preserve">1. The record should be </t>
    </r>
    <r>
      <rPr>
        <b/>
        <sz val="11"/>
        <color theme="1"/>
        <rFont val="Calibri"/>
        <family val="2"/>
        <scheme val="minor"/>
      </rPr>
      <t>saved successfully</t>
    </r>
    <r>
      <rPr>
        <sz val="11"/>
        <color theme="1"/>
        <rFont val="Calibri"/>
        <family val="2"/>
        <scheme val="minor"/>
      </rPr>
      <t xml:space="preserve"> when all mandatory fields are filled.
2. A success confirmation message should be displayed.
3. The newly saved record should:
 -&gt; Appear in the left-side list
 -&gt; Be searchable and selectable
4. If any mandatory field is left blank:
 -&gt; An appropriate validation message should be displayed.
 -&gt; The record should not be saved.
5. Mandatory fields should be clearly indicated on the UI.</t>
    </r>
  </si>
  <si>
    <r>
      <t xml:space="preserve">1. Name, Type, and Note are mandatory fields; the record cannot be saved without them.
2. After filling Name, Type, and Note, the record is saved successfully.
3. Validation messages appear correctly when any mandatory field is left blank.
4. Mandatory field indicator is missing on the page UI.
</t>
    </r>
    <r>
      <rPr>
        <b/>
        <sz val="11"/>
        <color theme="1"/>
        <rFont val="Calibri"/>
        <family val="2"/>
        <scheme val="minor"/>
      </rPr>
      <t>Note: Mandatory field indicator should be marked on Name, Type, and Note textboxes.</t>
    </r>
  </si>
  <si>
    <t>Trigger_Master_19</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</si>
  <si>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</si>
  <si>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Trigger Master</t>
    </r>
    <r>
      <rPr>
        <sz val="11"/>
        <color theme="1"/>
        <rFont val="Calibri"/>
        <family val="2"/>
        <scheme val="minor"/>
      </rPr>
      <t xml:space="preserve">
4. Enter valid values in non-mandatory fields only.
5. Leave all mandatory fields blank.
6. Click on the Save button.
7. Observe validation messages and save behavior.</t>
    </r>
  </si>
  <si>
    <t>Enter Valid Value in below Fields:
 -&gt; Agent Remarks
 -&gt; Air Days
 -&gt; Sea Days
 -&gt; Land Days
 -&gt; Account Type
 -&gt; Display Status
 -&gt; Mail Subject</t>
  </si>
  <si>
    <t>1. Record must not be savedwithout filling mandatory field.
2. Mandatory field validation should trigger correctly:
 -&gt; Validation message displayed for each missing mandatory field.
 -&gt; Validation text should match the respective textbox label.
 -&gt; Validation messages should appear in the same sequence as the fields on the UI.
3. Once all mandatory fields are filled:
 -&gt; Record should be saved successfully.
 -&gt; Saved record should appear in the left-side panel list.
 -&gt; Record should be searchable and selectable.</t>
  </si>
  <si>
    <t>1. The record is not saved when only non-mandatory fields are filled.
2. Mandatory field validation messages are displayed for all mandatory fields.
3. Save functionality works as expected after filling mandatory fields.</t>
  </si>
  <si>
    <t>Trigger_Master_20</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</si>
  <si>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</si>
  <si>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Trigger Master
</t>
    </r>
    <r>
      <rPr>
        <sz val="11"/>
        <color theme="1"/>
        <rFont val="Calibri"/>
        <family val="2"/>
        <scheme val="minor"/>
      </rPr>
      <t>4. From the left-side list, select a pre-existing record and modify one or more fields with new valid data.
5. Click modify button and Re-select the same record and observe the changed value.</t>
    </r>
  </si>
  <si>
    <t>Trigger_Master_21</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</si>
  <si>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Trigger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</si>
  <si>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Trigger Master
</t>
    </r>
    <r>
      <rPr>
        <sz val="11"/>
        <color theme="1"/>
        <rFont val="Calibri"/>
        <family val="2"/>
        <scheme val="minor"/>
      </rPr>
      <t xml:space="preserve">4. Enter values in all or few input fields.
5. Click the </t>
    </r>
    <r>
      <rPr>
        <b/>
        <sz val="11"/>
        <color theme="1"/>
        <rFont val="Calibri"/>
        <family val="2"/>
        <scheme val="minor"/>
      </rPr>
      <t>Clear</t>
    </r>
    <r>
      <rPr>
        <sz val="11"/>
        <color theme="1"/>
        <rFont val="Calibri"/>
        <family val="2"/>
        <scheme val="minor"/>
      </rPr>
      <t xml:space="preserve"> button and observe the system behavior.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</si>
  <si>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All input fields &amp; Grid should be cleared.
The left-side panel list should remain intact (no records removed).
</t>
    </r>
    <r>
      <rPr>
        <b/>
        <sz val="11"/>
        <color theme="1"/>
        <rFont val="Calibri"/>
        <family val="2"/>
        <scheme val="minor"/>
      </rPr>
      <t>If the user clicks No:</t>
    </r>
    <r>
      <rPr>
        <sz val="11"/>
        <color theme="1"/>
        <rFont val="Calibri"/>
        <family val="2"/>
        <scheme val="minor"/>
      </rPr>
      <t xml:space="preserve">
All entered values should remain unchanged.
</t>
    </r>
    <r>
      <rPr>
        <b/>
        <sz val="11"/>
        <color theme="1"/>
        <rFont val="Calibri"/>
        <family val="2"/>
        <scheme val="minor"/>
      </rPr>
      <t/>
    </r>
  </si>
  <si>
    <r>
      <t xml:space="preserve">1. Functionality is working as Expected.
2. After clicking the Clear button:
 -&gt; Input fields are cleared.
</t>
    </r>
    <r>
      <rPr>
        <b/>
        <sz val="11"/>
        <color theme="1"/>
        <rFont val="Calibri"/>
        <family val="2"/>
        <scheme val="minor"/>
      </rPr>
      <t xml:space="preserve"> -&gt; The left-side panel list gets removed.
3. The left-side panel list reappears only after refreshing the page.</t>
    </r>
    <r>
      <rPr>
        <sz val="11"/>
        <color theme="1"/>
        <rFont val="Calibri"/>
        <family val="2"/>
        <scheme val="minor"/>
      </rPr>
      <t xml:space="preserve">
Note -</t>
    </r>
    <r>
      <rPr>
        <b/>
        <sz val="11"/>
        <color theme="1"/>
        <rFont val="Calibri"/>
        <family val="2"/>
        <scheme val="minor"/>
      </rPr>
      <t xml:space="preserve"> The system is not asking for confirmation before clearing the page.</t>
    </r>
  </si>
  <si>
    <t>Trigger_Master_22</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</si>
  <si>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Trigger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</si>
  <si>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Trigger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</si>
  <si>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Trigger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</si>
  <si>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Trigger_Master_23</t>
  </si>
  <si>
    <r>
      <t xml:space="preserve">1. Open the application and log in 
2. Select Branch: AHMEDABAD, Export Type: Export Sea, FY 2025–2026, click OK.
3. Navigate to </t>
    </r>
    <r>
      <rPr>
        <b/>
        <sz val="11"/>
        <color theme="1"/>
        <rFont val="Calibri"/>
        <family val="2"/>
        <scheme val="minor"/>
      </rPr>
      <t xml:space="preserve">Masters - Misc Master -&gt; Trigger Master.
</t>
    </r>
    <r>
      <rPr>
        <sz val="11"/>
        <color theme="1"/>
        <rFont val="Calibri"/>
        <family val="2"/>
        <scheme val="minor"/>
      </rPr>
      <t>4. Use keyword button to fill the foam and observe the system behaviour.</t>
    </r>
  </si>
  <si>
    <t xml:space="preserve">1. The Keyboard Action (TAB key) feature should function correctly across all fields.
 -&gt; Textboxes
 -&gt; Dropdown
 -&gt; Autosuggest textbox etc.
</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</si>
  <si>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Trigger Master</t>
    </r>
    <r>
      <rPr>
        <sz val="11"/>
        <color theme="1"/>
        <rFont val="Calibri"/>
        <family val="2"/>
        <scheme val="minor"/>
      </rPr>
      <t xml:space="preserve"> page.</t>
    </r>
  </si>
  <si>
    <t>Trigger_Master_24</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</si>
  <si>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 xml:space="preserve">on the </t>
    </r>
    <r>
      <rPr>
        <b/>
        <sz val="11"/>
        <color theme="1"/>
        <rFont val="Calibri"/>
        <family val="2"/>
        <scheme val="minor"/>
      </rPr>
      <t>Trigger Master</t>
    </r>
    <r>
      <rPr>
        <sz val="11"/>
        <color theme="1"/>
        <rFont val="Calibri"/>
        <family val="2"/>
        <scheme val="minor"/>
      </rPr>
      <t xml:space="preserve"> Page. </t>
    </r>
  </si>
  <si>
    <r>
      <t xml:space="preserve">1. Open the application and log in 
2. Select Branch: AHMEDABAD, Export Type: Export Sea, FY 2025–2026, click OK.
3. Navigate to </t>
    </r>
    <r>
      <rPr>
        <b/>
        <sz val="11"/>
        <color theme="1"/>
        <rFont val="Calibri"/>
        <family val="2"/>
        <scheme val="minor"/>
      </rPr>
      <t xml:space="preserve">Masters - Misc Master -&gt; Trigger Master.
</t>
    </r>
    <r>
      <rPr>
        <sz val="11"/>
        <color theme="1"/>
        <rFont val="Calibri"/>
        <family val="2"/>
        <scheme val="minor"/>
      </rPr>
      <t>4. Observe the Success Pop-up and Error Pop-up Readability for each field.</t>
    </r>
  </si>
  <si>
    <r>
      <t>1. Functionality is  working as expected.</t>
    </r>
    <r>
      <rPr>
        <b/>
        <sz val="11"/>
        <color theme="1"/>
        <rFont val="Calibri"/>
        <family val="2"/>
        <scheme val="minor"/>
      </rPr>
      <t/>
    </r>
  </si>
  <si>
    <t>Trigger_Master_25</t>
  </si>
  <si>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Trigger Master </t>
    </r>
    <r>
      <rPr>
        <sz val="11"/>
        <color theme="1"/>
        <rFont val="Calibri"/>
        <family val="2"/>
        <scheme val="minor"/>
      </rPr>
      <t xml:space="preserve">Page. </t>
    </r>
  </si>
  <si>
    <r>
      <t xml:space="preserve">1. Open the application and log in 
2. Select Branch: AHMEDABAD, Export Type: Export Sea, FY 2025–2026, click OK.
3. Navigate to </t>
    </r>
    <r>
      <rPr>
        <b/>
        <sz val="11"/>
        <color theme="1"/>
        <rFont val="Calibri"/>
        <family val="2"/>
        <scheme val="minor"/>
      </rPr>
      <t xml:space="preserve">Masters - Misc Master -&gt; Trigger Master.
</t>
    </r>
    <r>
      <rPr>
        <sz val="11"/>
        <color theme="1"/>
        <rFont val="Calibri"/>
        <family val="2"/>
        <scheme val="minor"/>
      </rPr>
      <t xml:space="preserve">4. Leave the </t>
    </r>
    <r>
      <rPr>
        <b/>
        <sz val="11"/>
        <color theme="1"/>
        <rFont val="Calibri"/>
        <family val="2"/>
        <scheme val="minor"/>
      </rPr>
      <t>Trigger Master</t>
    </r>
    <r>
      <rPr>
        <sz val="11"/>
        <color theme="1"/>
        <rFont val="Calibri"/>
        <family val="2"/>
        <scheme val="minor"/>
      </rPr>
      <t xml:space="preserve"> page idle for long time and observe the system behaviour.</t>
    </r>
  </si>
  <si>
    <t>BA-315</t>
  </si>
  <si>
    <t>BA-316</t>
  </si>
  <si>
    <t>BA-317</t>
  </si>
  <si>
    <t>BA-318</t>
  </si>
  <si>
    <t>BA-319</t>
  </si>
  <si>
    <t>BA-320</t>
  </si>
  <si>
    <t>BA-321</t>
  </si>
  <si>
    <t>BA-322</t>
  </si>
  <si>
    <t>BA-323</t>
  </si>
  <si>
    <t>BA-324</t>
  </si>
  <si>
    <t>BA-325</t>
  </si>
  <si>
    <t>BA-326</t>
  </si>
  <si>
    <t>BA-327</t>
  </si>
  <si>
    <t>BA-328</t>
  </si>
  <si>
    <t>BA-329</t>
  </si>
  <si>
    <t>Principle_Line_HBL_Master_01</t>
  </si>
  <si>
    <t xml:space="preserve">Misc  Master -&gt; Principle Line HBL Master
</t>
  </si>
  <si>
    <r>
      <t xml:space="preserve">Validate the functionality of </t>
    </r>
    <r>
      <rPr>
        <b/>
        <sz val="11"/>
        <color theme="1"/>
        <rFont val="Calibri"/>
        <family val="2"/>
        <scheme val="minor"/>
      </rPr>
      <t xml:space="preserve">Principle Line HBL Master, </t>
    </r>
    <r>
      <rPr>
        <sz val="11"/>
        <color theme="1"/>
        <rFont val="Calibri"/>
        <family val="2"/>
        <scheme val="minor"/>
      </rPr>
      <t xml:space="preserve">Under </t>
    </r>
    <r>
      <rPr>
        <b/>
        <sz val="11"/>
        <color theme="1"/>
        <rFont val="Calibri"/>
        <family val="2"/>
        <scheme val="minor"/>
      </rPr>
      <t>Misc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</si>
  <si>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Misc Master</t>
    </r>
    <r>
      <rPr>
        <sz val="11"/>
        <color theme="1"/>
        <rFont val="Calibri"/>
        <family val="2"/>
        <scheme val="minor"/>
      </rPr>
      <t xml:space="preserve"> -&gt; </t>
    </r>
    <r>
      <rPr>
        <b/>
        <sz val="11"/>
        <color theme="1"/>
        <rFont val="Calibri"/>
        <family val="2"/>
        <scheme val="minor"/>
      </rPr>
      <t xml:space="preserve">Principle Line HBL Master
</t>
    </r>
  </si>
  <si>
    <r>
      <t xml:space="preserve">1. On Mouse Hovering action on </t>
    </r>
    <r>
      <rPr>
        <b/>
        <sz val="11"/>
        <color theme="1"/>
        <rFont val="Calibri"/>
        <family val="2"/>
        <scheme val="minor"/>
      </rPr>
      <t>Masters -&gt; Misc Master -&gt; Principle Line HBL Master</t>
    </r>
    <r>
      <rPr>
        <sz val="11"/>
        <color theme="1"/>
        <rFont val="Calibri"/>
        <family val="2"/>
        <scheme val="minor"/>
      </rPr>
      <t>.</t>
    </r>
    <r>
      <rPr>
        <b/>
        <sz val="11"/>
        <color theme="1"/>
        <rFont val="Calibri"/>
        <family val="2"/>
        <scheme val="minor"/>
      </rPr>
      <t xml:space="preserv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</si>
  <si>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Principle Line HBL Master </t>
    </r>
    <r>
      <rPr>
        <sz val="11"/>
        <color theme="1"/>
        <rFont val="Calibri"/>
        <family val="2"/>
        <scheme val="minor"/>
      </rPr>
      <t>Page is opening properly.</t>
    </r>
  </si>
  <si>
    <t>Principle_Line_HBL_Master_02</t>
  </si>
  <si>
    <r>
      <t xml:space="preserve">1. Open the application and log in 
2. Select Branch: AHMEDABAD, Export Type: Export Sea, FY 2025–2026, click OK.
3. Navigate to </t>
    </r>
    <r>
      <rPr>
        <b/>
        <sz val="11"/>
        <color theme="1"/>
        <rFont val="Calibri"/>
        <family val="2"/>
        <scheme val="minor"/>
      </rPr>
      <t xml:space="preserve">Masters -&gt; Misc Master -&gt; Principle Line HBL Master
</t>
    </r>
    <r>
      <rPr>
        <sz val="11"/>
        <color theme="1"/>
        <rFont val="Calibri"/>
        <family val="2"/>
        <scheme val="minor"/>
      </rPr>
      <t>4. Enter different search keywords in the Search textbox.
5. Observe the filtered records in the left-side list panel.</t>
    </r>
  </si>
  <si>
    <t>Search Data:
 -&gt; CKB GLOBAL Testing</t>
  </si>
  <si>
    <r>
      <t xml:space="preserve">Validate the functionality of the </t>
    </r>
    <r>
      <rPr>
        <b/>
        <sz val="11"/>
        <color theme="1"/>
        <rFont val="Calibri"/>
        <family val="2"/>
        <scheme val="minor"/>
      </rPr>
      <t>Search</t>
    </r>
    <r>
      <rPr>
        <sz val="11"/>
        <color theme="1"/>
        <rFont val="Calibri"/>
        <family val="2"/>
        <scheme val="minor"/>
      </rPr>
      <t xml:space="preserve"> textbox in the left-side panel on the </t>
    </r>
    <r>
      <rPr>
        <b/>
        <sz val="11"/>
        <color theme="1"/>
        <rFont val="Calibri"/>
        <family val="2"/>
        <scheme val="minor"/>
      </rPr>
      <t>Principle Line HBL Master</t>
    </r>
    <r>
      <rPr>
        <sz val="11"/>
        <color theme="1"/>
        <rFont val="Calibri"/>
        <family val="2"/>
        <scheme val="minor"/>
      </rPr>
      <t xml:space="preserve"> page.</t>
    </r>
  </si>
  <si>
    <r>
      <t xml:space="preserve">1. Search textbox should return all matching records for:
 -&gt; Full match
 -&gt; Partial match (any word in the record name)
 -&gt; Case-insensitive input
2. Records should dynamically filter based on the entered search keyword.
3. If no record matches the keyword, the list should appear empty.
4. The Search textbox placeholder should display:
</t>
    </r>
    <r>
      <rPr>
        <b/>
        <sz val="11"/>
        <color theme="1"/>
        <rFont val="Calibri"/>
        <family val="2"/>
        <scheme val="minor"/>
      </rPr>
      <t>“Search Principle Line HBL”</t>
    </r>
  </si>
  <si>
    <r>
      <t xml:space="preserve">1. The Search textbox is working only for the first word of the record name.
</t>
    </r>
    <r>
      <rPr>
        <b/>
        <sz val="11"/>
        <color theme="1"/>
        <rFont val="Calibri"/>
        <family val="2"/>
        <scheme val="minor"/>
      </rPr>
      <t>Example record: 'CKB GLOBAL Testing' recrod
-&gt; Searching 'CKB' → Return Result
 -&gt; Searching 'GLOBAL' →  No result
 -&gt; Searching 'Testing' →  No result
Note: Placeholder text is displayed as:
“Search Principle Line HBL”</t>
    </r>
  </si>
  <si>
    <t>Principle_Line_HBL_Master_03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</si>
  <si>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</si>
  <si>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Principle Line HBL Master</t>
    </r>
    <r>
      <rPr>
        <sz val="11"/>
        <color theme="1"/>
        <rFont val="Calibri"/>
        <family val="2"/>
        <scheme val="minor"/>
      </rPr>
      <t xml:space="preserve">
4. In the left-side list panel:
 -&gt; Click Sort Ascending and observe the list order.
 -&gt; Click Sort Descending and observe the list order.
 -&gt; Select all column checkboxes and verify column visibility.
 -&gt; Deselect all column checkboxes and verify column visibility.</t>
    </r>
  </si>
  <si>
    <t>Principle_Line_HBL_Master_04</t>
  </si>
  <si>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t>
    </r>
    <r>
      <rPr>
        <b/>
        <sz val="11"/>
        <color theme="1"/>
        <rFont val="Calibri"/>
        <family val="2"/>
        <scheme val="minor"/>
      </rPr>
      <t>Grid</t>
    </r>
    <r>
      <rPr>
        <sz val="11"/>
        <color theme="1"/>
        <rFont val="Calibri"/>
        <family val="2"/>
        <scheme val="minor"/>
      </rPr>
      <t xml:space="preserve"> on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</si>
  <si>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and click OK.
3. Navigate to </t>
    </r>
    <r>
      <rPr>
        <b/>
        <sz val="11"/>
        <color theme="1"/>
        <rFont val="Calibri"/>
        <family val="2"/>
        <scheme val="minor"/>
      </rPr>
      <t>Masters -&gt; Misc Master -&gt; Principle Line HBL Master</t>
    </r>
    <r>
      <rPr>
        <sz val="11"/>
        <color theme="1"/>
        <rFont val="Calibri"/>
        <family val="2"/>
        <scheme val="minor"/>
      </rPr>
      <t xml:space="preserve">
4. From the left-side list panel, select any record and verify that the corresponding details are displayed in the Grid.
5. Select a different record and confirm that the grid updates accordingly.
6.Verify that the previously selected record returns to the default (non-highlighted) color.</t>
    </r>
  </si>
  <si>
    <r>
      <t xml:space="preserve">1. Selected record details are displayed correctly in the Grid.
2. When another record is selected, the grid updates correctly.
</t>
    </r>
    <r>
      <rPr>
        <b/>
        <sz val="11"/>
        <color theme="1"/>
        <rFont val="Calibri"/>
        <family val="2"/>
        <scheme val="minor"/>
      </rPr>
      <t>3. Previously selected record remains highlighted in green, even after selecting another record.</t>
    </r>
  </si>
  <si>
    <t>Principle_Line_HBL_Master_05</t>
  </si>
  <si>
    <r>
      <t xml:space="preserve">Validate that a record selected from the </t>
    </r>
    <r>
      <rPr>
        <b/>
        <sz val="11"/>
        <color theme="1"/>
        <rFont val="Calibri"/>
        <family val="2"/>
        <scheme val="minor"/>
      </rPr>
      <t>Grid</t>
    </r>
    <r>
      <rPr>
        <sz val="11"/>
        <color theme="1"/>
        <rFont val="Calibri"/>
        <family val="2"/>
        <scheme val="minor"/>
      </rPr>
      <t xml:space="preserve"> is correctly reflected in the corresponding textboxes on the</t>
    </r>
    <r>
      <rPr>
        <b/>
        <sz val="11"/>
        <color theme="1"/>
        <rFont val="Calibri"/>
        <family val="2"/>
        <scheme val="minor"/>
      </rPr>
      <t xml:space="preserve"> Principle Line HBL Master</t>
    </r>
    <r>
      <rPr>
        <sz val="11"/>
        <color theme="1"/>
        <rFont val="Calibri"/>
        <family val="2"/>
        <scheme val="minor"/>
      </rPr>
      <t xml:space="preserve"> page.</t>
    </r>
  </si>
  <si>
    <r>
      <t>1. Open the application and log in.
2. Select Branch: AHMEDABAD, Export Type: Export Sea, FY: 2025–2026, and click OK.
3. Navigate to</t>
    </r>
    <r>
      <rPr>
        <b/>
        <sz val="11"/>
        <color theme="1"/>
        <rFont val="Calibri"/>
        <family val="2"/>
        <scheme val="minor"/>
      </rPr>
      <t xml:space="preserve"> Masters -&gt; Misc Master -&gt; Principle Line HBL Master</t>
    </r>
    <r>
      <rPr>
        <sz val="11"/>
        <color theme="1"/>
        <rFont val="Calibri"/>
        <family val="2"/>
        <scheme val="minor"/>
      </rPr>
      <t xml:space="preserve">
4. From the left-side panel list, click Select on any existing record.
5. Verify that the Grid populates for the selected record.
6. Within the Grid, click Select on a grid record.
7. Verify that the selected grid record’s data is reflected in the corresponding textboxes on the page.
8. Observe the Total Entry Count label.</t>
    </r>
  </si>
  <si>
    <t>Principle_Line_HBL_Master_06</t>
  </si>
  <si>
    <r>
      <t xml:space="preserve">Validate the functionality of </t>
    </r>
    <r>
      <rPr>
        <b/>
        <sz val="11"/>
        <color theme="1"/>
        <rFont val="Calibri"/>
        <family val="2"/>
        <scheme val="minor"/>
      </rPr>
      <t>'Code'</t>
    </r>
    <r>
      <rPr>
        <sz val="11"/>
        <color theme="1"/>
        <rFont val="Calibri"/>
        <family val="2"/>
        <scheme val="minor"/>
      </rPr>
      <t xml:space="preserve"> textbox in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</si>
  <si>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Principle Line HBL Master</t>
    </r>
    <r>
      <rPr>
        <sz val="11"/>
        <color theme="1"/>
        <rFont val="Calibri"/>
        <family val="2"/>
        <scheme val="minor"/>
      </rPr>
      <t xml:space="preserve">
4. Enter Valid &amp; Invalid Data in </t>
    </r>
    <r>
      <rPr>
        <b/>
        <sz val="11"/>
        <color theme="1"/>
        <rFont val="Calibri"/>
        <family val="2"/>
        <scheme val="minor"/>
      </rPr>
      <t xml:space="preserve">Code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</si>
  <si>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Code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</si>
  <si>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Code</t>
    </r>
    <r>
      <rPr>
        <sz val="11"/>
        <color theme="1"/>
        <rFont val="Calibri"/>
        <family val="2"/>
        <scheme val="minor"/>
      </rPr>
      <t xml:space="preserve"> textbox should accept alphanumeric values.
2. </t>
    </r>
    <r>
      <rPr>
        <b/>
        <sz val="11"/>
        <color theme="1"/>
        <rFont val="Calibri"/>
        <family val="2"/>
        <scheme val="minor"/>
      </rPr>
      <t>Code</t>
    </r>
    <r>
      <rPr>
        <sz val="11"/>
        <color theme="1"/>
        <rFont val="Calibri"/>
        <family val="2"/>
        <scheme val="minor"/>
      </rPr>
      <t xml:space="preserve"> textbox should not accept special character value, only space value and combination of character value.
2. The textbox length should be limited to 5 characters.</t>
    </r>
  </si>
  <si>
    <r>
      <t xml:space="preserve">1. The </t>
    </r>
    <r>
      <rPr>
        <b/>
        <sz val="11"/>
        <color theme="1"/>
        <rFont val="Calibri"/>
        <family val="2"/>
        <scheme val="minor"/>
      </rPr>
      <t>Code</t>
    </r>
    <r>
      <rPr>
        <sz val="11"/>
        <color theme="1"/>
        <rFont val="Calibri"/>
        <family val="2"/>
        <scheme val="minor"/>
      </rPr>
      <t xml:space="preserve"> textbox accepts:
 -&gt; Alphabetic values
 -&gt; Numeric values
 -&gt; Special character values
2. The 5-character limit is implemented correctly.</t>
    </r>
  </si>
  <si>
    <t>Principle_Line_HBL_Master_07</t>
  </si>
  <si>
    <r>
      <t xml:space="preserve">Validate the functionality of </t>
    </r>
    <r>
      <rPr>
        <b/>
        <sz val="11"/>
        <color theme="1"/>
        <rFont val="Calibri"/>
        <family val="2"/>
        <scheme val="minor"/>
      </rPr>
      <t>'Name'</t>
    </r>
    <r>
      <rPr>
        <sz val="11"/>
        <color theme="1"/>
        <rFont val="Calibri"/>
        <family val="2"/>
        <scheme val="minor"/>
      </rPr>
      <t xml:space="preserve"> textbox in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</si>
  <si>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Principle Line HBL Master</t>
    </r>
    <r>
      <rPr>
        <sz val="11"/>
        <color theme="1"/>
        <rFont val="Calibri"/>
        <family val="2"/>
        <scheme val="minor"/>
      </rPr>
      <t xml:space="preserve">
4. Enter Valid &amp; Invalid Data in </t>
    </r>
    <r>
      <rPr>
        <b/>
        <sz val="11"/>
        <color theme="1"/>
        <rFont val="Calibri"/>
        <family val="2"/>
        <scheme val="minor"/>
      </rPr>
      <t xml:space="preserve">Name </t>
    </r>
    <r>
      <rPr>
        <sz val="11"/>
        <color theme="1"/>
        <rFont val="Calibri"/>
        <family val="2"/>
        <scheme val="minor"/>
      </rPr>
      <t>textbox and observe the system behaviour.</t>
    </r>
  </si>
  <si>
    <r>
      <t xml:space="preserve">1. The </t>
    </r>
    <r>
      <rPr>
        <b/>
        <sz val="11"/>
        <color theme="1"/>
        <rFont val="Calibri"/>
        <family val="2"/>
        <scheme val="minor"/>
      </rPr>
      <t>Name</t>
    </r>
    <r>
      <rPr>
        <sz val="11"/>
        <color theme="1"/>
        <rFont val="Calibri"/>
        <family val="2"/>
        <scheme val="minor"/>
      </rPr>
      <t xml:space="preserve"> textbox accepts:
 -&gt; Alphabetic values
 -&gt; Numeric values
 -&gt; Special character values
2. The 50-character limit is implemented correctly.
Note: </t>
    </r>
    <r>
      <rPr>
        <b/>
        <sz val="11"/>
        <color theme="1"/>
        <rFont val="Calibri"/>
        <family val="2"/>
        <scheme val="minor"/>
      </rPr>
      <t>As per business Rule, Name textbox should accept alphanumeric value and following special characters: Dot (.), Comma (,), Percentage (%), Ampersand (&amp;), Hyphen (-),  Underscore (_), Forward slash (/), Backward slash (\)</t>
    </r>
  </si>
  <si>
    <t>Principle_Line_HBL_Master_08</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</si>
  <si>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in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</si>
  <si>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Principle Line HBL Master
</t>
    </r>
    <r>
      <rPr>
        <sz val="11"/>
        <color theme="1"/>
        <rFont val="Calibri"/>
        <family val="2"/>
        <scheme val="minor"/>
      </rPr>
      <t xml:space="preserve">4. Enter valid data in all fields on the </t>
    </r>
    <r>
      <rPr>
        <b/>
        <sz val="11"/>
        <color theme="1"/>
        <rFont val="Calibri"/>
        <family val="2"/>
        <scheme val="minor"/>
      </rPr>
      <t>Principle Line HBL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</si>
  <si>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t>Principle_Line_HBL_Master_09</t>
  </si>
  <si>
    <r>
      <t xml:space="preserve">Validate the functionality of the </t>
    </r>
    <r>
      <rPr>
        <b/>
        <sz val="11"/>
        <color theme="1"/>
        <rFont val="Calibri"/>
        <family val="2"/>
        <scheme val="minor"/>
      </rPr>
      <t>Save</t>
    </r>
    <r>
      <rPr>
        <sz val="11"/>
        <color theme="1"/>
        <rFont val="Calibri"/>
        <family val="2"/>
        <scheme val="minor"/>
      </rPr>
      <t xml:space="preserve"> button when all</t>
    </r>
    <r>
      <rPr>
        <b/>
        <sz val="11"/>
        <color theme="1"/>
        <rFont val="Calibri"/>
        <family val="2"/>
        <scheme val="minor"/>
      </rPr>
      <t xml:space="preserve"> fields are left blank</t>
    </r>
    <r>
      <rPr>
        <sz val="11"/>
        <color theme="1"/>
        <rFont val="Calibri"/>
        <family val="2"/>
        <scheme val="minor"/>
      </rPr>
      <t xml:space="preserve"> in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</si>
  <si>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Principle Line HBL Master</t>
    </r>
    <r>
      <rPr>
        <sz val="11"/>
        <color theme="1"/>
        <rFont val="Calibri"/>
        <family val="2"/>
        <scheme val="minor"/>
      </rPr>
      <t xml:space="preserve">
4. Do not enter any data in any field.
5. Click on the Save button.
6. Observe the validation messages and save behavior.</t>
    </r>
  </si>
  <si>
    <t>1. The record must not be saved when mandatory fields are left blank.
2. Mandatory field validations should trigger correctly:
 -&gt; Validation message should be displayed for each missing mandatory field.
 -&gt; Validation text should match the respective textbox label.
 -&gt; Validation messages should appear in the same sequence as the fields on the UI.
3. After filling all mandatory fields:
 -&gt; The record should be saved successfully.
 -&gt; The saved record should appear in the left-side panel list.
 -&gt; The record should be searchable and selectable.</t>
  </si>
  <si>
    <t>1. The record is not saved when mandatory fields are left blank.
2. Mandatory field validation messages are displayed for all mandatory fields in the correct sequence.</t>
  </si>
  <si>
    <t>Principle_Line_HBL_Master_10</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</si>
  <si>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</si>
  <si>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Principle Line HBL Master
</t>
    </r>
    <r>
      <rPr>
        <sz val="11"/>
        <color theme="1"/>
        <rFont val="Calibri"/>
        <family val="2"/>
        <scheme val="minor"/>
      </rPr>
      <t>4. From the left-side list, select a pre-existing record and modify one or more fields with new valid data.
5. Click modify button and Re-select the same record and observe the changed value.</t>
    </r>
  </si>
  <si>
    <t>Principle_Line_HBL_Master_11</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</si>
  <si>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Principle Line HBL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</si>
  <si>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 xml:space="preserve">4. Enter values in all or few input fields.
5. Click the </t>
    </r>
    <r>
      <rPr>
        <b/>
        <sz val="11"/>
        <color theme="1"/>
        <rFont val="Calibri"/>
        <family val="2"/>
        <scheme val="minor"/>
      </rPr>
      <t>Clear</t>
    </r>
    <r>
      <rPr>
        <sz val="11"/>
        <color theme="1"/>
        <rFont val="Calibri"/>
        <family val="2"/>
        <scheme val="minor"/>
      </rPr>
      <t xml:space="preserve"> button and observe the system behavior.</t>
    </r>
  </si>
  <si>
    <r>
      <t xml:space="preserve">1. Functionality is working as Expected.
</t>
    </r>
    <r>
      <rPr>
        <sz val="11"/>
        <color theme="1"/>
        <rFont val="Calibri"/>
        <family val="2"/>
        <scheme val="minor"/>
      </rPr>
      <t xml:space="preserve">
Note -</t>
    </r>
    <r>
      <rPr>
        <b/>
        <sz val="11"/>
        <color theme="1"/>
        <rFont val="Calibri"/>
        <family val="2"/>
        <scheme val="minor"/>
      </rPr>
      <t xml:space="preserve"> The system is not asking for confirmation before clearing the page.</t>
    </r>
  </si>
  <si>
    <t>Suraj Rana</t>
  </si>
  <si>
    <t>Principle_Line_HBL_Master_12</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</si>
  <si>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Principle Line HBL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</si>
  <si>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</si>
  <si>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Principle Line HBL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</si>
  <si>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Principle_Line_HBL_Master_13</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</si>
  <si>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Principle Line HBL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</si>
  <si>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4. Use keyword button to fill the foam and observe the system behaviour.</t>
    </r>
  </si>
  <si>
    <t>Principle_Line_HBL_Master_14</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</si>
  <si>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 xml:space="preserve">on the </t>
    </r>
    <r>
      <rPr>
        <b/>
        <sz val="11"/>
        <color theme="1"/>
        <rFont val="Calibri"/>
        <family val="2"/>
        <scheme val="minor"/>
      </rPr>
      <t>Principle Line HBL Master</t>
    </r>
    <r>
      <rPr>
        <sz val="11"/>
        <color theme="1"/>
        <rFont val="Calibri"/>
        <family val="2"/>
        <scheme val="minor"/>
      </rPr>
      <t xml:space="preserve"> Page. </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</si>
  <si>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4. Observe the Success Pop-up and Error Pop-up Readability for each field.</t>
    </r>
  </si>
  <si>
    <t>Principle_Line_HBL_Master_15</t>
  </si>
  <si>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Principle Line HBL Master </t>
    </r>
    <r>
      <rPr>
        <sz val="11"/>
        <color theme="1"/>
        <rFont val="Calibri"/>
        <family val="2"/>
        <scheme val="minor"/>
      </rPr>
      <t xml:space="preserve">Page. </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</si>
  <si>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 xml:space="preserve">4. Leave the </t>
    </r>
    <r>
      <rPr>
        <b/>
        <sz val="11"/>
        <color theme="1"/>
        <rFont val="Calibri"/>
        <family val="2"/>
        <scheme val="minor"/>
      </rPr>
      <t xml:space="preserve">Principle Line HBL Master </t>
    </r>
    <r>
      <rPr>
        <sz val="11"/>
        <color theme="1"/>
        <rFont val="Calibri"/>
        <family val="2"/>
        <scheme val="minor"/>
      </rPr>
      <t>page idle for long time and observe the system behaviour.</t>
    </r>
  </si>
  <si>
    <t>Project_Type_Master_01</t>
  </si>
  <si>
    <t xml:space="preserve">Misc  Master -&gt; Project Type Master
</t>
  </si>
  <si>
    <r>
      <t xml:space="preserve">Validate the functionality of </t>
    </r>
    <r>
      <rPr>
        <b/>
        <sz val="11"/>
        <color theme="1"/>
        <rFont val="Calibri"/>
        <family val="2"/>
        <scheme val="minor"/>
      </rPr>
      <t xml:space="preserve">Project Type Master, </t>
    </r>
    <r>
      <rPr>
        <sz val="11"/>
        <color theme="1"/>
        <rFont val="Calibri"/>
        <family val="2"/>
        <scheme val="minor"/>
      </rPr>
      <t xml:space="preserve">Under </t>
    </r>
    <r>
      <rPr>
        <b/>
        <sz val="11"/>
        <color theme="1"/>
        <rFont val="Calibri"/>
        <family val="2"/>
        <scheme val="minor"/>
      </rPr>
      <t>Misc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</si>
  <si>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Misc Master</t>
    </r>
    <r>
      <rPr>
        <sz val="11"/>
        <color theme="1"/>
        <rFont val="Calibri"/>
        <family val="2"/>
        <scheme val="minor"/>
      </rPr>
      <t xml:space="preserve"> -&gt; </t>
    </r>
    <r>
      <rPr>
        <b/>
        <sz val="11"/>
        <color theme="1"/>
        <rFont val="Calibri"/>
        <family val="2"/>
        <scheme val="minor"/>
      </rPr>
      <t>Project Type Master</t>
    </r>
  </si>
  <si>
    <r>
      <t xml:space="preserve">1. On Mouse Hovering action on </t>
    </r>
    <r>
      <rPr>
        <b/>
        <sz val="11"/>
        <color theme="1"/>
        <rFont val="Calibri"/>
        <family val="2"/>
        <scheme val="minor"/>
      </rPr>
      <t xml:space="preserve">Masters -&gt; Misc Master -&gt; Project Type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</si>
  <si>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Project Type Master </t>
    </r>
    <r>
      <rPr>
        <sz val="11"/>
        <color theme="1"/>
        <rFont val="Calibri"/>
        <family val="2"/>
        <scheme val="minor"/>
      </rPr>
      <t>Page is opening properly.</t>
    </r>
  </si>
  <si>
    <t>Project_Type_Master_02</t>
  </si>
  <si>
    <r>
      <t xml:space="preserve">Validate the functionality of the </t>
    </r>
    <r>
      <rPr>
        <b/>
        <sz val="11"/>
        <color theme="1"/>
        <rFont val="Calibri"/>
        <family val="2"/>
        <scheme val="minor"/>
      </rPr>
      <t>Search</t>
    </r>
    <r>
      <rPr>
        <sz val="11"/>
        <color theme="1"/>
        <rFont val="Calibri"/>
        <family val="2"/>
        <scheme val="minor"/>
      </rPr>
      <t xml:space="preserve"> textbox in the left-side panel on the </t>
    </r>
    <r>
      <rPr>
        <b/>
        <sz val="11"/>
        <color theme="1"/>
        <rFont val="Calibri"/>
        <family val="2"/>
        <scheme val="minor"/>
      </rPr>
      <t>Project Type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</si>
  <si>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4. Enter different search keywords in the Search textbox.
5. Observe the filtered records in the left-side list panel.</t>
    </r>
  </si>
  <si>
    <t>Search Data:
 -&gt; 5 STAR APPAREL LLC</t>
  </si>
  <si>
    <r>
      <t xml:space="preserve">1. Search textbox should return all matching records for:
 -&gt; Full match
 -&gt; Partial match (any word in the record name)
 -&gt; Case-insensitive input
2. Records should dynamically filter based on the entered search keyword.
3. If no record matches the keyword, the list should appear empty.
4. The Search textbox placeholder should display:
</t>
    </r>
    <r>
      <rPr>
        <b/>
        <sz val="11"/>
        <color theme="1"/>
        <rFont val="Calibri"/>
        <family val="2"/>
        <scheme val="minor"/>
      </rPr>
      <t>“Search Project Type”</t>
    </r>
  </si>
  <si>
    <r>
      <t xml:space="preserve">1. The Search textbox is working only for the first word of the record name.
</t>
    </r>
    <r>
      <rPr>
        <b/>
        <sz val="11"/>
        <color theme="1"/>
        <rFont val="Calibri"/>
        <family val="2"/>
        <scheme val="minor"/>
      </rPr>
      <t>Example record: '5 STAR APPAREL LLC' recrod
-&gt; Searching '5' → Return Result
 -&gt; Searching 'Star' →  No result
 -&gt; Searching 'Apparel' →  No result
 -&gt; Searching 'LLC' →  No result
Note: Placeholder text should be:
“Search Project Type”</t>
    </r>
  </si>
  <si>
    <t>Project_Type_Master_03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</si>
  <si>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</si>
  <si>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Project Type Master</t>
    </r>
    <r>
      <rPr>
        <sz val="11"/>
        <color theme="1"/>
        <rFont val="Calibri"/>
        <family val="2"/>
        <scheme val="minor"/>
      </rPr>
      <t xml:space="preserve">
4. In the left-side list panel:
 -&gt; Click Sort Ascending and observe the list order.
 -&gt; Click Sort Descending and observe the list order.
 -&gt; Select all column checkboxes and verify column visibility.
 -&gt; Deselect all column checkboxes and verify column visibility.</t>
    </r>
  </si>
  <si>
    <t>Project_Type_Master_04</t>
  </si>
  <si>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t>
    </r>
    <r>
      <rPr>
        <b/>
        <sz val="11"/>
        <color theme="1"/>
        <rFont val="Calibri"/>
        <family val="2"/>
        <scheme val="minor"/>
      </rPr>
      <t>Grid</t>
    </r>
    <r>
      <rPr>
        <sz val="11"/>
        <color theme="1"/>
        <rFont val="Calibri"/>
        <family val="2"/>
        <scheme val="minor"/>
      </rPr>
      <t xml:space="preserve"> on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</si>
  <si>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and click OK.
3. Navigate to </t>
    </r>
    <r>
      <rPr>
        <b/>
        <sz val="11"/>
        <color theme="1"/>
        <rFont val="Calibri"/>
        <family val="2"/>
        <scheme val="minor"/>
      </rPr>
      <t>Masters -&gt; Misc Master -&gt; Project Type Master</t>
    </r>
    <r>
      <rPr>
        <sz val="11"/>
        <color theme="1"/>
        <rFont val="Calibri"/>
        <family val="2"/>
        <scheme val="minor"/>
      </rPr>
      <t xml:space="preserve">
4. From the left-side list panel, select any record and verify that the corresponding details are displayed in the Grid.
5. Select a different record and confirm that the grid updates accordingly.
6.Verify that the previously selected record returns to the default (non-highlighted) color.</t>
    </r>
  </si>
  <si>
    <t>Project_Type_Master_05</t>
  </si>
  <si>
    <r>
      <t xml:space="preserve">Validate that a record selected from the </t>
    </r>
    <r>
      <rPr>
        <b/>
        <sz val="11"/>
        <color theme="1"/>
        <rFont val="Calibri"/>
        <family val="2"/>
        <scheme val="minor"/>
      </rPr>
      <t>Grid</t>
    </r>
    <r>
      <rPr>
        <sz val="11"/>
        <color theme="1"/>
        <rFont val="Calibri"/>
        <family val="2"/>
        <scheme val="minor"/>
      </rPr>
      <t xml:space="preserve"> is correctly reflected in the corresponding textboxes on the</t>
    </r>
    <r>
      <rPr>
        <b/>
        <sz val="11"/>
        <color theme="1"/>
        <rFont val="Calibri"/>
        <family val="2"/>
        <scheme val="minor"/>
      </rPr>
      <t xml:space="preserve"> Project Type Master</t>
    </r>
    <r>
      <rPr>
        <sz val="11"/>
        <color theme="1"/>
        <rFont val="Calibri"/>
        <family val="2"/>
        <scheme val="minor"/>
      </rPr>
      <t xml:space="preserve"> page.</t>
    </r>
  </si>
  <si>
    <r>
      <t>1. Open the application and log in.
2. Select Branch: AHMEDABAD, Export Type: Export Sea, FY: 2025–2026, and click OK.
3. Navigate to</t>
    </r>
    <r>
      <rPr>
        <b/>
        <sz val="11"/>
        <color theme="1"/>
        <rFont val="Calibri"/>
        <family val="2"/>
        <scheme val="minor"/>
      </rPr>
      <t xml:space="preserve"> Masters -&gt; Misc Master -&gt; Project Type Master
</t>
    </r>
    <r>
      <rPr>
        <sz val="11"/>
        <color theme="1"/>
        <rFont val="Calibri"/>
        <family val="2"/>
        <scheme val="minor"/>
      </rPr>
      <t>4. From the left-side panel list, click Select on any existing record.
5. Verify that the Grid populates for the selected record.
6. Within the Grid, click Select on a grid record.
7. Verify that the selected grid record’s data is reflected in the corresponding textboxes on the page.
8. Observe the Total Entry Count label.</t>
    </r>
  </si>
  <si>
    <t>Project_Type_Master_06</t>
  </si>
  <si>
    <r>
      <t xml:space="preserve">Validate the functionality of </t>
    </r>
    <r>
      <rPr>
        <b/>
        <sz val="11"/>
        <color theme="1"/>
        <rFont val="Calibri"/>
        <family val="2"/>
        <scheme val="minor"/>
      </rPr>
      <t>'Code'</t>
    </r>
    <r>
      <rPr>
        <sz val="11"/>
        <color theme="1"/>
        <rFont val="Calibri"/>
        <family val="2"/>
        <scheme val="minor"/>
      </rPr>
      <t xml:space="preserve"> textbox in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</si>
  <si>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 xml:space="preserve">4. Enter Valid &amp; Invalid Data in </t>
    </r>
    <r>
      <rPr>
        <b/>
        <sz val="11"/>
        <color theme="1"/>
        <rFont val="Calibri"/>
        <family val="2"/>
        <scheme val="minor"/>
      </rPr>
      <t xml:space="preserve">Code </t>
    </r>
    <r>
      <rPr>
        <sz val="11"/>
        <color theme="1"/>
        <rFont val="Calibri"/>
        <family val="2"/>
        <scheme val="minor"/>
      </rPr>
      <t>textbox and observe the system behaviour.</t>
    </r>
  </si>
  <si>
    <t>Project_Type_Master_07</t>
  </si>
  <si>
    <r>
      <t xml:space="preserve">Validate the functionality of </t>
    </r>
    <r>
      <rPr>
        <b/>
        <sz val="11"/>
        <color theme="1"/>
        <rFont val="Calibri"/>
        <family val="2"/>
        <scheme val="minor"/>
      </rPr>
      <t>'Name'</t>
    </r>
    <r>
      <rPr>
        <sz val="11"/>
        <color theme="1"/>
        <rFont val="Calibri"/>
        <family val="2"/>
        <scheme val="minor"/>
      </rPr>
      <t xml:space="preserve"> textbox in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</si>
  <si>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Project Type Master</t>
    </r>
    <r>
      <rPr>
        <sz val="11"/>
        <color theme="1"/>
        <rFont val="Calibri"/>
        <family val="2"/>
        <scheme val="minor"/>
      </rPr>
      <t xml:space="preserve">
4. Enter Valid &amp; Invalid Data in </t>
    </r>
    <r>
      <rPr>
        <b/>
        <sz val="11"/>
        <color theme="1"/>
        <rFont val="Calibri"/>
        <family val="2"/>
        <scheme val="minor"/>
      </rPr>
      <t xml:space="preserve">Name </t>
    </r>
    <r>
      <rPr>
        <sz val="11"/>
        <color theme="1"/>
        <rFont val="Calibri"/>
        <family val="2"/>
        <scheme val="minor"/>
      </rPr>
      <t>textbox and observe the system behaviour.</t>
    </r>
  </si>
  <si>
    <t>Project_Type_Master_08</t>
  </si>
  <si>
    <r>
      <t xml:space="preserve">Validate the functionality of </t>
    </r>
    <r>
      <rPr>
        <b/>
        <sz val="11"/>
        <color theme="1"/>
        <rFont val="Calibri"/>
        <family val="2"/>
        <scheme val="minor"/>
      </rPr>
      <t>'Display Status'</t>
    </r>
    <r>
      <rPr>
        <sz val="11"/>
        <color theme="1"/>
        <rFont val="Calibri"/>
        <family val="2"/>
        <scheme val="minor"/>
      </rPr>
      <t xml:space="preserve"> dropdown textbpx in the </t>
    </r>
    <r>
      <rPr>
        <b/>
        <sz val="11"/>
        <color theme="1"/>
        <rFont val="Calibri"/>
        <family val="2"/>
        <scheme val="minor"/>
      </rPr>
      <t>Project Type Master</t>
    </r>
    <r>
      <rPr>
        <sz val="11"/>
        <color theme="1"/>
        <rFont val="Calibri"/>
        <family val="2"/>
        <scheme val="minor"/>
      </rPr>
      <t xml:space="preserve"> page.</t>
    </r>
  </si>
  <si>
    <r>
      <t>1. Open the application and log in 
2. Select Branch: AHMEDABAD, Export Type: Export Sea, FY 2025–2026, click OK.
3. Navigate to</t>
    </r>
    <r>
      <rPr>
        <b/>
        <sz val="11"/>
        <color theme="1"/>
        <rFont val="Calibri"/>
        <family val="2"/>
        <scheme val="minor"/>
      </rPr>
      <t xml:space="preserve"> Masters -&gt; Misc Master -&gt; Project Type Master</t>
    </r>
    <r>
      <rPr>
        <sz val="11"/>
        <color theme="1"/>
        <rFont val="Calibri"/>
        <family val="2"/>
        <scheme val="minor"/>
      </rPr>
      <t xml:space="preserve">
4.  select a value from the dropdown list and oberve the system behaviour.</t>
    </r>
  </si>
  <si>
    <t>Project_Type_Master_09</t>
  </si>
  <si>
    <r>
      <t xml:space="preserve">Validate the functionality of </t>
    </r>
    <r>
      <rPr>
        <b/>
        <sz val="11"/>
        <color theme="1"/>
        <rFont val="Calibri"/>
        <family val="2"/>
        <scheme val="minor"/>
      </rPr>
      <t>'Shipper'</t>
    </r>
    <r>
      <rPr>
        <sz val="11"/>
        <color theme="1"/>
        <rFont val="Calibri"/>
        <family val="2"/>
        <scheme val="minor"/>
      </rPr>
      <t xml:space="preserve"> textbox in the</t>
    </r>
    <r>
      <rPr>
        <b/>
        <sz val="11"/>
        <color theme="1"/>
        <rFont val="Calibri"/>
        <family val="2"/>
        <scheme val="minor"/>
      </rPr>
      <t xml:space="preserve"> 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</si>
  <si>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 xml:space="preserve">4. In the </t>
    </r>
    <r>
      <rPr>
        <b/>
        <sz val="11"/>
        <color theme="1"/>
        <rFont val="Calibri"/>
        <family val="2"/>
        <scheme val="minor"/>
      </rPr>
      <t xml:space="preserve">Shipper </t>
    </r>
    <r>
      <rPr>
        <sz val="11"/>
        <color theme="1"/>
        <rFont val="Calibri"/>
        <family val="2"/>
        <scheme val="minor"/>
      </rPr>
      <t>textbox, try entering manual inputs.
5. Use the (%) symbol to trigger the autosuggest list.
6. Select a value from the autosuggest list and observe the system behavior.</t>
    </r>
  </si>
  <si>
    <r>
      <t>Textbox - Shipper</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 R CHEMICAL.
-&gt; ABC LTD etc.</t>
    </r>
  </si>
  <si>
    <t>Project_Type_Master_10</t>
  </si>
  <si>
    <r>
      <t xml:space="preserve">Validate the functionality of </t>
    </r>
    <r>
      <rPr>
        <b/>
        <sz val="11"/>
        <color theme="1"/>
        <rFont val="Calibri"/>
        <family val="2"/>
        <scheme val="minor"/>
      </rPr>
      <t>'Note'</t>
    </r>
    <r>
      <rPr>
        <sz val="11"/>
        <color theme="1"/>
        <rFont val="Calibri"/>
        <family val="2"/>
        <scheme val="minor"/>
      </rPr>
      <t xml:space="preserve"> textbox in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</si>
  <si>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 xml:space="preserve">4. Enter Valid &amp; Invalid Data in </t>
    </r>
    <r>
      <rPr>
        <b/>
        <sz val="11"/>
        <color theme="1"/>
        <rFont val="Calibri"/>
        <family val="2"/>
        <scheme val="minor"/>
      </rPr>
      <t xml:space="preserve">Note </t>
    </r>
    <r>
      <rPr>
        <sz val="11"/>
        <color theme="1"/>
        <rFont val="Calibri"/>
        <family val="2"/>
        <scheme val="minor"/>
      </rPr>
      <t>textbox and observe the system behaviour.</t>
    </r>
  </si>
  <si>
    <t>Project_Type_Master_11</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</si>
  <si>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</si>
  <si>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 xml:space="preserve">4. Enter valid data in all fields on the </t>
    </r>
    <r>
      <rPr>
        <b/>
        <sz val="11"/>
        <color theme="1"/>
        <rFont val="Calibri"/>
        <family val="2"/>
        <scheme val="minor"/>
      </rPr>
      <t>Project Type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</si>
  <si>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t>Project_Type_Master_12</t>
  </si>
  <si>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in the</t>
    </r>
    <r>
      <rPr>
        <b/>
        <sz val="11"/>
        <color theme="1"/>
        <rFont val="Calibri"/>
        <family val="2"/>
        <scheme val="minor"/>
      </rPr>
      <t xml:space="preserve"> 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</si>
  <si>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4. Enter valid data in all mandatory fields only.
5. Leave all non-mandatory fields blank.
6. Click on the Save button.</t>
    </r>
  </si>
  <si>
    <t>Project_Type_Master_13</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</si>
  <si>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</si>
  <si>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4. Enter valid values in non-mandatory fields only.
5. Leave all mandatory fields blank.
6. Click on the Save button.
7. Observe validation messages and save behavior.</t>
    </r>
  </si>
  <si>
    <t>Enter Valid Value in below Fields:
 -&gt; Shipper
 -&gt; Note</t>
  </si>
  <si>
    <t>1. Record must not be saved without filling mandatory field.
2. Mandatory field validation should trigger correctly:
 -&gt; Validation message displayed for each missing mandatory field.
 -&gt; Validation messages should appear in the same sequence as the fields on the UI.
3. Once all mandatory fields are filled:
 -&gt; Record should be saved successfully.
 -&gt; Saved record should appear in the left-side panel list.
 -&gt; Record should be searchable and selectable.</t>
  </si>
  <si>
    <t>Project_Type_Master_14</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</si>
  <si>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</si>
  <si>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Project Type Master
</t>
    </r>
    <r>
      <rPr>
        <sz val="11"/>
        <color theme="1"/>
        <rFont val="Calibri"/>
        <family val="2"/>
        <scheme val="minor"/>
      </rPr>
      <t>4. From the left-side list, select a pre-existing record and modify one or more fields with new valid data.
5. Click modify button and Re-select the same record and observe the changed value.</t>
    </r>
  </si>
  <si>
    <t xml:space="preserve">1. Modify button should be enabled only when a record is selected and its data is loaded into the co-responding textbox.
2. On clicking Modify, the record should be updated with the new values.
3. The updated record should appear correctly in the left-side records list.
4. The user should be able to modify the same record multiple times.
</t>
  </si>
  <si>
    <t>Project_Type_Master_15</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</si>
  <si>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Project Type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</si>
  <si>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Project Type Master
</t>
    </r>
    <r>
      <rPr>
        <sz val="11"/>
        <color theme="1"/>
        <rFont val="Calibri"/>
        <family val="2"/>
        <scheme val="minor"/>
      </rPr>
      <t xml:space="preserve">4. Enter values in all or few input fields.
5. Click the </t>
    </r>
    <r>
      <rPr>
        <b/>
        <sz val="11"/>
        <color theme="1"/>
        <rFont val="Calibri"/>
        <family val="2"/>
        <scheme val="minor"/>
      </rPr>
      <t>Clear</t>
    </r>
    <r>
      <rPr>
        <sz val="11"/>
        <color theme="1"/>
        <rFont val="Calibri"/>
        <family val="2"/>
        <scheme val="minor"/>
      </rPr>
      <t xml:space="preserve"> button and observe the system behavior.</t>
    </r>
  </si>
  <si>
    <t>Project_Type_Master_16</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</si>
  <si>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Project Type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</si>
  <si>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Project Type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</si>
  <si>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Project Type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</si>
  <si>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Project_Type_Master_17</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</si>
  <si>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Project Type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</si>
  <si>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Project Type Master
</t>
    </r>
    <r>
      <rPr>
        <sz val="11"/>
        <color theme="1"/>
        <rFont val="Calibri"/>
        <family val="2"/>
        <scheme val="minor"/>
      </rPr>
      <t>4. Use keyword button to fill the foam and observe the system behaviour.</t>
    </r>
  </si>
  <si>
    <t>Project_Type_Master_18</t>
  </si>
  <si>
    <r>
      <t xml:space="preserve">Validate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readability,</t>
    </r>
    <r>
      <rPr>
        <sz val="11"/>
        <color theme="1"/>
        <rFont val="Calibri"/>
        <family val="2"/>
        <scheme val="minor"/>
      </rPr>
      <t xml:space="preserve"> and </t>
    </r>
    <r>
      <rPr>
        <b/>
        <sz val="11"/>
        <color theme="1"/>
        <rFont val="Calibri"/>
        <family val="2"/>
        <scheme val="minor"/>
      </rPr>
      <t>correctness</t>
    </r>
    <r>
      <rPr>
        <sz val="11"/>
        <color theme="1"/>
        <rFont val="Calibri"/>
        <family val="2"/>
        <scheme val="minor"/>
      </rPr>
      <t xml:space="preserve"> of </t>
    </r>
    <r>
      <rPr>
        <b/>
        <sz val="11"/>
        <color theme="1"/>
        <rFont val="Calibri"/>
        <family val="2"/>
        <scheme val="minor"/>
      </rPr>
      <t xml:space="preserve">Success </t>
    </r>
    <r>
      <rPr>
        <sz val="11"/>
        <color theme="1"/>
        <rFont val="Calibri"/>
        <family val="2"/>
        <scheme val="minor"/>
      </rPr>
      <t>and</t>
    </r>
    <r>
      <rPr>
        <b/>
        <sz val="11"/>
        <color theme="1"/>
        <rFont val="Calibri"/>
        <family val="2"/>
        <scheme val="minor"/>
      </rPr>
      <t xml:space="preserve"> Error pop-up messages </t>
    </r>
    <r>
      <rPr>
        <sz val="11"/>
        <color theme="1"/>
        <rFont val="Calibri"/>
        <family val="2"/>
        <scheme val="minor"/>
      </rPr>
      <t xml:space="preserve">on the </t>
    </r>
    <r>
      <rPr>
        <b/>
        <sz val="11"/>
        <color theme="1"/>
        <rFont val="Calibri"/>
        <family val="2"/>
        <scheme val="minor"/>
      </rPr>
      <t>Project Type Master</t>
    </r>
    <r>
      <rPr>
        <sz val="11"/>
        <color theme="1"/>
        <rFont val="Calibri"/>
        <family val="2"/>
        <scheme val="minor"/>
      </rPr>
      <t xml:space="preserve"> Page. </t>
    </r>
  </si>
  <si>
    <r>
      <t xml:space="preserve">1. Open the application and log in 
2. Select Branch: AHMEDABAD, Export Type: Export Sea, FY 2025–2026, click OK.
3. Navigate to </t>
    </r>
    <r>
      <rPr>
        <b/>
        <sz val="11"/>
        <color theme="1"/>
        <rFont val="Calibri"/>
        <family val="2"/>
        <scheme val="minor"/>
      </rPr>
      <t xml:space="preserve">Masters - Misc Master -&gt; Project Type Master
</t>
    </r>
    <r>
      <rPr>
        <sz val="11"/>
        <color theme="1"/>
        <rFont val="Calibri"/>
        <family val="2"/>
        <scheme val="minor"/>
      </rPr>
      <t>4. Observe the Success Pop-up and Error Pop-up Readability for each field.</t>
    </r>
  </si>
  <si>
    <r>
      <t xml:space="preserve">1. The validation message for the </t>
    </r>
    <r>
      <rPr>
        <b/>
        <sz val="11"/>
        <color theme="1"/>
        <rFont val="Calibri"/>
        <family val="2"/>
        <scheme val="minor"/>
      </rPr>
      <t>Display Status</t>
    </r>
    <r>
      <rPr>
        <sz val="11"/>
        <color theme="1"/>
        <rFont val="Calibri"/>
        <family val="2"/>
        <scheme val="minor"/>
      </rPr>
      <t xml:space="preserve"> mandatory field does not exactly match the textbox label.
</t>
    </r>
    <r>
      <rPr>
        <b/>
        <sz val="11"/>
        <color theme="1"/>
        <rFont val="Calibri"/>
        <family val="2"/>
        <scheme val="minor"/>
      </rPr>
      <t>Expected Message -&gt; Please Select Display Status
Actual Message -&gt; Please Select  Status</t>
    </r>
  </si>
  <si>
    <t>Project_Type_Master_19</t>
  </si>
  <si>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Project Type Master </t>
    </r>
    <r>
      <rPr>
        <sz val="11"/>
        <color theme="1"/>
        <rFont val="Calibri"/>
        <family val="2"/>
        <scheme val="minor"/>
      </rPr>
      <t xml:space="preserve">Page. </t>
    </r>
  </si>
  <si>
    <r>
      <t xml:space="preserve">1. Open the application and log in 
2. Select Branch: AHMEDABAD, Export Type: Export Sea, FY 2025–2026, click OK.
3. Navigate to </t>
    </r>
    <r>
      <rPr>
        <b/>
        <sz val="11"/>
        <color theme="1"/>
        <rFont val="Calibri"/>
        <family val="2"/>
        <scheme val="minor"/>
      </rPr>
      <t xml:space="preserve">Masters - Misc Master -&gt; Principle Line HBL Master 
</t>
    </r>
    <r>
      <rPr>
        <sz val="11"/>
        <color theme="1"/>
        <rFont val="Calibri"/>
        <family val="2"/>
        <scheme val="minor"/>
      </rPr>
      <t xml:space="preserve">4. Leave the </t>
    </r>
    <r>
      <rPr>
        <b/>
        <sz val="11"/>
        <color theme="1"/>
        <rFont val="Calibri"/>
        <family val="2"/>
        <scheme val="minor"/>
      </rPr>
      <t xml:space="preserve">Project Type Master </t>
    </r>
    <r>
      <rPr>
        <sz val="11"/>
        <color theme="1"/>
        <rFont val="Calibri"/>
        <family val="2"/>
        <scheme val="minor"/>
      </rPr>
      <t>page idle for long time and observe the system behaviour.</t>
    </r>
  </si>
  <si>
    <t xml:space="preserve">Misc  Master -&gt; Notes Master
</t>
  </si>
  <si>
    <t>Notes_Master_01</t>
  </si>
  <si>
    <r>
      <t xml:space="preserve">Validate the functionality of </t>
    </r>
    <r>
      <rPr>
        <b/>
        <sz val="11"/>
        <color theme="1"/>
        <rFont val="Calibri"/>
        <family val="2"/>
        <scheme val="minor"/>
      </rPr>
      <t xml:space="preserve">Notes Master, </t>
    </r>
    <r>
      <rPr>
        <sz val="11"/>
        <color theme="1"/>
        <rFont val="Calibri"/>
        <family val="2"/>
        <scheme val="minor"/>
      </rPr>
      <t xml:space="preserve">Under </t>
    </r>
    <r>
      <rPr>
        <b/>
        <sz val="11"/>
        <color theme="1"/>
        <rFont val="Calibri"/>
        <family val="2"/>
        <scheme val="minor"/>
      </rPr>
      <t>Misc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</si>
  <si>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Misc Master</t>
    </r>
    <r>
      <rPr>
        <sz val="11"/>
        <color theme="1"/>
        <rFont val="Calibri"/>
        <family val="2"/>
        <scheme val="minor"/>
      </rPr>
      <t xml:space="preserve"> -&gt; </t>
    </r>
    <r>
      <rPr>
        <b/>
        <sz val="11"/>
        <color theme="1"/>
        <rFont val="Calibri"/>
        <family val="2"/>
        <scheme val="minor"/>
      </rPr>
      <t>Notes Master</t>
    </r>
  </si>
  <si>
    <r>
      <t xml:space="preserve">1. On Mouse Hovering action on </t>
    </r>
    <r>
      <rPr>
        <b/>
        <sz val="11"/>
        <color theme="1"/>
        <rFont val="Calibri"/>
        <family val="2"/>
        <scheme val="minor"/>
      </rPr>
      <t xml:space="preserve">Masters -&gt; Misc Master -&gt; Notes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</si>
  <si>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Notes Master </t>
    </r>
    <r>
      <rPr>
        <sz val="11"/>
        <color theme="1"/>
        <rFont val="Calibri"/>
        <family val="2"/>
        <scheme val="minor"/>
      </rPr>
      <t>Page is opening properly.</t>
    </r>
  </si>
  <si>
    <t>Notes_Master_02</t>
  </si>
  <si>
    <r>
      <t xml:space="preserve">Validate the functionality of the </t>
    </r>
    <r>
      <rPr>
        <b/>
        <sz val="11"/>
        <color theme="1"/>
        <rFont val="Calibri"/>
        <family val="2"/>
        <scheme val="minor"/>
      </rPr>
      <t>Search</t>
    </r>
    <r>
      <rPr>
        <sz val="11"/>
        <color theme="1"/>
        <rFont val="Calibri"/>
        <family val="2"/>
        <scheme val="minor"/>
      </rPr>
      <t xml:space="preserve"> textbox in the left-side panel on the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</si>
  <si>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4. Enter different search keywords in the Search textbox.
5. Observe the filtered records in the left-side list panel.</t>
    </r>
  </si>
  <si>
    <t>Search Data:
 -&gt; APICAL IMPEX PVT. LTD</t>
  </si>
  <si>
    <r>
      <t xml:space="preserve">1. Search textbox should return all matching records for:
 -&gt; Full match
 -&gt; Partial match (any word in the record name)
 -&gt; Case-insensitive input
2. Records should dynamically filter based on the entered search keyword.
3. If no record matches the keyword, the list should appear empty.
4. The Search textbox placeholder should display:
</t>
    </r>
    <r>
      <rPr>
        <b/>
        <sz val="11"/>
        <color theme="1"/>
        <rFont val="Calibri"/>
        <family val="2"/>
        <scheme val="minor"/>
      </rPr>
      <t>“Search Note”</t>
    </r>
  </si>
  <si>
    <r>
      <t xml:space="preserve">1. The Search textbox is working only for the first word of the record name.
</t>
    </r>
    <r>
      <rPr>
        <b/>
        <sz val="11"/>
        <color theme="1"/>
        <rFont val="Calibri"/>
        <family val="2"/>
        <scheme val="minor"/>
      </rPr>
      <t>Example record: 'APICAL IMPEX PVT. LTD' recrod
-&gt; Searching 'APICAL' → Return Result
 -&gt; Searching 'IMPEX' →  No result
 -&gt; Searching 'PVT&gt;' →  No result
 -&gt; Searching 'LTD.' →  No result
Note: Placeholder text should be:
“Search Note”</t>
    </r>
  </si>
  <si>
    <t>Notes_Master_03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</si>
  <si>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</si>
  <si>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</si>
  <si>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Notes_Master_04</t>
  </si>
  <si>
    <r>
      <t xml:space="preserve">1. Open the application and log in.
2. Select Branch: AHMEDABAD, Export Type: Export Sea, FY: 2025–2026, and click OK.
3. Navigate to </t>
    </r>
    <r>
      <rPr>
        <b/>
        <sz val="11"/>
        <color theme="1"/>
        <rFont val="Calibri"/>
        <family val="2"/>
        <scheme val="minor"/>
      </rPr>
      <t>Masters -&gt;  Misc Master -&gt; Notes Master</t>
    </r>
    <r>
      <rPr>
        <sz val="11"/>
        <color theme="1"/>
        <rFont val="Calibri"/>
        <family val="2"/>
        <scheme val="minor"/>
      </rPr>
      <t xml:space="preserve">
4. From the left-side list panel, select any record.
5. Verify the selected record details displayed in the </t>
    </r>
    <r>
      <rPr>
        <b/>
        <sz val="11"/>
        <color theme="1"/>
        <rFont val="Calibri"/>
        <family val="2"/>
        <scheme val="minor"/>
      </rPr>
      <t xml:space="preserve">Notes Master </t>
    </r>
    <r>
      <rPr>
        <sz val="11"/>
        <color theme="1"/>
        <rFont val="Calibri"/>
        <family val="2"/>
        <scheme val="minor"/>
      </rPr>
      <t>Page.
6. Ensure the selected record is not removed from the left list.
7. Select another record from the left panel.
8. Verify the textboxes update with the newly selected record and the previous record loses its highlight.</t>
    </r>
  </si>
  <si>
    <r>
      <t xml:space="preserve">1. Selected record details should be displayed correctly in the </t>
    </r>
    <r>
      <rPr>
        <b/>
        <sz val="11"/>
        <color theme="1"/>
        <rFont val="Calibri"/>
        <family val="2"/>
        <scheme val="minor"/>
      </rPr>
      <t>Notes Master</t>
    </r>
    <r>
      <rPr>
        <sz val="11"/>
        <color theme="1"/>
        <rFont val="Calibri"/>
        <family val="2"/>
        <scheme val="minor"/>
      </rPr>
      <t xml:space="preserve"> textboxes.
2. Selected record should remain visible in the left-side list.
3. On selecting another record:
 -&gt; Textboxes should refresh with the new record’s data.
 -&gt; Previously selected record should lose highlight.
 -&gt; No records should disappear from the list.</t>
    </r>
  </si>
  <si>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corresponding textboxes of the </t>
    </r>
    <r>
      <rPr>
        <b/>
        <sz val="11"/>
        <color theme="1"/>
        <rFont val="Calibri"/>
        <family val="2"/>
        <scheme val="minor"/>
      </rPr>
      <t xml:space="preserve">Notes Master </t>
    </r>
    <r>
      <rPr>
        <sz val="11"/>
        <color theme="1"/>
        <rFont val="Calibri"/>
        <family val="2"/>
        <scheme val="minor"/>
      </rPr>
      <t>Page.</t>
    </r>
  </si>
  <si>
    <t>1. Selected record details are displayed correctly in the Notes Master page.
2. When another record is selected, the textboxes update with the new record’s data.</t>
  </si>
  <si>
    <t>Notes_Master_05</t>
  </si>
  <si>
    <r>
      <t xml:space="preserve">Validate the functionality of </t>
    </r>
    <r>
      <rPr>
        <b/>
        <sz val="11"/>
        <color theme="1"/>
        <rFont val="Calibri"/>
        <family val="2"/>
        <scheme val="minor"/>
      </rPr>
      <t>'Branch Code'</t>
    </r>
    <r>
      <rPr>
        <sz val="11"/>
        <color theme="1"/>
        <rFont val="Calibri"/>
        <family val="2"/>
        <scheme val="minor"/>
      </rPr>
      <t xml:space="preserve"> textbox in the</t>
    </r>
    <r>
      <rPr>
        <b/>
        <sz val="11"/>
        <color theme="1"/>
        <rFont val="Calibri"/>
        <family val="2"/>
        <scheme val="minor"/>
      </rPr>
      <t xml:space="preserve"> 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</si>
  <si>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 xml:space="preserve">4. In the </t>
    </r>
    <r>
      <rPr>
        <b/>
        <sz val="11"/>
        <color theme="1"/>
        <rFont val="Calibri"/>
        <family val="2"/>
        <scheme val="minor"/>
      </rPr>
      <t xml:space="preserve">Branch Code </t>
    </r>
    <r>
      <rPr>
        <sz val="11"/>
        <color theme="1"/>
        <rFont val="Calibri"/>
        <family val="2"/>
        <scheme val="minor"/>
      </rPr>
      <t>textbox, try entering manual inputs.
5. Use the (%) symbol to trigger the autosuggest list.
6. Select a value from the autosuggest list and observe the system behavior.</t>
    </r>
  </si>
  <si>
    <r>
      <t>Textbox - Branch Code</t>
    </r>
    <r>
      <rPr>
        <b/>
        <sz val="11"/>
        <color theme="1"/>
        <rFont val="Calibri"/>
        <family val="2"/>
        <scheme val="minor"/>
      </rPr>
      <t xml:space="preserve">
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AHMEDABAD
-&gt; MUMBAI</t>
    </r>
  </si>
  <si>
    <r>
      <t xml:space="preserve">1. Manual input should not be allowed in the </t>
    </r>
    <r>
      <rPr>
        <b/>
        <sz val="11"/>
        <color theme="1"/>
        <rFont val="Calibri"/>
        <family val="2"/>
        <scheme val="minor"/>
      </rPr>
      <t>Branch Code</t>
    </r>
    <r>
      <rPr>
        <sz val="11"/>
        <color theme="1"/>
        <rFont val="Calibri"/>
        <family val="2"/>
        <scheme val="minor"/>
      </rPr>
      <t xml:space="preserve"> textbox.
2. The user should be able to select a </t>
    </r>
    <r>
      <rPr>
        <b/>
        <sz val="11"/>
        <color theme="1"/>
        <rFont val="Calibri"/>
        <family val="2"/>
        <scheme val="minor"/>
      </rPr>
      <t>Branch Code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the user types valid starting characters.</t>
    </r>
  </si>
  <si>
    <t>1. Functionality is working as expected.
2. Branch Code value can be selected only from the autosuggest list.
Note: The textbox label is displayed as “Branch Code”,it should be “Branch Name” for better clarity.</t>
  </si>
  <si>
    <t>Notes_Master_06</t>
  </si>
  <si>
    <r>
      <t xml:space="preserve">Validate the functionality of </t>
    </r>
    <r>
      <rPr>
        <b/>
        <sz val="11"/>
        <color theme="1"/>
        <rFont val="Calibri"/>
        <family val="2"/>
        <scheme val="minor"/>
      </rPr>
      <t>'Segment'</t>
    </r>
    <r>
      <rPr>
        <sz val="11"/>
        <color theme="1"/>
        <rFont val="Calibri"/>
        <family val="2"/>
        <scheme val="minor"/>
      </rPr>
      <t xml:space="preserve"> textbox in the</t>
    </r>
    <r>
      <rPr>
        <b/>
        <sz val="11"/>
        <color theme="1"/>
        <rFont val="Calibri"/>
        <family val="2"/>
        <scheme val="minor"/>
      </rPr>
      <t xml:space="preserve"> 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</si>
  <si>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 xml:space="preserve">4. In the </t>
    </r>
    <r>
      <rPr>
        <b/>
        <sz val="11"/>
        <color theme="1"/>
        <rFont val="Calibri"/>
        <family val="2"/>
        <scheme val="minor"/>
      </rPr>
      <t xml:space="preserve">Segment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</si>
  <si>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Segment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FCL
-&gt; CHA FCL EXPORT
 -&gt; SEGMENT MASTER TESTING RECORD 1
 -&gt; SEGMENT MASTER TESTING RECORD 3</t>
    </r>
  </si>
  <si>
    <r>
      <t xml:space="preserve">1. Manual input should not be allowed in the </t>
    </r>
    <r>
      <rPr>
        <b/>
        <sz val="11"/>
        <color theme="1"/>
        <rFont val="Calibri"/>
        <family val="2"/>
        <scheme val="minor"/>
      </rPr>
      <t xml:space="preserve">Segment </t>
    </r>
    <r>
      <rPr>
        <sz val="11"/>
        <color theme="1"/>
        <rFont val="Calibri"/>
        <family val="2"/>
        <scheme val="minor"/>
      </rPr>
      <t xml:space="preserve">textbox.
2. The user should be able to select a </t>
    </r>
    <r>
      <rPr>
        <b/>
        <sz val="11"/>
        <color theme="1"/>
        <rFont val="Calibri"/>
        <family val="2"/>
        <scheme val="minor"/>
      </rPr>
      <t xml:space="preserve">Segment </t>
    </r>
    <r>
      <rPr>
        <sz val="11"/>
        <color theme="1"/>
        <rFont val="Calibri"/>
        <family val="2"/>
        <scheme val="minor"/>
      </rPr>
      <t xml:space="preserve">value only from the autosuggest list using the (%) symbol.
3. If the user enters an invalid value (not matching autosuggest items), the textbox should automatically clear.
4. The autosuggest list should display relevant values when the user types valid starting characters.
5. </t>
    </r>
    <r>
      <rPr>
        <b/>
        <sz val="11"/>
        <color theme="1"/>
        <rFont val="Calibri"/>
        <family val="2"/>
        <scheme val="minor"/>
      </rPr>
      <t>After saving:
 -&gt; The record should be saved successfully.
 -&gt; The saved record should appear in the left-side panel list.</t>
    </r>
  </si>
  <si>
    <r>
      <t xml:space="preserve">1. Functionality is working as expected.
2.  </t>
    </r>
    <r>
      <rPr>
        <b/>
        <sz val="11"/>
        <color rgb="FF9C0006"/>
        <rFont val="Calibri"/>
        <family val="2"/>
        <scheme val="minor"/>
      </rPr>
      <t>Segment</t>
    </r>
    <r>
      <rPr>
        <sz val="11"/>
        <color rgb="FF9C0006"/>
        <rFont val="Calibri"/>
        <family val="2"/>
        <scheme val="minor"/>
      </rPr>
      <t xml:space="preserve"> value can be selected only from the autosuggest list.
Note: 
When selecting “</t>
    </r>
    <r>
      <rPr>
        <b/>
        <sz val="11"/>
        <color rgb="FF9C0006"/>
        <rFont val="Calibri"/>
        <family val="2"/>
        <scheme val="minor"/>
      </rPr>
      <t>SEGMENT MASTER TESTING RECORD 1</t>
    </r>
    <r>
      <rPr>
        <sz val="11"/>
        <color rgb="FF9C0006"/>
        <rFont val="Calibri"/>
        <family val="2"/>
        <scheme val="minor"/>
      </rPr>
      <t>” or “</t>
    </r>
    <r>
      <rPr>
        <b/>
        <sz val="11"/>
        <color rgb="FF9C0006"/>
        <rFont val="Calibri"/>
        <family val="2"/>
        <scheme val="minor"/>
      </rPr>
      <t>SEGMENT MASTER TESTING RECORD 3</t>
    </r>
    <r>
      <rPr>
        <sz val="11"/>
        <color rgb="FF9C0006"/>
        <rFont val="Calibri"/>
        <family val="2"/>
        <scheme val="minor"/>
      </rPr>
      <t xml:space="preserve">” from the autosuggest list and saving the record:
 -&gt; Success message is displayed.
 -&gt; However, the saved record does not appear in the left-side panel list.
</t>
    </r>
  </si>
  <si>
    <t>Notes_Master_07</t>
  </si>
  <si>
    <r>
      <t xml:space="preserve">Validate the functionality of </t>
    </r>
    <r>
      <rPr>
        <b/>
        <sz val="11"/>
        <color theme="1"/>
        <rFont val="Calibri"/>
        <family val="2"/>
        <scheme val="minor"/>
      </rPr>
      <t>'Name'</t>
    </r>
    <r>
      <rPr>
        <sz val="11"/>
        <color theme="1"/>
        <rFont val="Calibri"/>
        <family val="2"/>
        <scheme val="minor"/>
      </rPr>
      <t xml:space="preserve"> textbox in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</si>
  <si>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Misc Master -&gt; Notes Master</t>
    </r>
    <r>
      <rPr>
        <sz val="11"/>
        <color theme="1"/>
        <rFont val="Calibri"/>
        <family val="2"/>
        <scheme val="minor"/>
      </rPr>
      <t xml:space="preserve">
4. Enter Valid &amp; Invalid Data in </t>
    </r>
    <r>
      <rPr>
        <b/>
        <sz val="11"/>
        <color theme="1"/>
        <rFont val="Calibri"/>
        <family val="2"/>
        <scheme val="minor"/>
      </rPr>
      <t xml:space="preserve">Name </t>
    </r>
    <r>
      <rPr>
        <sz val="11"/>
        <color theme="1"/>
        <rFont val="Calibri"/>
        <family val="2"/>
        <scheme val="minor"/>
      </rPr>
      <t>textbox and observe the system behaviour.</t>
    </r>
  </si>
  <si>
    <t>Notes_Master_08</t>
  </si>
  <si>
    <r>
      <t xml:space="preserve">Validate the functionality of </t>
    </r>
    <r>
      <rPr>
        <b/>
        <sz val="11"/>
        <color theme="1"/>
        <rFont val="Calibri"/>
        <family val="2"/>
        <scheme val="minor"/>
      </rPr>
      <t>'Status Type'</t>
    </r>
    <r>
      <rPr>
        <sz val="11"/>
        <color theme="1"/>
        <rFont val="Calibri"/>
        <family val="2"/>
        <scheme val="minor"/>
      </rPr>
      <t xml:space="preserve"> dropdown textbox in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</si>
  <si>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Notes Master</t>
    </r>
    <r>
      <rPr>
        <sz val="11"/>
        <color theme="1"/>
        <rFont val="Calibri"/>
        <family val="2"/>
        <scheme val="minor"/>
      </rPr>
      <t xml:space="preserve">
4. Try entering manual values in the </t>
    </r>
    <r>
      <rPr>
        <b/>
        <sz val="11"/>
        <color theme="1"/>
        <rFont val="Calibri"/>
        <family val="2"/>
        <scheme val="minor"/>
      </rPr>
      <t xml:space="preserve">Status Type </t>
    </r>
    <r>
      <rPr>
        <sz val="11"/>
        <color theme="1"/>
        <rFont val="Calibri"/>
        <family val="2"/>
        <scheme val="minor"/>
      </rPr>
      <t xml:space="preserve">textbox.
5. Select a valid value from the </t>
    </r>
    <r>
      <rPr>
        <b/>
        <sz val="11"/>
        <color theme="1"/>
        <rFont val="Calibri"/>
        <family val="2"/>
        <scheme val="minor"/>
      </rPr>
      <t xml:space="preserve">Status Type </t>
    </r>
    <r>
      <rPr>
        <sz val="11"/>
        <color theme="1"/>
        <rFont val="Calibri"/>
        <family val="2"/>
        <scheme val="minor"/>
      </rPr>
      <t>dropdown.</t>
    </r>
  </si>
  <si>
    <r>
      <t xml:space="preserve">Textbox - </t>
    </r>
    <r>
      <rPr>
        <b/>
        <sz val="11"/>
        <color theme="1"/>
        <rFont val="Calibri"/>
        <family val="2"/>
        <scheme val="minor"/>
      </rPr>
      <t>Status 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Global
-&gt; Local</t>
    </r>
  </si>
  <si>
    <r>
      <t xml:space="preserve">1. Manual input should not be allowed in the </t>
    </r>
    <r>
      <rPr>
        <b/>
        <sz val="11"/>
        <color theme="1"/>
        <rFont val="Calibri"/>
        <family val="2"/>
        <scheme val="minor"/>
      </rPr>
      <t>Status Type</t>
    </r>
    <r>
      <rPr>
        <sz val="11"/>
        <color theme="1"/>
        <rFont val="Calibri"/>
        <family val="2"/>
        <scheme val="minor"/>
      </rPr>
      <t xml:space="preserve"> field.
2. User should be able to select</t>
    </r>
    <r>
      <rPr>
        <b/>
        <sz val="11"/>
        <color theme="1"/>
        <rFont val="Calibri"/>
        <family val="2"/>
        <scheme val="minor"/>
      </rPr>
      <t xml:space="preserve"> Status Type</t>
    </r>
    <r>
      <rPr>
        <sz val="11"/>
        <color theme="1"/>
        <rFont val="Calibri"/>
        <family val="2"/>
        <scheme val="minor"/>
      </rPr>
      <t xml:space="preserve"> only from the dropdown.
3. If invalid input is typed, the field should automatically clear.
</t>
    </r>
  </si>
  <si>
    <t>Notes_Master_09</t>
  </si>
  <si>
    <r>
      <t xml:space="preserve">Validate the functionality of </t>
    </r>
    <r>
      <rPr>
        <b/>
        <sz val="11"/>
        <color theme="1"/>
        <rFont val="Calibri"/>
        <family val="2"/>
        <scheme val="minor"/>
      </rPr>
      <t>'Display Status'</t>
    </r>
    <r>
      <rPr>
        <sz val="11"/>
        <color theme="1"/>
        <rFont val="Calibri"/>
        <family val="2"/>
        <scheme val="minor"/>
      </rPr>
      <t xml:space="preserve"> dropdown textbox in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</si>
  <si>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Misc Master -&gt; Notes Master</t>
    </r>
    <r>
      <rPr>
        <sz val="11"/>
        <color theme="1"/>
        <rFont val="Calibri"/>
        <family val="2"/>
        <scheme val="minor"/>
      </rPr>
      <t xml:space="preserve">
4. Try entering manual values in the </t>
    </r>
    <r>
      <rPr>
        <b/>
        <sz val="11"/>
        <color theme="1"/>
        <rFont val="Calibri"/>
        <family val="2"/>
        <scheme val="minor"/>
      </rPr>
      <t xml:space="preserve">Display Status </t>
    </r>
    <r>
      <rPr>
        <sz val="11"/>
        <color theme="1"/>
        <rFont val="Calibri"/>
        <family val="2"/>
        <scheme val="minor"/>
      </rPr>
      <t xml:space="preserve">textbox.
5. Select a valid value from the </t>
    </r>
    <r>
      <rPr>
        <b/>
        <sz val="11"/>
        <color theme="1"/>
        <rFont val="Calibri"/>
        <family val="2"/>
        <scheme val="minor"/>
      </rPr>
      <t xml:space="preserve">Display Status </t>
    </r>
    <r>
      <rPr>
        <sz val="11"/>
        <color theme="1"/>
        <rFont val="Calibri"/>
        <family val="2"/>
        <scheme val="minor"/>
      </rPr>
      <t>dropdown.</t>
    </r>
  </si>
  <si>
    <r>
      <t xml:space="preserve">Textbox - </t>
    </r>
    <r>
      <rPr>
        <b/>
        <sz val="11"/>
        <color theme="1"/>
        <rFont val="Calibri"/>
        <family val="2"/>
        <scheme val="minor"/>
      </rPr>
      <t>Status 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Display
-&gt; Hide</t>
    </r>
  </si>
  <si>
    <r>
      <t xml:space="preserve">1. Manual input should not be allowed in the </t>
    </r>
    <r>
      <rPr>
        <b/>
        <sz val="11"/>
        <color theme="1"/>
        <rFont val="Calibri"/>
        <family val="2"/>
        <scheme val="minor"/>
      </rPr>
      <t>Display Status</t>
    </r>
    <r>
      <rPr>
        <sz val="11"/>
        <color theme="1"/>
        <rFont val="Calibri"/>
        <family val="2"/>
        <scheme val="minor"/>
      </rPr>
      <t xml:space="preserve"> field.
2. User should be able to select</t>
    </r>
    <r>
      <rPr>
        <b/>
        <sz val="11"/>
        <color theme="1"/>
        <rFont val="Calibri"/>
        <family val="2"/>
        <scheme val="minor"/>
      </rPr>
      <t xml:space="preserve"> Display Status</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</si>
  <si>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Display Status</t>
    </r>
    <r>
      <rPr>
        <sz val="11"/>
        <color theme="1"/>
        <rFont val="Calibri"/>
        <family val="2"/>
        <scheme val="minor"/>
      </rPr>
      <t xml:space="preserve"> field.
2. </t>
    </r>
    <r>
      <rPr>
        <b/>
        <sz val="11"/>
        <color theme="1"/>
        <rFont val="Calibri"/>
        <family val="2"/>
        <scheme val="minor"/>
      </rPr>
      <t>Display Status</t>
    </r>
    <r>
      <rPr>
        <sz val="11"/>
        <color theme="1"/>
        <rFont val="Calibri"/>
        <family val="2"/>
        <scheme val="minor"/>
      </rPr>
      <t xml:space="preserve"> value can be selected only from the dropdown.
</t>
    </r>
  </si>
  <si>
    <r>
      <t xml:space="preserve">1. Manual input is not allowed in the </t>
    </r>
    <r>
      <rPr>
        <b/>
        <sz val="11"/>
        <color theme="1"/>
        <rFont val="Calibri"/>
        <family val="2"/>
        <scheme val="minor"/>
      </rPr>
      <t>Status Type</t>
    </r>
    <r>
      <rPr>
        <sz val="11"/>
        <color theme="1"/>
        <rFont val="Calibri"/>
        <family val="2"/>
        <scheme val="minor"/>
      </rPr>
      <t xml:space="preserve"> field.
2. </t>
    </r>
    <r>
      <rPr>
        <b/>
        <sz val="11"/>
        <color theme="1"/>
        <rFont val="Calibri"/>
        <family val="2"/>
        <scheme val="minor"/>
      </rPr>
      <t>Status Type</t>
    </r>
    <r>
      <rPr>
        <sz val="11"/>
        <color theme="1"/>
        <rFont val="Calibri"/>
        <family val="2"/>
        <scheme val="minor"/>
      </rPr>
      <t xml:space="preserve"> value can be selected only from the dropdown.
</t>
    </r>
  </si>
  <si>
    <t>Notes_Master_10</t>
  </si>
  <si>
    <r>
      <t xml:space="preserve">Validate the functionality of </t>
    </r>
    <r>
      <rPr>
        <b/>
        <sz val="11"/>
        <color theme="1"/>
        <rFont val="Calibri"/>
        <family val="2"/>
        <scheme val="minor"/>
      </rPr>
      <t>'Terms/Condition'</t>
    </r>
    <r>
      <rPr>
        <sz val="11"/>
        <color theme="1"/>
        <rFont val="Calibri"/>
        <family val="2"/>
        <scheme val="minor"/>
      </rPr>
      <t xml:space="preserve"> textbox in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</si>
  <si>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 xml:space="preserve">4. Enter Valid &amp; Invalid Data in </t>
    </r>
    <r>
      <rPr>
        <b/>
        <sz val="11"/>
        <color theme="1"/>
        <rFont val="Calibri"/>
        <family val="2"/>
        <scheme val="minor"/>
      </rPr>
      <t xml:space="preserve">Terms/Condition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</si>
  <si>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Terms/Condition</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</si>
  <si>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Terms/Condition</t>
    </r>
    <r>
      <rPr>
        <sz val="11"/>
        <color theme="1"/>
        <rFont val="Calibri"/>
        <family val="2"/>
        <scheme val="minor"/>
      </rPr>
      <t xml:space="preserve"> textbox should accept alphanumeric values.
2. </t>
    </r>
    <r>
      <rPr>
        <b/>
        <sz val="11"/>
        <color theme="1"/>
        <rFont val="Calibri"/>
        <family val="2"/>
        <scheme val="minor"/>
      </rPr>
      <t>Terms/Condition</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</si>
  <si>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Terms/Condition</t>
    </r>
    <r>
      <rPr>
        <sz val="11"/>
        <color theme="1"/>
        <rFont val="Calibri"/>
        <family val="2"/>
        <scheme val="minor"/>
      </rPr>
      <t xml:space="preserve"> textbox accepts:
 -&gt; Alphabetic values
 -&gt; Numeric values
 -&gt; Special character values
2. The 250-character limit is enforced correctly.
</t>
    </r>
    <r>
      <rPr>
        <b/>
        <sz val="11"/>
        <color theme="1"/>
        <rFont val="Calibri"/>
        <family val="2"/>
        <scheme val="minor"/>
      </rPr>
      <t>Note: As per business rule, this textbox accepts all type value.</t>
    </r>
  </si>
  <si>
    <t>Notes_Master_11</t>
  </si>
  <si>
    <r>
      <t xml:space="preserve">Validate the functionality of </t>
    </r>
    <r>
      <rPr>
        <b/>
        <sz val="11"/>
        <color theme="1"/>
        <rFont val="Calibri"/>
        <family val="2"/>
        <scheme val="minor"/>
      </rPr>
      <t>'Value'</t>
    </r>
    <r>
      <rPr>
        <sz val="11"/>
        <color theme="1"/>
        <rFont val="Calibri"/>
        <family val="2"/>
        <scheme val="minor"/>
      </rPr>
      <t xml:space="preserve"> textbox in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</si>
  <si>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 xml:space="preserve">4. Enter Valid &amp; Invalid Data in </t>
    </r>
    <r>
      <rPr>
        <b/>
        <sz val="11"/>
        <color theme="1"/>
        <rFont val="Calibri"/>
        <family val="2"/>
        <scheme val="minor"/>
      </rPr>
      <t xml:space="preserve">Value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</si>
  <si>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Value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</si>
  <si>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Value</t>
    </r>
    <r>
      <rPr>
        <sz val="11"/>
        <color theme="1"/>
        <rFont val="Calibri"/>
        <family val="2"/>
        <scheme val="minor"/>
      </rPr>
      <t xml:space="preserve"> textbox should accept alphanumeric values.
2. </t>
    </r>
    <r>
      <rPr>
        <b/>
        <sz val="11"/>
        <color theme="1"/>
        <rFont val="Calibri"/>
        <family val="2"/>
        <scheme val="minor"/>
      </rPr>
      <t>Value</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</si>
  <si>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Value</t>
    </r>
    <r>
      <rPr>
        <sz val="11"/>
        <color theme="1"/>
        <rFont val="Calibri"/>
        <family val="2"/>
        <scheme val="minor"/>
      </rPr>
      <t xml:space="preserve"> textbox accepts:
 -&gt; Alphabetic values
 -&gt; Numeric values
 -&gt; Special character values
2. The 250-character limit is enforced correctly.
</t>
    </r>
    <r>
      <rPr>
        <b/>
        <sz val="11"/>
        <color theme="1"/>
        <rFont val="Calibri"/>
        <family val="2"/>
        <scheme val="minor"/>
      </rPr>
      <t>Note: As per business rule, this textbox accepts all type value.</t>
    </r>
  </si>
  <si>
    <t>Notes_Master_12</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</si>
  <si>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</si>
  <si>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 xml:space="preserve">4. Enter valid data in all fields on the </t>
    </r>
    <r>
      <rPr>
        <b/>
        <sz val="11"/>
        <color theme="1"/>
        <rFont val="Calibri"/>
        <family val="2"/>
        <scheme val="minor"/>
      </rPr>
      <t xml:space="preserve">Notes Master </t>
    </r>
    <r>
      <rPr>
        <sz val="11"/>
        <color theme="1"/>
        <rFont val="Calibri"/>
        <family val="2"/>
        <scheme val="minor"/>
      </rPr>
      <t xml:space="preserve">page.
5. Click on the </t>
    </r>
    <r>
      <rPr>
        <b/>
        <sz val="11"/>
        <color theme="1"/>
        <rFont val="Calibri"/>
        <family val="2"/>
        <scheme val="minor"/>
      </rPr>
      <t xml:space="preserve">Save </t>
    </r>
    <r>
      <rPr>
        <sz val="11"/>
        <color theme="1"/>
        <rFont val="Calibri"/>
        <family val="2"/>
        <scheme val="minor"/>
      </rPr>
      <t>button and observe the system behaviour.</t>
    </r>
  </si>
  <si>
    <t>Notes_Master_13</t>
  </si>
  <si>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in the</t>
    </r>
    <r>
      <rPr>
        <b/>
        <sz val="11"/>
        <color theme="1"/>
        <rFont val="Calibri"/>
        <family val="2"/>
        <scheme val="minor"/>
      </rPr>
      <t xml:space="preserve"> 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</si>
  <si>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4. Enter valid data in all mandatory fields only.
5. Leave all non-mandatory fields blank.
6. Click on the Save button.</t>
    </r>
  </si>
  <si>
    <t xml:space="preserve">1. Fill valid data in all mandatory field textbox and click on save button.
 -&gt; Branch Code
 -&gt; Name
 -&gt; Status Type
 -&gt; Display Status
</t>
  </si>
  <si>
    <t>Notes_Master_14</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</si>
  <si>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</si>
  <si>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Misc Master -&gt; Notes Master 
</t>
    </r>
    <r>
      <rPr>
        <sz val="11"/>
        <color theme="1"/>
        <rFont val="Calibri"/>
        <family val="2"/>
        <scheme val="minor"/>
      </rPr>
      <t>4. Enter valid values in non-mandatory fields only.
5. Leave all mandatory fields blank.
6. Click on the Save button.
7. Observe validation messages and save behavior.</t>
    </r>
  </si>
  <si>
    <t>1. Fill valid data in all Non-mandatory field textbox and click on save button.
 -&gt; Segment
 -&gt; Terms/Condition
 -&gt; Value</t>
  </si>
  <si>
    <t>Notes_Master_15</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</si>
  <si>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</si>
  <si>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Enter valid data in all required input fields.
5. Click on the Save button.
6. From the left-side list, select the newly saved record.
7. Observe the value displayed in the Entered By textbox.</t>
    </r>
  </si>
  <si>
    <t>Notes_Master_16</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</si>
  <si>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</si>
  <si>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Enter valid data in all required input fields.
5. Click on the Save button.
6. From the left-side list, select the newly saved record.
7. Observe the value displayed in the Entered Date textbox.</t>
    </r>
  </si>
  <si>
    <r>
      <t xml:space="preserve">1. </t>
    </r>
    <r>
      <rPr>
        <b/>
        <sz val="11"/>
        <color theme="1"/>
        <rFont val="Calibri"/>
        <family val="2"/>
        <scheme val="minor"/>
      </rPr>
      <t>Entered Date</t>
    </r>
    <r>
      <rPr>
        <sz val="11"/>
        <color theme="1"/>
        <rFont val="Calibri"/>
        <family val="2"/>
        <scheme val="minor"/>
      </rPr>
      <t xml:space="preserve"> textbox is auto-populated after saving the record.
2. </t>
    </r>
    <r>
      <rPr>
        <b/>
        <sz val="11"/>
        <color theme="1"/>
        <rFont val="Calibri"/>
        <family val="2"/>
        <scheme val="minor"/>
      </rPr>
      <t>Entered Date</t>
    </r>
    <r>
      <rPr>
        <sz val="11"/>
        <color theme="1"/>
        <rFont val="Calibri"/>
        <family val="2"/>
        <scheme val="minor"/>
      </rPr>
      <t xml:space="preserve"> is displayed correctly when the saved record is selected.</t>
    </r>
  </si>
  <si>
    <t>Notes_Master_17</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</si>
  <si>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</si>
  <si>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 xml:space="preserve">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By</t>
    </r>
    <r>
      <rPr>
        <sz val="11"/>
        <color theme="1"/>
        <rFont val="Calibri"/>
        <family val="2"/>
        <scheme val="minor"/>
      </rPr>
      <t xml:space="preserve"> textbox.</t>
    </r>
  </si>
  <si>
    <t>Notes_Master_18</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</si>
  <si>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</si>
  <si>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Misc Master -&gt; Notes Master</t>
    </r>
    <r>
      <rPr>
        <sz val="11"/>
        <color theme="1"/>
        <rFont val="Calibri"/>
        <family val="2"/>
        <scheme val="minor"/>
      </rPr>
      <t xml:space="preserve">
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Date</t>
    </r>
    <r>
      <rPr>
        <sz val="11"/>
        <color theme="1"/>
        <rFont val="Calibri"/>
        <family val="2"/>
        <scheme val="minor"/>
      </rPr>
      <t xml:space="preserve"> textbox.</t>
    </r>
  </si>
  <si>
    <t>Notes_Master_19</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</si>
  <si>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</si>
  <si>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Select an existing record from the left-side list.
5. Modify one or more fields with valid new data.
6. Click on the Modify button.
7. Re-select the same record and verify updated values.</t>
    </r>
  </si>
  <si>
    <r>
      <t xml:space="preserve">1. </t>
    </r>
    <r>
      <rPr>
        <b/>
        <sz val="11"/>
        <color theme="1"/>
        <rFont val="Calibri"/>
        <family val="2"/>
        <scheme val="minor"/>
      </rPr>
      <t>Modify</t>
    </r>
    <r>
      <rPr>
        <sz val="11"/>
        <color theme="1"/>
        <rFont val="Calibri"/>
        <family val="2"/>
        <scheme val="minor"/>
      </rPr>
      <t xml:space="preserve"> button should be enabled only when a record is selected and its data is loaded into the corresponding textboxes.
2. On clicking </t>
    </r>
    <r>
      <rPr>
        <b/>
        <sz val="11"/>
        <color theme="1"/>
        <rFont val="Calibri"/>
        <family val="2"/>
        <scheme val="minor"/>
      </rPr>
      <t>Modify</t>
    </r>
    <r>
      <rPr>
        <sz val="11"/>
        <color theme="1"/>
        <rFont val="Calibri"/>
        <family val="2"/>
        <scheme val="minor"/>
      </rPr>
      <t xml:space="preserve">, the record should be updated with the new values.
3. The updated record should reflect correctly in the left-side records list.
4. User should be able to </t>
    </r>
    <r>
      <rPr>
        <b/>
        <sz val="11"/>
        <color theme="1"/>
        <rFont val="Calibri"/>
        <family val="2"/>
        <scheme val="minor"/>
      </rPr>
      <t>modify</t>
    </r>
    <r>
      <rPr>
        <sz val="11"/>
        <color theme="1"/>
        <rFont val="Calibri"/>
        <family val="2"/>
        <scheme val="minor"/>
      </rPr>
      <t xml:space="preserve"> the same record multiple times.</t>
    </r>
  </si>
  <si>
    <t>Notes_Master_20</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</si>
  <si>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Notes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</si>
  <si>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Enter values in all or few input fields.
5. Click the Clear button and observe the system behavior.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</si>
  <si>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-&gt; All input fields should be cleared.
 -&gt; All dropdowns should reset to </t>
    </r>
    <r>
      <rPr>
        <b/>
        <sz val="11"/>
        <color theme="1"/>
        <rFont val="Calibri"/>
        <family val="2"/>
        <scheme val="minor"/>
      </rPr>
      <t>“Select”.</t>
    </r>
    <r>
      <rPr>
        <sz val="11"/>
        <color theme="1"/>
        <rFont val="Calibri"/>
        <family val="2"/>
        <scheme val="minor"/>
      </rPr>
      <t xml:space="preserve">
 -&gt; The left-side panel list should remain intact (no records removed).
</t>
    </r>
    <r>
      <rPr>
        <b/>
        <sz val="11"/>
        <color theme="1"/>
        <rFont val="Calibri"/>
        <family val="2"/>
        <scheme val="minor"/>
      </rPr>
      <t>If the user clicks No:</t>
    </r>
    <r>
      <rPr>
        <sz val="11"/>
        <color theme="1"/>
        <rFont val="Calibri"/>
        <family val="2"/>
        <scheme val="minor"/>
      </rPr>
      <t xml:space="preserve">
 -&gt; All entered values should remain unchanged.
</t>
    </r>
    <r>
      <rPr>
        <b/>
        <sz val="11"/>
        <color theme="1"/>
        <rFont val="Calibri"/>
        <family val="2"/>
        <scheme val="minor"/>
      </rPr>
      <t/>
    </r>
  </si>
  <si>
    <t>Notes_Master_21</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</si>
  <si>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</si>
  <si>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</si>
  <si>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Notes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</si>
  <si>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t>Notes_Master_22</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</si>
  <si>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Notes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</si>
  <si>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4. Use keyword button to fill the foam and observe the system behaviour.</t>
    </r>
  </si>
  <si>
    <t>Notes_Master_23</t>
  </si>
  <si>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Notes Master </t>
    </r>
    <r>
      <rPr>
        <sz val="11"/>
        <color theme="1"/>
        <rFont val="Calibri"/>
        <family val="2"/>
        <scheme val="minor"/>
      </rPr>
      <t xml:space="preserve">Page. </t>
    </r>
  </si>
  <si>
    <r>
      <t xml:space="preserve">1. Open the application and log in 
2. Select Branch: AHMEDABAD, Export Type: Export Sea, FY 2025–2026, click OK.
3. Navigate to </t>
    </r>
    <r>
      <rPr>
        <b/>
        <sz val="11"/>
        <color theme="1"/>
        <rFont val="Calibri"/>
        <family val="2"/>
        <scheme val="minor"/>
      </rPr>
      <t xml:space="preserve">Masters - Misc Master -&gt; Notes Master
</t>
    </r>
    <r>
      <rPr>
        <sz val="11"/>
        <color theme="1"/>
        <rFont val="Calibri"/>
        <family val="2"/>
        <scheme val="minor"/>
      </rPr>
      <t xml:space="preserve">4. Leave the </t>
    </r>
    <r>
      <rPr>
        <b/>
        <sz val="11"/>
        <color theme="1"/>
        <rFont val="Calibri"/>
        <family val="2"/>
        <scheme val="minor"/>
      </rPr>
      <t xml:space="preserve">Notes Master </t>
    </r>
    <r>
      <rPr>
        <sz val="11"/>
        <color theme="1"/>
        <rFont val="Calibri"/>
        <family val="2"/>
        <scheme val="minor"/>
      </rPr>
      <t>page idle for long time and observe the system behaviour.</t>
    </r>
  </si>
  <si>
    <t>1. Manual input should not be allowed in the Segment field.
2. User should be able to select Segment only from the dropdown.
3. If any invalid value is typed, the textbox should auto-clear.
4. When different Segment values are selected:
 -&gt; Corresponding defined textboxes should become disabled (non-editable).
 5. When no Segment is selected (dropdown shows Select):
 -&gt; All textboxes in the Charges tab should return to default state.
 -&gt; All textboxes should become editable.</t>
  </si>
  <si>
    <t>BA-336</t>
  </si>
  <si>
    <t>BA-337</t>
  </si>
  <si>
    <t>BA-339</t>
  </si>
  <si>
    <t>BA-340</t>
  </si>
  <si>
    <t>BA-341</t>
  </si>
  <si>
    <t>BA-342</t>
  </si>
  <si>
    <t>BA-343</t>
  </si>
  <si>
    <t>Vessel_Master_01</t>
  </si>
  <si>
    <t xml:space="preserve">Vessel Info -&gt; Vessel
</t>
  </si>
  <si>
    <r>
      <t xml:space="preserve">Validate the functionality of </t>
    </r>
    <r>
      <rPr>
        <b/>
        <sz val="11"/>
        <color theme="1"/>
        <rFont val="Calibri"/>
        <family val="2"/>
        <scheme val="minor"/>
      </rPr>
      <t xml:space="preserve">Vessel, </t>
    </r>
    <r>
      <rPr>
        <sz val="11"/>
        <color theme="1"/>
        <rFont val="Calibri"/>
        <family val="2"/>
        <scheme val="minor"/>
      </rPr>
      <t xml:space="preserve">Under </t>
    </r>
    <r>
      <rPr>
        <b/>
        <sz val="11"/>
        <color theme="1"/>
        <rFont val="Calibri"/>
        <family val="2"/>
        <scheme val="minor"/>
      </rPr>
      <t>Vessel Info</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</si>
  <si>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Vessel Info</t>
    </r>
    <r>
      <rPr>
        <sz val="11"/>
        <color theme="1"/>
        <rFont val="Calibri"/>
        <family val="2"/>
        <scheme val="minor"/>
      </rPr>
      <t xml:space="preserve">-&gt; </t>
    </r>
    <r>
      <rPr>
        <b/>
        <sz val="11"/>
        <color theme="1"/>
        <rFont val="Calibri"/>
        <family val="2"/>
        <scheme val="minor"/>
      </rPr>
      <t>Vessel</t>
    </r>
  </si>
  <si>
    <r>
      <t xml:space="preserve">1. On Mouse Hovering action on </t>
    </r>
    <r>
      <rPr>
        <b/>
        <sz val="11"/>
        <color theme="1"/>
        <rFont val="Calibri"/>
        <family val="2"/>
        <scheme val="minor"/>
      </rPr>
      <t xml:space="preserve">Masters -&gt; Vessel Info -&gt; Vessel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</si>
  <si>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Vessel </t>
    </r>
    <r>
      <rPr>
        <sz val="11"/>
        <color theme="1"/>
        <rFont val="Calibri"/>
        <family val="2"/>
        <scheme val="minor"/>
      </rPr>
      <t>Page is opening properly.</t>
    </r>
  </si>
  <si>
    <t>Vessel_Master_02</t>
  </si>
  <si>
    <r>
      <t xml:space="preserve">Validate the functionality of the </t>
    </r>
    <r>
      <rPr>
        <b/>
        <sz val="11"/>
        <color theme="1"/>
        <rFont val="Calibri"/>
        <family val="2"/>
        <scheme val="minor"/>
      </rPr>
      <t>Search</t>
    </r>
    <r>
      <rPr>
        <sz val="11"/>
        <color theme="1"/>
        <rFont val="Calibri"/>
        <family val="2"/>
        <scheme val="minor"/>
      </rPr>
      <t xml:space="preserve"> textbox in the left-side panel on the </t>
    </r>
    <r>
      <rPr>
        <b/>
        <sz val="11"/>
        <color theme="1"/>
        <rFont val="Calibri"/>
        <family val="2"/>
        <scheme val="minor"/>
      </rPr>
      <t>Vessel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</si>
  <si>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Info-&gt; Vessel
</t>
    </r>
    <r>
      <rPr>
        <sz val="11"/>
        <color theme="1"/>
        <rFont val="Calibri"/>
        <family val="2"/>
        <scheme val="minor"/>
      </rPr>
      <t>4. Enter different search keywords in the Search textbox.
5. Observe the filtered records in the left-side list panel.</t>
    </r>
  </si>
  <si>
    <t>Search Data:
 -&gt; ANTWERPEN EXPRESS</t>
  </si>
  <si>
    <t>1. Search textbox should return all matching records for:
 -&gt; Full match
 -&gt; Partial match (any word in the record name)
 -&gt; Case-insensitive input
2. Records should dynamically filter based on the entered search keyword.
3. If no record matches the keyword, the list should appear empty.</t>
  </si>
  <si>
    <r>
      <t xml:space="preserve">1. The Search textbox is working only for the first word of the record name.
</t>
    </r>
    <r>
      <rPr>
        <b/>
        <sz val="11"/>
        <color theme="1"/>
        <rFont val="Calibri"/>
        <family val="2"/>
        <scheme val="minor"/>
      </rPr>
      <t>Example record: 'ANTWERPEN EXPRESS' recrod
-&gt; Searching 'ANTWERPEN' → Return Result
 -&gt; Searching 'EXPRESS' →  No result</t>
    </r>
  </si>
  <si>
    <t>Vessel_Master_03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</si>
  <si>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</si>
  <si>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Info-&gt; Vessel Master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</si>
  <si>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Vessel_Master_04</t>
  </si>
  <si>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corresponding textboxes of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</si>
  <si>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and click OK.
3. Navigate to </t>
    </r>
    <r>
      <rPr>
        <b/>
        <sz val="11"/>
        <color theme="1"/>
        <rFont val="Calibri"/>
        <family val="2"/>
        <scheme val="minor"/>
      </rPr>
      <t>Masters -&gt;  Vessel Info -&gt; Vessel Master</t>
    </r>
    <r>
      <rPr>
        <sz val="11"/>
        <color theme="1"/>
        <rFont val="Calibri"/>
        <family val="2"/>
        <scheme val="minor"/>
      </rPr>
      <t xml:space="preserve">
4. From the left-side list panel, select any record.
5. Verify the selected record details displayed in the </t>
    </r>
    <r>
      <rPr>
        <b/>
        <sz val="11"/>
        <color theme="1"/>
        <rFont val="Calibri"/>
        <family val="2"/>
        <scheme val="minor"/>
      </rPr>
      <t xml:space="preserve">Vessel Master </t>
    </r>
    <r>
      <rPr>
        <sz val="11"/>
        <color theme="1"/>
        <rFont val="Calibri"/>
        <family val="2"/>
        <scheme val="minor"/>
      </rPr>
      <t>Page.
6. Ensure the selected record is not removed from the left list.
7. Select another record from the left panel.
8. Verify the textboxes update with the newly selected record and the previous record loses its highlight.</t>
    </r>
  </si>
  <si>
    <r>
      <t xml:space="preserve">1. Selected record details should be displayed correctly in the </t>
    </r>
    <r>
      <rPr>
        <b/>
        <sz val="11"/>
        <color theme="1"/>
        <rFont val="Calibri"/>
        <family val="2"/>
        <scheme val="minor"/>
      </rPr>
      <t>Vessel Master</t>
    </r>
    <r>
      <rPr>
        <sz val="11"/>
        <color theme="1"/>
        <rFont val="Calibri"/>
        <family val="2"/>
        <scheme val="minor"/>
      </rPr>
      <t xml:space="preserve"> textboxes.
2. Selected record should remain visible in the left-side list.
3. On selecting another record:
 -&gt; Textboxes should refresh with the new record’s data.
 -&gt; Previously selected record should lose highlight.
 -&gt; No records should disappear from the list.</t>
    </r>
  </si>
  <si>
    <t>Vessel_Master_05</t>
  </si>
  <si>
    <r>
      <t xml:space="preserve">Validate the functionality of </t>
    </r>
    <r>
      <rPr>
        <b/>
        <sz val="11"/>
        <color theme="1"/>
        <rFont val="Calibri"/>
        <family val="2"/>
        <scheme val="minor"/>
      </rPr>
      <t>'Vessel Name'</t>
    </r>
    <r>
      <rPr>
        <sz val="11"/>
        <color theme="1"/>
        <rFont val="Calibri"/>
        <family val="2"/>
        <scheme val="minor"/>
      </rPr>
      <t xml:space="preserve"> textbox in the </t>
    </r>
    <r>
      <rPr>
        <b/>
        <sz val="11"/>
        <color theme="1"/>
        <rFont val="Calibri"/>
        <family val="2"/>
        <scheme val="minor"/>
      </rPr>
      <t>Vessel</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</si>
  <si>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Vessel Info -&gt; Vessel Master</t>
    </r>
    <r>
      <rPr>
        <sz val="11"/>
        <color theme="1"/>
        <rFont val="Calibri"/>
        <family val="2"/>
        <scheme val="minor"/>
      </rPr>
      <t xml:space="preserve">
4. Enter Valid &amp; Invalid Data in </t>
    </r>
    <r>
      <rPr>
        <b/>
        <sz val="11"/>
        <color theme="1"/>
        <rFont val="Calibri"/>
        <family val="2"/>
        <scheme val="minor"/>
      </rPr>
      <t>Vessel</t>
    </r>
    <r>
      <rPr>
        <sz val="11"/>
        <color theme="1"/>
        <rFont val="Calibri"/>
        <family val="2"/>
        <scheme val="minor"/>
      </rPr>
      <t xml:space="preserve"> </t>
    </r>
    <r>
      <rPr>
        <b/>
        <sz val="11"/>
        <color theme="1"/>
        <rFont val="Calibri"/>
        <family val="2"/>
        <scheme val="minor"/>
      </rPr>
      <t xml:space="preserve">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</si>
  <si>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Vessel Name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</si>
  <si>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Vessel</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should accept alphanumeric values.
2. </t>
    </r>
    <r>
      <rPr>
        <b/>
        <sz val="11"/>
        <color theme="1"/>
        <rFont val="Calibri"/>
        <family val="2"/>
        <scheme val="minor"/>
      </rPr>
      <t>Vessel Name</t>
    </r>
    <r>
      <rPr>
        <sz val="11"/>
        <color theme="1"/>
        <rFont val="Calibri"/>
        <family val="2"/>
        <scheme val="minor"/>
      </rPr>
      <t xml:space="preserve"> textbox should not accept special character value, only space value and combination of character value.
2. The textbox length should be limited to 100 characters.</t>
    </r>
  </si>
  <si>
    <r>
      <t xml:space="preserve">1. The </t>
    </r>
    <r>
      <rPr>
        <b/>
        <sz val="11"/>
        <color theme="1"/>
        <rFont val="Calibri"/>
        <family val="2"/>
        <scheme val="minor"/>
      </rPr>
      <t>Vessel Name</t>
    </r>
    <r>
      <rPr>
        <sz val="11"/>
        <color theme="1"/>
        <rFont val="Calibri"/>
        <family val="2"/>
        <scheme val="minor"/>
      </rPr>
      <t xml:space="preserve"> textbox accepts:
 -&gt; Alphabetic values
 -&gt; Numeric values
 -&gt; Special character values
2. The 100-character limit is implemented correctly.
Note: </t>
    </r>
    <r>
      <rPr>
        <b/>
        <sz val="11"/>
        <color theme="1"/>
        <rFont val="Calibri"/>
        <family val="2"/>
        <scheme val="minor"/>
      </rPr>
      <t>As per business Rule, Name textbox should accept alphanumeric value and following special characters: Dot (.), Comma (,), Percentage (%), Ampersand (&amp;), Hyphen (-),  Underscore (_), Forward slash (/), Backward slash (\)</t>
    </r>
  </si>
  <si>
    <t>Vessel_Master_06</t>
  </si>
  <si>
    <r>
      <t xml:space="preserve">Validate the functionality of </t>
    </r>
    <r>
      <rPr>
        <b/>
        <sz val="11"/>
        <color theme="1"/>
        <rFont val="Calibri"/>
        <family val="2"/>
        <scheme val="minor"/>
      </rPr>
      <t>Country</t>
    </r>
    <r>
      <rPr>
        <sz val="11"/>
        <color theme="1"/>
        <rFont val="Calibri"/>
        <family val="2"/>
        <scheme val="minor"/>
      </rPr>
      <t xml:space="preserve"> textbox on the Port Page.</t>
    </r>
  </si>
  <si>
    <r>
      <t xml:space="preserve">Validate the functionality of </t>
    </r>
    <r>
      <rPr>
        <b/>
        <sz val="11"/>
        <color theme="1"/>
        <rFont val="Calibri"/>
        <family val="2"/>
        <scheme val="minor"/>
      </rPr>
      <t>Country</t>
    </r>
    <r>
      <rPr>
        <sz val="11"/>
        <color theme="1"/>
        <rFont val="Calibri"/>
        <family val="2"/>
        <scheme val="minor"/>
      </rPr>
      <t xml:space="preserve"> textbox on the </t>
    </r>
    <r>
      <rPr>
        <b/>
        <sz val="11"/>
        <color theme="1"/>
        <rFont val="Calibri"/>
        <family val="2"/>
        <scheme val="minor"/>
      </rPr>
      <t>Vessel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</si>
  <si>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Vessel Info -&gt; Vessel Master</t>
    </r>
    <r>
      <rPr>
        <sz val="11"/>
        <color theme="1"/>
        <rFont val="Calibri"/>
        <family val="2"/>
        <scheme val="minor"/>
      </rPr>
      <t xml:space="preserve">
4.  select a value from the Autosuggest dropdown list and oberve the system behaviour.
5. Verify whether the Country Code textbox (beside Country field) 
 -&gt; Auto-populates the correct code
 -&gt; Is non-editable</t>
    </r>
  </si>
  <si>
    <r>
      <t xml:space="preserve">1. The </t>
    </r>
    <r>
      <rPr>
        <b/>
        <sz val="11"/>
        <color theme="1"/>
        <rFont val="Calibri"/>
        <family val="2"/>
        <scheme val="minor"/>
      </rPr>
      <t>Country</t>
    </r>
    <r>
      <rPr>
        <sz val="11"/>
        <color theme="1"/>
        <rFont val="Calibri"/>
        <family val="2"/>
        <scheme val="minor"/>
      </rPr>
      <t xml:space="preserve"> textbox should not accept manual input of any kind.
2. The user should be able to select a </t>
    </r>
    <r>
      <rPr>
        <b/>
        <sz val="11"/>
        <color theme="1"/>
        <rFont val="Calibri"/>
        <family val="2"/>
        <scheme val="minor"/>
      </rPr>
      <t>Country</t>
    </r>
    <r>
      <rPr>
        <sz val="11"/>
        <color theme="1"/>
        <rFont val="Calibri"/>
        <family val="2"/>
        <scheme val="minor"/>
      </rPr>
      <t xml:space="preserve"> value only from the autosuggest list using the (%) symbol.
3. If the user types any invalid or non-suggested value, the textbox should auto-clear.
4. Upon selecting a valid Country:
 -&gt; The </t>
    </r>
    <r>
      <rPr>
        <b/>
        <sz val="11"/>
        <color theme="1"/>
        <rFont val="Calibri"/>
        <family val="2"/>
        <scheme val="minor"/>
      </rPr>
      <t>Country Code</t>
    </r>
    <r>
      <rPr>
        <sz val="11"/>
        <color theme="1"/>
        <rFont val="Calibri"/>
        <family val="2"/>
        <scheme val="minor"/>
      </rPr>
      <t xml:space="preserve"> textbox must auto-populate with the correct code.
5. The Country Code textbox must be non-editable</t>
    </r>
  </si>
  <si>
    <r>
      <t xml:space="preserve">1. </t>
    </r>
    <r>
      <rPr>
        <b/>
        <sz val="11"/>
        <color theme="1"/>
        <rFont val="Calibri"/>
        <family val="2"/>
        <scheme val="minor"/>
      </rPr>
      <t>Country</t>
    </r>
    <r>
      <rPr>
        <sz val="11"/>
        <color theme="1"/>
        <rFont val="Calibri"/>
        <family val="2"/>
        <scheme val="minor"/>
      </rPr>
      <t xml:space="preserve"> selection from autosuggest works correctly.
2. </t>
    </r>
    <r>
      <rPr>
        <b/>
        <sz val="11"/>
        <color theme="1"/>
        <rFont val="Calibri"/>
        <family val="2"/>
        <scheme val="minor"/>
      </rPr>
      <t>Country Code</t>
    </r>
    <r>
      <rPr>
        <sz val="11"/>
        <color theme="1"/>
        <rFont val="Calibri"/>
        <family val="2"/>
        <scheme val="minor"/>
      </rPr>
      <t xml:space="preserve"> field remains blank and does not auto-populate after selecting the Country.</t>
    </r>
  </si>
  <si>
    <t>Vessel_Master_07</t>
  </si>
  <si>
    <r>
      <t xml:space="preserve">Validate the functionality of </t>
    </r>
    <r>
      <rPr>
        <b/>
        <sz val="11"/>
        <color theme="1"/>
        <rFont val="Calibri"/>
        <family val="2"/>
        <scheme val="minor"/>
      </rPr>
      <t>'IMO No'</t>
    </r>
    <r>
      <rPr>
        <sz val="11"/>
        <color theme="1"/>
        <rFont val="Calibri"/>
        <family val="2"/>
        <scheme val="minor"/>
      </rPr>
      <t xml:space="preserve"> textbox in the </t>
    </r>
    <r>
      <rPr>
        <b/>
        <sz val="11"/>
        <color theme="1"/>
        <rFont val="Calibri"/>
        <family val="2"/>
        <scheme val="minor"/>
      </rPr>
      <t>Vessel</t>
    </r>
    <r>
      <rPr>
        <sz val="11"/>
        <color theme="1"/>
        <rFont val="Calibri"/>
        <family val="2"/>
        <scheme val="minor"/>
      </rPr>
      <t xml:space="preserve"> </t>
    </r>
    <r>
      <rPr>
        <b/>
        <sz val="11"/>
        <color theme="1"/>
        <rFont val="Calibri"/>
        <family val="2"/>
        <scheme val="minor"/>
      </rPr>
      <t xml:space="preserve">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</si>
  <si>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Vessel Info -&gt; Vessel Master</t>
    </r>
    <r>
      <rPr>
        <sz val="11"/>
        <color theme="1"/>
        <rFont val="Calibri"/>
        <family val="2"/>
        <scheme val="minor"/>
      </rPr>
      <t xml:space="preserve">
4. Enter Valid &amp; Invalid Data in </t>
    </r>
    <r>
      <rPr>
        <b/>
        <sz val="11"/>
        <color theme="1"/>
        <rFont val="Calibri"/>
        <family val="2"/>
        <scheme val="minor"/>
      </rPr>
      <t xml:space="preserve">IMO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</si>
  <si>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IMO No
</t>
    </r>
    <r>
      <rPr>
        <b/>
        <sz val="11"/>
        <color theme="1"/>
        <rFont val="Calibri"/>
        <family val="2"/>
        <scheme val="minor"/>
      </rPr>
      <t xml:space="preserve"> Valid Data: </t>
    </r>
    <r>
      <rPr>
        <sz val="11"/>
        <color theme="1"/>
        <rFont val="Calibri"/>
        <family val="2"/>
        <scheme val="minor"/>
      </rPr>
      <t xml:space="preserve">Alphanumeric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</si>
  <si>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IMO No</t>
    </r>
    <r>
      <rPr>
        <sz val="11"/>
        <color theme="1"/>
        <rFont val="Calibri"/>
        <family val="2"/>
        <scheme val="minor"/>
      </rPr>
      <t xml:space="preserve"> textbox should accept alphanumeric values.
2. </t>
    </r>
    <r>
      <rPr>
        <b/>
        <sz val="11"/>
        <color theme="1"/>
        <rFont val="Calibri"/>
        <family val="2"/>
        <scheme val="minor"/>
      </rPr>
      <t>IMO No</t>
    </r>
    <r>
      <rPr>
        <sz val="11"/>
        <color theme="1"/>
        <rFont val="Calibri"/>
        <family val="2"/>
        <scheme val="minor"/>
      </rPr>
      <t xml:space="preserve"> textbox should not accept special character value, only space value and combination of character value.
2. The textbox length should be limited to 100 characters.</t>
    </r>
  </si>
  <si>
    <t>Vessel_Master_08</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</si>
  <si>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Vessel Master </t>
    </r>
    <r>
      <rPr>
        <sz val="11"/>
        <color theme="1"/>
        <rFont val="Calibri"/>
        <family val="2"/>
        <scheme val="minor"/>
      </rPr>
      <t>Page.</t>
    </r>
  </si>
  <si>
    <t>Vessel_Master_09</t>
  </si>
  <si>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in the</t>
    </r>
    <r>
      <rPr>
        <b/>
        <sz val="11"/>
        <color theme="1"/>
        <rFont val="Calibri"/>
        <family val="2"/>
        <scheme val="minor"/>
      </rPr>
      <t xml:space="preserve"> Vessel Master </t>
    </r>
    <r>
      <rPr>
        <sz val="11"/>
        <color theme="1"/>
        <rFont val="Calibri"/>
        <family val="2"/>
        <scheme val="minor"/>
      </rPr>
      <t>Page.</t>
    </r>
  </si>
  <si>
    <t xml:space="preserve">1. As Per Page UI: 
 -&gt; Country 
 is the only mandatory field
</t>
  </si>
  <si>
    <t>1. Record is not saved successfully.
2. Vessel Name field is not marked as mandatory on the UI, unlike other mandatory fields.
3. User cannot save the record without entering Vessel Name.</t>
  </si>
  <si>
    <t>1. As per UI, Country is the only mandatory field.
2. Record should be saved successfully when the Country field is filled.
3. A success confirmation message should be displayed.
4. Saved record should:
 -&gt; Appear in the left-side list
 -&gt; Be searchable and selectable
5. All mandatory fields should be clearly indicated on the UI with a mandatory marker.</t>
  </si>
  <si>
    <t>Vessel_Master_10</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</si>
  <si>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Vessel Master </t>
    </r>
    <r>
      <rPr>
        <sz val="11"/>
        <color theme="1"/>
        <rFont val="Calibri"/>
        <family val="2"/>
        <scheme val="minor"/>
      </rPr>
      <t>Page</t>
    </r>
  </si>
  <si>
    <t xml:space="preserve">1. Fill valid data in all Non-mandatory field textbox and click on save button.
</t>
  </si>
  <si>
    <t>Vessel_Master_11</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</si>
  <si>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Vessel Master</t>
    </r>
    <r>
      <rPr>
        <sz val="11"/>
        <color theme="1"/>
        <rFont val="Calibri"/>
        <family val="2"/>
        <scheme val="minor"/>
      </rPr>
      <t xml:space="preserve"> Page.</t>
    </r>
  </si>
  <si>
    <t>Vessel_Master_12</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</si>
  <si>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</si>
  <si>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4. Enter valid values in non-mandatory fields only.
5. Leave all mandatory fields blank.
6. Click on the Save button.
7. Observe validation messages and save behaviour.</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</si>
  <si>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4. Enter valid data in all mandatory fields only.
5. Leave all non-mandatory fields blank.
6. Click on the Save button.</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</si>
  <si>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 xml:space="preserve">4. Enter valid data in all fields on the </t>
    </r>
    <r>
      <rPr>
        <b/>
        <sz val="11"/>
        <color theme="1"/>
        <rFont val="Calibri"/>
        <family val="2"/>
        <scheme val="minor"/>
      </rPr>
      <t xml:space="preserve">Vessel Master </t>
    </r>
    <r>
      <rPr>
        <sz val="11"/>
        <color theme="1"/>
        <rFont val="Calibri"/>
        <family val="2"/>
        <scheme val="minor"/>
      </rPr>
      <t xml:space="preserve">page.
5. Click on the </t>
    </r>
    <r>
      <rPr>
        <b/>
        <sz val="11"/>
        <color theme="1"/>
        <rFont val="Calibri"/>
        <family val="2"/>
        <scheme val="minor"/>
      </rPr>
      <t xml:space="preserve">Save </t>
    </r>
    <r>
      <rPr>
        <sz val="11"/>
        <color theme="1"/>
        <rFont val="Calibri"/>
        <family val="2"/>
        <scheme val="minor"/>
      </rPr>
      <t>button and observe the system behaviour.</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</si>
  <si>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 xml:space="preserve">4. Enter valid data in all required input fields.
5. Click on the Save button.
6. From the left-side list, select the newly saved record.
7. Observe the value displayed in the </t>
    </r>
    <r>
      <rPr>
        <b/>
        <sz val="11"/>
        <color theme="1"/>
        <rFont val="Calibri"/>
        <family val="2"/>
        <scheme val="minor"/>
      </rPr>
      <t>Entered By</t>
    </r>
    <r>
      <rPr>
        <sz val="11"/>
        <color theme="1"/>
        <rFont val="Calibri"/>
        <family val="2"/>
        <scheme val="minor"/>
      </rPr>
      <t xml:space="preserve"> textbox.</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</si>
  <si>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4. Enter valid data in all required input fields.
5. Click on the Save button.
6. From the left-side list, select the newly saved record.
7. Observe the value displayed in the Entered Date textbox.</t>
    </r>
  </si>
  <si>
    <t>Vessel_Master_13</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</si>
  <si>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</si>
  <si>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Master -&gt; Vessel Master
</t>
    </r>
    <r>
      <rPr>
        <sz val="11"/>
        <color theme="1"/>
        <rFont val="Calibri"/>
        <family val="2"/>
        <scheme val="minor"/>
      </rPr>
      <t xml:space="preserve">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By</t>
    </r>
    <r>
      <rPr>
        <sz val="11"/>
        <color theme="1"/>
        <rFont val="Calibri"/>
        <family val="2"/>
        <scheme val="minor"/>
      </rPr>
      <t xml:space="preserve"> textbox.</t>
    </r>
  </si>
  <si>
    <t>Vessel_Master_14</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</si>
  <si>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</si>
  <si>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Vessel Info -&gt; Vessel Master</t>
    </r>
    <r>
      <rPr>
        <sz val="11"/>
        <color theme="1"/>
        <rFont val="Calibri"/>
        <family val="2"/>
        <scheme val="minor"/>
      </rPr>
      <t xml:space="preserve">
4. Select an existing record from the left-side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left-side list.
8. Observe the value displayed in the </t>
    </r>
    <r>
      <rPr>
        <b/>
        <sz val="11"/>
        <color theme="1"/>
        <rFont val="Calibri"/>
        <family val="2"/>
        <scheme val="minor"/>
      </rPr>
      <t>Modified Date</t>
    </r>
    <r>
      <rPr>
        <sz val="11"/>
        <color theme="1"/>
        <rFont val="Calibri"/>
        <family val="2"/>
        <scheme val="minor"/>
      </rPr>
      <t xml:space="preserve"> textbox.</t>
    </r>
  </si>
  <si>
    <t>Vessel_Master_15</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</si>
  <si>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</si>
  <si>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Vessel Info -&gt; Vessel Master
</t>
    </r>
    <r>
      <rPr>
        <sz val="11"/>
        <color theme="1"/>
        <rFont val="Calibri"/>
        <family val="2"/>
        <scheme val="minor"/>
      </rPr>
      <t>4. Select an existing record from the left-side list.
5. Modify one or more fields with valid new data.
6. Click on the Modify button.
7. Re-select the same record and verify updated values.</t>
    </r>
  </si>
  <si>
    <t>Vessel_Master_16</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</si>
  <si>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</si>
  <si>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Vessel Info -&gt; Vessel Master
</t>
    </r>
    <r>
      <rPr>
        <sz val="11"/>
        <color theme="1"/>
        <rFont val="Calibri"/>
        <family val="2"/>
        <scheme val="minor"/>
      </rPr>
      <t>4. Enter values in all or few input fields.
5. Click the Clear button and observe the system behavior.</t>
    </r>
  </si>
  <si>
    <t>Vessel_Master_17</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</si>
  <si>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Vessel Master </t>
    </r>
    <r>
      <rPr>
        <sz val="11"/>
        <color theme="1"/>
        <rFont val="Calibri"/>
        <family val="2"/>
        <scheme val="minor"/>
      </rPr>
      <t>Page.</t>
    </r>
  </si>
  <si>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Vessel Master </t>
    </r>
    <r>
      <rPr>
        <sz val="11"/>
        <color theme="1"/>
        <rFont val="Calibri"/>
        <family val="2"/>
        <scheme val="minor"/>
      </rPr>
      <t>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</si>
  <si>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Vessel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</si>
  <si>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Vessel Info -&gt; Vessel Master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</si>
  <si>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Vessel Master</t>
    </r>
    <r>
      <rPr>
        <sz val="11"/>
        <color theme="1"/>
        <rFont val="Calibri"/>
        <family val="2"/>
        <scheme val="minor"/>
      </rPr>
      <t xml:space="preserve"> page should remain visible across all supported screen sizes.
2. The page must remain usable and properly readable on smaller screen resolutions.
3. The page must behave as a fully responsive interface.</t>
    </r>
  </si>
  <si>
    <r>
      <t xml:space="preserve">1. Open the application and log in 
2. Select Branch: AHMEDABAD, Export Type: Export Sea, FY 2025–2026, click OK.
3. Navigate to </t>
    </r>
    <r>
      <rPr>
        <b/>
        <sz val="11"/>
        <color theme="1"/>
        <rFont val="Calibri"/>
        <family val="2"/>
        <scheme val="minor"/>
      </rPr>
      <t xml:space="preserve">Masters - Vessel Info -&gt; Vessel Master
</t>
    </r>
    <r>
      <rPr>
        <sz val="11"/>
        <color theme="1"/>
        <rFont val="Calibri"/>
        <family val="2"/>
        <scheme val="minor"/>
      </rPr>
      <t>4. Use keyword button to fill the foam and observe the system behaviour.</t>
    </r>
  </si>
  <si>
    <t>Vessel_Master_18</t>
  </si>
  <si>
    <t>Vessel_Master_19</t>
  </si>
  <si>
    <r>
      <t xml:space="preserve">1. Open the application and log in 
2. Select Branch: AHMEDABAD, Export Type: Export Sea, FY 2025–2026, click OK.
3. Navigate to </t>
    </r>
    <r>
      <rPr>
        <b/>
        <sz val="11"/>
        <color theme="1"/>
        <rFont val="Calibri"/>
        <family val="2"/>
        <scheme val="minor"/>
      </rPr>
      <t xml:space="preserve">Masters - Vessel Info -&gt; Vessel Master
</t>
    </r>
    <r>
      <rPr>
        <sz val="11"/>
        <color theme="1"/>
        <rFont val="Calibri"/>
        <family val="2"/>
        <scheme val="minor"/>
      </rPr>
      <t xml:space="preserve">4. Leave the </t>
    </r>
    <r>
      <rPr>
        <b/>
        <sz val="11"/>
        <color theme="1"/>
        <rFont val="Calibri"/>
        <family val="2"/>
        <scheme val="minor"/>
      </rPr>
      <t xml:space="preserve">Notes Master </t>
    </r>
    <r>
      <rPr>
        <sz val="11"/>
        <color theme="1"/>
        <rFont val="Calibri"/>
        <family val="2"/>
        <scheme val="minor"/>
      </rPr>
      <t>page idle for long time and observe the system behaviour.</t>
    </r>
  </si>
  <si>
    <t>Sea_Charge_Master_59</t>
  </si>
  <si>
    <t>Misc Master - Pricniple Line HBL Master</t>
  </si>
  <si>
    <t>Misc Master - Notes, Terms &amp; Conditions</t>
  </si>
  <si>
    <t>Schedule_Master_01</t>
  </si>
  <si>
    <t xml:space="preserve">Vessel Info -&gt; Schedule
</t>
  </si>
  <si>
    <r>
      <t xml:space="preserve">Validate the functionality of </t>
    </r>
    <r>
      <rPr>
        <b/>
        <sz val="11"/>
        <color theme="1"/>
        <rFont val="Calibri"/>
        <family val="2"/>
        <scheme val="minor"/>
      </rPr>
      <t xml:space="preserve">Schedule, </t>
    </r>
    <r>
      <rPr>
        <sz val="11"/>
        <color theme="1"/>
        <rFont val="Calibri"/>
        <family val="2"/>
        <scheme val="minor"/>
      </rPr>
      <t xml:space="preserve">Under </t>
    </r>
    <r>
      <rPr>
        <b/>
        <sz val="11"/>
        <color theme="1"/>
        <rFont val="Calibri"/>
        <family val="2"/>
        <scheme val="minor"/>
      </rPr>
      <t>Vessel Info</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</si>
  <si>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Vessel Info</t>
    </r>
    <r>
      <rPr>
        <sz val="11"/>
        <color theme="1"/>
        <rFont val="Calibri"/>
        <family val="2"/>
        <scheme val="minor"/>
      </rPr>
      <t xml:space="preserve">-&gt; </t>
    </r>
    <r>
      <rPr>
        <b/>
        <sz val="11"/>
        <color theme="1"/>
        <rFont val="Calibri"/>
        <family val="2"/>
        <scheme val="minor"/>
      </rPr>
      <t>Schedule</t>
    </r>
  </si>
  <si>
    <r>
      <t xml:space="preserve">1. On Mouse Hovering action on </t>
    </r>
    <r>
      <rPr>
        <b/>
        <sz val="11"/>
        <color theme="1"/>
        <rFont val="Calibri"/>
        <family val="2"/>
        <scheme val="minor"/>
      </rPr>
      <t xml:space="preserve">Masters -&gt; Vessel Info -&gt; Schedule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</si>
  <si>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Schedule </t>
    </r>
    <r>
      <rPr>
        <sz val="11"/>
        <color theme="1"/>
        <rFont val="Calibri"/>
        <family val="2"/>
        <scheme val="minor"/>
      </rPr>
      <t>Page is opening properly.</t>
    </r>
  </si>
  <si>
    <t>Schedule_Master_02</t>
  </si>
  <si>
    <r>
      <t xml:space="preserve">1. After filling all fields, clicking Add successfully saves the record in the grid and TOS Term value is missing in the Grid.
2. On selecting the added grid record </t>
    </r>
    <r>
      <rPr>
        <b/>
        <sz val="11"/>
        <color theme="1"/>
        <rFont val="Calibri"/>
        <family val="2"/>
        <scheme val="minor"/>
      </rPr>
      <t>Type, TOS Term</t>
    </r>
    <r>
      <rPr>
        <sz val="11"/>
        <color theme="1"/>
        <rFont val="Calibri"/>
        <family val="2"/>
        <scheme val="minor"/>
      </rPr>
      <t xml:space="preserve"> and </t>
    </r>
    <r>
      <rPr>
        <b/>
        <sz val="11"/>
        <color theme="1"/>
        <rFont val="Calibri"/>
        <family val="2"/>
        <scheme val="minor"/>
      </rPr>
      <t>Cost BAF</t>
    </r>
    <r>
      <rPr>
        <sz val="11"/>
        <color theme="1"/>
        <rFont val="Calibri"/>
        <family val="2"/>
        <scheme val="minor"/>
      </rPr>
      <t xml:space="preserve"> textbox values are not reflecting, while all other textbox values are populated correctly.
3. Delete action displays a confirmation popup and works as expected.
4. After adding a record, Charges tab textboxes are cleared correctly</t>
    </r>
    <r>
      <rPr>
        <b/>
        <sz val="11"/>
        <color theme="1"/>
        <rFont val="Calibri"/>
        <family val="2"/>
        <scheme val="minor"/>
      </rPr>
      <t xml:space="preserve"> except the Chosen File field</t>
    </r>
    <r>
      <rPr>
        <sz val="11"/>
        <color theme="1"/>
        <rFont val="Calibri"/>
        <family val="2"/>
        <scheme val="minor"/>
      </rPr>
      <t>, and the following fields remain populated for new charges entry:
 -&gt; Origin Country
 -&gt; Origin Port
 -&gt; Dstn. Country
 -&gt; Dstn. Port
 -&gt; Tranship. Port
 -&gt; Who Routed
 -&gt; Segment</t>
    </r>
  </si>
  <si>
    <t>1. Open the application and log in 
2. Select Branch: AHMEDABAD, Export Type: Export Sea, FY 2025–2026, click OK.
3. Navigate to Masters -&gt; Charge Master -&gt; Sea Charge Master
4. Select any record from the left-side list panel.
5. Verify that the corresponding record is displayed in the Grid.
6. Click Select on the record displayed in the Grid.
7. Verify that the selected Grid record is reflected correctly in the corresponding textboxes.
8. Verify that the Total Entry Count label displays the correct number of records available in the Grid.</t>
  </si>
  <si>
    <t>1. As per the use case, the Vessel UID textbox should be disabled, non-editable, and its value should be auto-populated.</t>
  </si>
  <si>
    <t>1. The Vessel UID textbox is disabled, non-editable, and auto-populated.</t>
  </si>
  <si>
    <t>Schedule_Master_03</t>
  </si>
  <si>
    <r>
      <t xml:space="preserve">Textbox - </t>
    </r>
    <r>
      <rPr>
        <b/>
        <sz val="11"/>
        <color theme="1"/>
        <rFont val="Calibri"/>
        <family val="2"/>
        <scheme val="minor"/>
      </rPr>
      <t>Vessel</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ALS SUMIRE
-&gt; MOL GATEWAY etc.</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</si>
  <si>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Vessel </t>
    </r>
    <r>
      <rPr>
        <sz val="11"/>
        <color theme="1"/>
        <rFont val="Calibri"/>
        <family val="2"/>
        <scheme val="minor"/>
      </rPr>
      <t>textbox, try entering manual inputs.
5. Use the (%) symbol to trigger the autosuggest list.
6. Select a value from the autosuggest list and observe the system behavior.
7. Select and deselect the checkbox beside the Vessel textbox.</t>
    </r>
  </si>
  <si>
    <r>
      <t xml:space="preserve">1. Manual input should not be allowed in the </t>
    </r>
    <r>
      <rPr>
        <b/>
        <sz val="11"/>
        <color theme="1"/>
        <rFont val="Calibri"/>
        <family val="2"/>
        <scheme val="minor"/>
      </rPr>
      <t>Vessel</t>
    </r>
    <r>
      <rPr>
        <sz val="11"/>
        <color theme="1"/>
        <rFont val="Calibri"/>
        <family val="2"/>
        <scheme val="minor"/>
      </rPr>
      <t xml:space="preserve"> textbox.
2. The user should be able to select a </t>
    </r>
    <r>
      <rPr>
        <b/>
        <sz val="11"/>
        <color theme="1"/>
        <rFont val="Calibri"/>
        <family val="2"/>
        <scheme val="minor"/>
      </rPr>
      <t xml:space="preserve">Vessel value </t>
    </r>
    <r>
      <rPr>
        <sz val="11"/>
        <color theme="1"/>
        <rFont val="Calibri"/>
        <family val="2"/>
        <scheme val="minor"/>
      </rPr>
      <t xml:space="preserve">only from the autosuggest list using the % symbol.
3. If the user enters an invalid value (not matching autosuggest items), the textbox should automatically clear.
4. The autosuggest list should display relevant values when valid starting characters are entered.
5. The </t>
    </r>
    <r>
      <rPr>
        <b/>
        <sz val="11"/>
        <color theme="1"/>
        <rFont val="Calibri"/>
        <family val="2"/>
        <scheme val="minor"/>
      </rPr>
      <t xml:space="preserve">checkbox beside the Vessel textbox </t>
    </r>
    <r>
      <rPr>
        <sz val="11"/>
        <color theme="1"/>
        <rFont val="Calibri"/>
        <family val="2"/>
        <scheme val="minor"/>
      </rPr>
      <t>should be selectable and deselectable as per the user’s requirement.</t>
    </r>
  </si>
  <si>
    <r>
      <t xml:space="preserve">1. The functionality is working as expected.
2. </t>
    </r>
    <r>
      <rPr>
        <b/>
        <sz val="11"/>
        <color theme="1"/>
        <rFont val="Calibri"/>
        <family val="2"/>
        <scheme val="minor"/>
      </rPr>
      <t>Vessel values</t>
    </r>
    <r>
      <rPr>
        <sz val="11"/>
        <color theme="1"/>
        <rFont val="Calibri"/>
        <family val="2"/>
        <scheme val="minor"/>
      </rPr>
      <t xml:space="preserve"> can be selected only from the autosuggest list.
3. </t>
    </r>
    <r>
      <rPr>
        <b/>
        <sz val="11"/>
        <color theme="1"/>
        <rFont val="Calibri"/>
        <family val="2"/>
        <scheme val="minor"/>
      </rPr>
      <t xml:space="preserve">Checkbox </t>
    </r>
    <r>
      <rPr>
        <sz val="11"/>
        <color theme="1"/>
        <rFont val="Calibri"/>
        <family val="2"/>
        <scheme val="minor"/>
      </rPr>
      <t>selection and deselection are working as expected.</t>
    </r>
  </si>
  <si>
    <t>Schedule_Master_04</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</si>
  <si>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VIA Number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</si>
  <si>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VIA Number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</si>
  <si>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VIA Number</t>
    </r>
    <r>
      <rPr>
        <sz val="11"/>
        <color theme="1"/>
        <rFont val="Calibri"/>
        <family val="2"/>
        <scheme val="minor"/>
      </rPr>
      <t xml:space="preserve"> textbox should accept alphanumeric values.
2. </t>
    </r>
    <r>
      <rPr>
        <b/>
        <sz val="11"/>
        <color theme="1"/>
        <rFont val="Calibri"/>
        <family val="2"/>
        <scheme val="minor"/>
      </rPr>
      <t>VIA Number</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</si>
  <si>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VIA Number</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analysis, there is no standard or fixed format defined for the VIA Number; therefore, the textbox allows all types of input including numeric, alphabetic, and special characters.</t>
    </r>
  </si>
  <si>
    <t>Schedule_Master_05</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</si>
  <si>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Rotation Number </t>
    </r>
    <r>
      <rPr>
        <sz val="11"/>
        <color theme="1"/>
        <rFont val="Calibri"/>
        <family val="2"/>
        <scheme val="minor"/>
      </rPr>
      <t>textbox and observe the system behaviour.</t>
    </r>
  </si>
  <si>
    <r>
      <t xml:space="preserve">1. As per the Use case, </t>
    </r>
    <r>
      <rPr>
        <b/>
        <sz val="11"/>
        <color theme="1"/>
        <rFont val="Calibri"/>
        <family val="2"/>
        <scheme val="minor"/>
      </rPr>
      <t>Rotation Number</t>
    </r>
    <r>
      <rPr>
        <sz val="11"/>
        <color theme="1"/>
        <rFont val="Calibri"/>
        <family val="2"/>
        <scheme val="minor"/>
      </rPr>
      <t xml:space="preserve"> textbox should accept alphanumeric values.
2. </t>
    </r>
    <r>
      <rPr>
        <b/>
        <sz val="11"/>
        <color theme="1"/>
        <rFont val="Calibri"/>
        <family val="2"/>
        <scheme val="minor"/>
      </rPr>
      <t>Rotation Number</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</si>
  <si>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Rotation Number</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Rotation Number textbox should accept alphanumeric value and following special characters: Dot (.), Comma (,), Percentage (%), Ampersand (&amp;), Hyphen (-),  Underscore (_), Forward slash (/), Backward slash (\), Colon (:)</t>
    </r>
  </si>
  <si>
    <t>Schedule_Master_06</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</si>
  <si>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Voyage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</si>
  <si>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Rotation Number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</si>
  <si>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Voyage No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</si>
  <si>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Voyage No</t>
    </r>
    <r>
      <rPr>
        <sz val="11"/>
        <color theme="1"/>
        <rFont val="Calibri"/>
        <family val="2"/>
        <scheme val="minor"/>
      </rPr>
      <t xml:space="preserve"> textbox should accept alphanumeric values.
2. </t>
    </r>
    <r>
      <rPr>
        <b/>
        <sz val="11"/>
        <color theme="1"/>
        <rFont val="Calibri"/>
        <family val="2"/>
        <scheme val="minor"/>
      </rPr>
      <t>Voyage No</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</si>
  <si>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Voyage No</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Voyage No textbox should accept alphanumeric value and following special characters: Dot (.), Comma (,), Percentage (%), Ampersand (&amp;), Hyphen (-),  Underscore (_), Forward slash (/), Backward slash (\)</t>
    </r>
  </si>
  <si>
    <t>Schedule_Master_07</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</si>
  <si>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Segment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</si>
  <si>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Segment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FCL
-&gt; CHA FCL EXPORT etc.</t>
    </r>
  </si>
  <si>
    <r>
      <t xml:space="preserve">1. Manual input should not be allowed in the </t>
    </r>
    <r>
      <rPr>
        <b/>
        <sz val="11"/>
        <color theme="1"/>
        <rFont val="Calibri"/>
        <family val="2"/>
        <scheme val="minor"/>
      </rPr>
      <t>Segment</t>
    </r>
    <r>
      <rPr>
        <sz val="11"/>
        <color theme="1"/>
        <rFont val="Calibri"/>
        <family val="2"/>
        <scheme val="minor"/>
      </rPr>
      <t xml:space="preserve"> textbox.
2. The user should be able to select a </t>
    </r>
    <r>
      <rPr>
        <b/>
        <sz val="11"/>
        <color theme="1"/>
        <rFont val="Calibri"/>
        <family val="2"/>
        <scheme val="minor"/>
      </rPr>
      <t xml:space="preserve">Segment value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</si>
  <si>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Segment values</t>
    </r>
    <r>
      <rPr>
        <sz val="11"/>
        <color theme="1"/>
        <rFont val="Calibri"/>
        <family val="2"/>
        <scheme val="minor"/>
      </rPr>
      <t xml:space="preserve"> can be selected only from the autosuggest list.</t>
    </r>
  </si>
  <si>
    <t>Schedule_Master_08</t>
  </si>
  <si>
    <r>
      <t>1. Open the application and log in 
2. Select Branch: AHMEDABAD, Export Type: Export Sea, FY 2025–2026, click OK.
3. Navigate to</t>
    </r>
    <r>
      <rPr>
        <b/>
        <sz val="11"/>
        <color theme="1"/>
        <rFont val="Calibri"/>
        <family val="2"/>
        <scheme val="minor"/>
      </rPr>
      <t xml:space="preserve"> Masters -&gt;  Vessel Info-&gt; Schedule</t>
    </r>
    <r>
      <rPr>
        <sz val="11"/>
        <color theme="1"/>
        <rFont val="Calibri"/>
        <family val="2"/>
        <scheme val="minor"/>
      </rPr>
      <t xml:space="preserve">
4.  In the </t>
    </r>
    <r>
      <rPr>
        <b/>
        <sz val="11"/>
        <color theme="1"/>
        <rFont val="Calibri"/>
        <family val="2"/>
        <scheme val="minor"/>
      </rPr>
      <t>cut off Date</t>
    </r>
    <r>
      <rPr>
        <sz val="11"/>
        <color theme="1"/>
        <rFont val="Calibri"/>
        <family val="2"/>
        <scheme val="minor"/>
      </rPr>
      <t xml:space="preserve"> textbox, try entering manual inputs.
5. Select  </t>
    </r>
    <r>
      <rPr>
        <b/>
        <sz val="11"/>
        <color theme="1"/>
        <rFont val="Calibri"/>
        <family val="2"/>
        <scheme val="minor"/>
      </rPr>
      <t>Cut off Date</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</si>
  <si>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Cut off Date
Manual Inputs:</t>
    </r>
    <r>
      <rPr>
        <sz val="11"/>
        <color theme="1"/>
        <rFont val="Calibri"/>
        <family val="2"/>
        <scheme val="minor"/>
      </rPr>
      <t xml:space="preserve">
 -&gt; 4637826728346784623
 -&gt; 634637423
</t>
    </r>
    <r>
      <rPr>
        <b/>
        <sz val="11"/>
        <color theme="1"/>
        <rFont val="Calibri"/>
        <family val="2"/>
        <scheme val="minor"/>
      </rPr>
      <t>Autosuggest Value:</t>
    </r>
    <r>
      <rPr>
        <sz val="11"/>
        <color theme="1"/>
        <rFont val="Calibri"/>
        <family val="2"/>
        <scheme val="minor"/>
      </rPr>
      <t xml:space="preserve">
 -&gt; 26/12/2025
</t>
    </r>
  </si>
  <si>
    <r>
      <t xml:space="preserve">1. Manual input should not be allowed in the </t>
    </r>
    <r>
      <rPr>
        <b/>
        <sz val="11"/>
        <color theme="1"/>
        <rFont val="Calibri"/>
        <family val="2"/>
        <scheme val="minor"/>
      </rPr>
      <t>Cut off Date</t>
    </r>
    <r>
      <rPr>
        <sz val="11"/>
        <color theme="1"/>
        <rFont val="Calibri"/>
        <family val="2"/>
        <scheme val="minor"/>
      </rPr>
      <t xml:space="preserve"> field.
2. User should be able to select the </t>
    </r>
    <r>
      <rPr>
        <b/>
        <sz val="11"/>
        <color theme="1"/>
        <rFont val="Calibri"/>
        <family val="2"/>
        <scheme val="minor"/>
      </rPr>
      <t>Cut off 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Cut off Date</t>
    </r>
    <r>
      <rPr>
        <sz val="11"/>
        <color theme="1"/>
        <rFont val="Calibri"/>
        <family val="2"/>
        <scheme val="minor"/>
      </rPr>
      <t xml:space="preserve"> textbox character limit should be maximum 10 characters
</t>
    </r>
  </si>
  <si>
    <t>Schedule_Master_09</t>
  </si>
  <si>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Try entering manual values in the </t>
    </r>
    <r>
      <rPr>
        <b/>
        <sz val="11"/>
        <color theme="1"/>
        <rFont val="Calibri"/>
        <family val="2"/>
        <scheme val="minor"/>
      </rPr>
      <t xml:space="preserve">Co Load </t>
    </r>
    <r>
      <rPr>
        <sz val="11"/>
        <color theme="1"/>
        <rFont val="Calibri"/>
        <family val="2"/>
        <scheme val="minor"/>
      </rPr>
      <t xml:space="preserve">textbox.
5. Select a valid value from the </t>
    </r>
    <r>
      <rPr>
        <b/>
        <sz val="11"/>
        <color theme="1"/>
        <rFont val="Calibri"/>
        <family val="2"/>
        <scheme val="minor"/>
      </rPr>
      <t xml:space="preserve">Co Load </t>
    </r>
    <r>
      <rPr>
        <sz val="11"/>
        <color theme="1"/>
        <rFont val="Calibri"/>
        <family val="2"/>
        <scheme val="minor"/>
      </rPr>
      <t>dropdown.</t>
    </r>
  </si>
  <si>
    <r>
      <t xml:space="preserve">1. Manual input should not be allowed in the </t>
    </r>
    <r>
      <rPr>
        <b/>
        <sz val="11"/>
        <color theme="1"/>
        <rFont val="Calibri"/>
        <family val="2"/>
        <scheme val="minor"/>
      </rPr>
      <t>Co Load</t>
    </r>
    <r>
      <rPr>
        <sz val="11"/>
        <color theme="1"/>
        <rFont val="Calibri"/>
        <family val="2"/>
        <scheme val="minor"/>
      </rPr>
      <t xml:space="preserve"> field.
2. User should be able to select</t>
    </r>
    <r>
      <rPr>
        <b/>
        <sz val="11"/>
        <color theme="1"/>
        <rFont val="Calibri"/>
        <family val="2"/>
        <scheme val="minor"/>
      </rPr>
      <t xml:space="preserve"> Co Load</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</si>
  <si>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Co Load</t>
    </r>
    <r>
      <rPr>
        <sz val="11"/>
        <color theme="1"/>
        <rFont val="Calibri"/>
        <family val="2"/>
        <scheme val="minor"/>
      </rPr>
      <t xml:space="preserve"> field.
2. </t>
    </r>
    <r>
      <rPr>
        <b/>
        <sz val="11"/>
        <color theme="1"/>
        <rFont val="Calibri"/>
        <family val="2"/>
        <scheme val="minor"/>
      </rPr>
      <t>Co Load</t>
    </r>
    <r>
      <rPr>
        <sz val="11"/>
        <color theme="1"/>
        <rFont val="Calibri"/>
        <family val="2"/>
        <scheme val="minor"/>
      </rPr>
      <t xml:space="preserve"> value can be selected only from the dropdown.
</t>
    </r>
  </si>
  <si>
    <t>Schedule_Master_10</t>
  </si>
  <si>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Try entering manual values in the </t>
    </r>
    <r>
      <rPr>
        <b/>
        <sz val="11"/>
        <color theme="1"/>
        <rFont val="Calibri"/>
        <family val="2"/>
        <scheme val="minor"/>
      </rPr>
      <t xml:space="preserve">Movement Details </t>
    </r>
    <r>
      <rPr>
        <sz val="11"/>
        <color theme="1"/>
        <rFont val="Calibri"/>
        <family val="2"/>
        <scheme val="minor"/>
      </rPr>
      <t xml:space="preserve">textbox.
5. Select a valid value from the </t>
    </r>
    <r>
      <rPr>
        <b/>
        <sz val="11"/>
        <color theme="1"/>
        <rFont val="Calibri"/>
        <family val="2"/>
        <scheme val="minor"/>
      </rPr>
      <t xml:space="preserve">Movement Details </t>
    </r>
    <r>
      <rPr>
        <sz val="11"/>
        <color theme="1"/>
        <rFont val="Calibri"/>
        <family val="2"/>
        <scheme val="minor"/>
      </rPr>
      <t>dropdown.</t>
    </r>
  </si>
  <si>
    <r>
      <t xml:space="preserve">Textbox - </t>
    </r>
    <r>
      <rPr>
        <b/>
        <sz val="11"/>
        <color theme="1"/>
        <rFont val="Calibri"/>
        <family val="2"/>
        <scheme val="minor"/>
      </rPr>
      <t>Movement Details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CFS To POL
-&gt; POL to POD etc.</t>
    </r>
  </si>
  <si>
    <r>
      <t xml:space="preserve">1. Manual input should not be allowed in the </t>
    </r>
    <r>
      <rPr>
        <b/>
        <sz val="11"/>
        <color theme="1"/>
        <rFont val="Calibri"/>
        <family val="2"/>
        <scheme val="minor"/>
      </rPr>
      <t>Movement Details</t>
    </r>
    <r>
      <rPr>
        <sz val="11"/>
        <color theme="1"/>
        <rFont val="Calibri"/>
        <family val="2"/>
        <scheme val="minor"/>
      </rPr>
      <t xml:space="preserve"> field.
2. User should be able to select</t>
    </r>
    <r>
      <rPr>
        <b/>
        <sz val="11"/>
        <color theme="1"/>
        <rFont val="Calibri"/>
        <family val="2"/>
        <scheme val="minor"/>
      </rPr>
      <t xml:space="preserve"> Movement Details</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</si>
  <si>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Movement Details</t>
    </r>
    <r>
      <rPr>
        <sz val="11"/>
        <color theme="1"/>
        <rFont val="Calibri"/>
        <family val="2"/>
        <scheme val="minor"/>
      </rPr>
      <t xml:space="preserve"> field.
2. </t>
    </r>
    <r>
      <rPr>
        <b/>
        <sz val="11"/>
        <color theme="1"/>
        <rFont val="Calibri"/>
        <family val="2"/>
        <scheme val="minor"/>
      </rPr>
      <t>Movement Details</t>
    </r>
    <r>
      <rPr>
        <sz val="11"/>
        <color theme="1"/>
        <rFont val="Calibri"/>
        <family val="2"/>
        <scheme val="minor"/>
      </rPr>
      <t xml:space="preserve"> value can be selected only from the dropdown.
</t>
    </r>
  </si>
  <si>
    <t>Schedule_Master_11</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</si>
  <si>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POR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</si>
  <si>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POR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</si>
  <si>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POR</t>
    </r>
    <r>
      <rPr>
        <sz val="11"/>
        <color theme="1"/>
        <rFont val="Calibri"/>
        <family val="2"/>
        <scheme val="minor"/>
      </rPr>
      <t xml:space="preserve"> textbox.
2. The user should be able to select a </t>
    </r>
    <r>
      <rPr>
        <b/>
        <sz val="11"/>
        <color theme="1"/>
        <rFont val="Calibri"/>
        <family val="2"/>
        <scheme val="minor"/>
      </rPr>
      <t xml:space="preserve">POR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</si>
  <si>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POR</t>
    </r>
    <r>
      <rPr>
        <sz val="11"/>
        <color theme="1"/>
        <rFont val="Calibri"/>
        <family val="2"/>
        <scheme val="minor"/>
      </rPr>
      <t xml:space="preserve"> can be selected only from the autosuggest list.</t>
    </r>
  </si>
  <si>
    <t>Schedule_Master_12</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</si>
  <si>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Time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</si>
  <si>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Time
</t>
    </r>
    <r>
      <rPr>
        <b/>
        <sz val="11"/>
        <color theme="1"/>
        <rFont val="Calibri"/>
        <family val="2"/>
        <scheme val="minor"/>
      </rPr>
      <t xml:space="preserve"> Valid Data: </t>
    </r>
    <r>
      <rPr>
        <sz val="11"/>
        <color theme="1"/>
        <rFont val="Calibri"/>
        <family val="2"/>
        <scheme val="minor"/>
      </rPr>
      <t xml:space="preserve">Alphanumeric Value with  Colon(:)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</si>
  <si>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t>Schedule_Master_13</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</si>
  <si>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Co Loader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</si>
  <si>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Co Loader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</si>
  <si>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Co Loader</t>
    </r>
    <r>
      <rPr>
        <sz val="11"/>
        <color theme="1"/>
        <rFont val="Calibri"/>
        <family val="2"/>
        <scheme val="minor"/>
      </rPr>
      <t xml:space="preserve"> textbox should accept alphanumeric values.
2. </t>
    </r>
    <r>
      <rPr>
        <b/>
        <sz val="11"/>
        <color theme="1"/>
        <rFont val="Calibri"/>
        <family val="2"/>
        <scheme val="minor"/>
      </rPr>
      <t>Co Loader</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</si>
  <si>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Co Loader</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Co Loader textbox should accept alphanumeric value and following special characters: Dot (.), Comma (,), Percentage (%), Ampersand (&amp;), Hyphen (-),  Underscore (_), Forward slash (/), Backward slash (\)</t>
    </r>
  </si>
  <si>
    <t>Schedule_Master_14</t>
  </si>
  <si>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Try entering manual values in the </t>
    </r>
    <r>
      <rPr>
        <b/>
        <sz val="11"/>
        <color theme="1"/>
        <rFont val="Calibri"/>
        <family val="2"/>
        <scheme val="minor"/>
      </rPr>
      <t xml:space="preserve">Transport Mode </t>
    </r>
    <r>
      <rPr>
        <sz val="11"/>
        <color theme="1"/>
        <rFont val="Calibri"/>
        <family val="2"/>
        <scheme val="minor"/>
      </rPr>
      <t xml:space="preserve">textbox.
5. Select a valid value from the </t>
    </r>
    <r>
      <rPr>
        <b/>
        <sz val="11"/>
        <color theme="1"/>
        <rFont val="Calibri"/>
        <family val="2"/>
        <scheme val="minor"/>
      </rPr>
      <t xml:space="preserve">Transport Mode </t>
    </r>
    <r>
      <rPr>
        <sz val="11"/>
        <color theme="1"/>
        <rFont val="Calibri"/>
        <family val="2"/>
        <scheme val="minor"/>
      </rPr>
      <t>dropdown.</t>
    </r>
  </si>
  <si>
    <r>
      <t xml:space="preserve">Textbox - </t>
    </r>
    <r>
      <rPr>
        <b/>
        <sz val="11"/>
        <color theme="1"/>
        <rFont val="Calibri"/>
        <family val="2"/>
        <scheme val="minor"/>
      </rPr>
      <t>Transport Mode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Road
 -&gt; Rail  etc.</t>
    </r>
  </si>
  <si>
    <r>
      <t xml:space="preserve">1. Manual input should not be allowed in the </t>
    </r>
    <r>
      <rPr>
        <b/>
        <sz val="11"/>
        <color theme="1"/>
        <rFont val="Calibri"/>
        <family val="2"/>
        <scheme val="minor"/>
      </rPr>
      <t>Transport Mode</t>
    </r>
    <r>
      <rPr>
        <sz val="11"/>
        <color theme="1"/>
        <rFont val="Calibri"/>
        <family val="2"/>
        <scheme val="minor"/>
      </rPr>
      <t xml:space="preserve"> field.
2. User should be able to select</t>
    </r>
    <r>
      <rPr>
        <b/>
        <sz val="11"/>
        <color theme="1"/>
        <rFont val="Calibri"/>
        <family val="2"/>
        <scheme val="minor"/>
      </rPr>
      <t xml:space="preserve"> Transport Mode</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</si>
  <si>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Transport Mode</t>
    </r>
    <r>
      <rPr>
        <sz val="11"/>
        <color theme="1"/>
        <rFont val="Calibri"/>
        <family val="2"/>
        <scheme val="minor"/>
      </rPr>
      <t xml:space="preserve"> field.
2. </t>
    </r>
    <r>
      <rPr>
        <b/>
        <sz val="11"/>
        <color theme="1"/>
        <rFont val="Calibri"/>
        <family val="2"/>
        <scheme val="minor"/>
      </rPr>
      <t>Transport Mode</t>
    </r>
    <r>
      <rPr>
        <sz val="11"/>
        <color theme="1"/>
        <rFont val="Calibri"/>
        <family val="2"/>
        <scheme val="minor"/>
      </rPr>
      <t xml:space="preserve"> value can be selected only from the dropdown.
</t>
    </r>
  </si>
  <si>
    <t>Schedule_Master_15</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</si>
  <si>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POL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</si>
  <si>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POL</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</si>
  <si>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POL</t>
    </r>
    <r>
      <rPr>
        <sz val="11"/>
        <color theme="1"/>
        <rFont val="Calibri"/>
        <family val="2"/>
        <scheme val="minor"/>
      </rPr>
      <t xml:space="preserve"> textbox.
2. The user should be able to select a </t>
    </r>
    <r>
      <rPr>
        <b/>
        <sz val="11"/>
        <color theme="1"/>
        <rFont val="Calibri"/>
        <family val="2"/>
        <scheme val="minor"/>
      </rPr>
      <t xml:space="preserve">POL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</si>
  <si>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POL</t>
    </r>
    <r>
      <rPr>
        <sz val="11"/>
        <color theme="1"/>
        <rFont val="Calibri"/>
        <family val="2"/>
        <scheme val="minor"/>
      </rPr>
      <t xml:space="preserve"> can be selected only from the autosuggest list.</t>
    </r>
  </si>
  <si>
    <t>Schedule_Master_16</t>
  </si>
  <si>
    <r>
      <t>1. Open the application and log in 
2. Select Branch: AHMEDABAD, Export Type: Export Sea, FY 2025–2026, click OK.
3. Navigate to</t>
    </r>
    <r>
      <rPr>
        <b/>
        <sz val="11"/>
        <color theme="1"/>
        <rFont val="Calibri"/>
        <family val="2"/>
        <scheme val="minor"/>
      </rPr>
      <t xml:space="preserve"> Masters -&gt;  Vessel Info-&gt; Schedule</t>
    </r>
    <r>
      <rPr>
        <sz val="11"/>
        <color theme="1"/>
        <rFont val="Calibri"/>
        <family val="2"/>
        <scheme val="minor"/>
      </rPr>
      <t xml:space="preserve">
4.  In the </t>
    </r>
    <r>
      <rPr>
        <b/>
        <sz val="11"/>
        <color theme="1"/>
        <rFont val="Calibri"/>
        <family val="2"/>
        <scheme val="minor"/>
      </rPr>
      <t>Est. Loading Date</t>
    </r>
    <r>
      <rPr>
        <sz val="11"/>
        <color theme="1"/>
        <rFont val="Calibri"/>
        <family val="2"/>
        <scheme val="minor"/>
      </rPr>
      <t xml:space="preserve"> textbox, try entering manual inputs.
5. Select  </t>
    </r>
    <r>
      <rPr>
        <b/>
        <sz val="11"/>
        <color theme="1"/>
        <rFont val="Calibri"/>
        <family val="2"/>
        <scheme val="minor"/>
      </rPr>
      <t>Est. Loading Date</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</si>
  <si>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Est. Loading Date
Manual Inputs:</t>
    </r>
    <r>
      <rPr>
        <sz val="11"/>
        <color theme="1"/>
        <rFont val="Calibri"/>
        <family val="2"/>
        <scheme val="minor"/>
      </rPr>
      <t xml:space="preserve">
 -&gt; 4637826728346784623
 -&gt; 634637423
</t>
    </r>
    <r>
      <rPr>
        <b/>
        <sz val="11"/>
        <color theme="1"/>
        <rFont val="Calibri"/>
        <family val="2"/>
        <scheme val="minor"/>
      </rPr>
      <t>Autosuggest Value:</t>
    </r>
    <r>
      <rPr>
        <sz val="11"/>
        <color theme="1"/>
        <rFont val="Calibri"/>
        <family val="2"/>
        <scheme val="minor"/>
      </rPr>
      <t xml:space="preserve">
 -&gt; 26/12/2025
</t>
    </r>
  </si>
  <si>
    <r>
      <t xml:space="preserve">1. Manual input should not be allowed in the </t>
    </r>
    <r>
      <rPr>
        <b/>
        <sz val="11"/>
        <color theme="1"/>
        <rFont val="Calibri"/>
        <family val="2"/>
        <scheme val="minor"/>
      </rPr>
      <t>Est. Loading Date</t>
    </r>
    <r>
      <rPr>
        <sz val="11"/>
        <color theme="1"/>
        <rFont val="Calibri"/>
        <family val="2"/>
        <scheme val="minor"/>
      </rPr>
      <t xml:space="preserve"> field.
2. User should be able to select the </t>
    </r>
    <r>
      <rPr>
        <b/>
        <sz val="11"/>
        <color theme="1"/>
        <rFont val="Calibri"/>
        <family val="2"/>
        <scheme val="minor"/>
      </rPr>
      <t>Est. Loading 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Est. Loading Date</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</si>
  <si>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Est. Loading Date </t>
    </r>
    <r>
      <rPr>
        <sz val="11"/>
        <color theme="1"/>
        <rFont val="Calibri"/>
        <family val="2"/>
        <scheme val="minor"/>
      </rPr>
      <t xml:space="preserve">textbox accepts invalid date formats, such as:
  -&gt; 4637826728346784623
 -&gt; 634637423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Est. Loading Date</t>
    </r>
    <r>
      <rPr>
        <sz val="11"/>
        <color theme="1"/>
        <rFont val="Calibri"/>
        <family val="2"/>
        <scheme val="minor"/>
      </rPr>
      <t xml:space="preserve"> textbox is accepting more than 10 character value.</t>
    </r>
  </si>
  <si>
    <t>Schedule_Master_17</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</si>
  <si>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CFS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</si>
  <si>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CFS</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HANS CFS
-&gt; AMIN MACHINERY PVT. LTD. Etc.</t>
    </r>
  </si>
  <si>
    <r>
      <t xml:space="preserve">1. Manual input should not be allowed in the </t>
    </r>
    <r>
      <rPr>
        <b/>
        <sz val="11"/>
        <color theme="1"/>
        <rFont val="Calibri"/>
        <family val="2"/>
        <scheme val="minor"/>
      </rPr>
      <t>CFS</t>
    </r>
    <r>
      <rPr>
        <sz val="11"/>
        <color theme="1"/>
        <rFont val="Calibri"/>
        <family val="2"/>
        <scheme val="minor"/>
      </rPr>
      <t xml:space="preserve"> textbox.
2. The user should be able to select a </t>
    </r>
    <r>
      <rPr>
        <b/>
        <sz val="11"/>
        <color theme="1"/>
        <rFont val="Calibri"/>
        <family val="2"/>
        <scheme val="minor"/>
      </rPr>
      <t xml:space="preserve">CFS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</si>
  <si>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CFS</t>
    </r>
    <r>
      <rPr>
        <sz val="11"/>
        <color theme="1"/>
        <rFont val="Calibri"/>
        <family val="2"/>
        <scheme val="minor"/>
      </rPr>
      <t xml:space="preserve"> can be selected only from the autosuggest list.</t>
    </r>
  </si>
  <si>
    <t>Schedule_Master_18</t>
  </si>
  <si>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Try entering manual values in the </t>
    </r>
    <r>
      <rPr>
        <b/>
        <sz val="11"/>
        <color theme="1"/>
        <rFont val="Calibri"/>
        <family val="2"/>
        <scheme val="minor"/>
      </rPr>
      <t xml:space="preserve">Display Status </t>
    </r>
    <r>
      <rPr>
        <sz val="11"/>
        <color theme="1"/>
        <rFont val="Calibri"/>
        <family val="2"/>
        <scheme val="minor"/>
      </rPr>
      <t xml:space="preserve">textbox.
5. Select a valid value from the </t>
    </r>
    <r>
      <rPr>
        <b/>
        <sz val="11"/>
        <color theme="1"/>
        <rFont val="Calibri"/>
        <family val="2"/>
        <scheme val="minor"/>
      </rPr>
      <t xml:space="preserve">Display Status </t>
    </r>
    <r>
      <rPr>
        <sz val="11"/>
        <color theme="1"/>
        <rFont val="Calibri"/>
        <family val="2"/>
        <scheme val="minor"/>
      </rPr>
      <t>dropdown.</t>
    </r>
  </si>
  <si>
    <r>
      <t xml:space="preserve">Textbox - </t>
    </r>
    <r>
      <rPr>
        <b/>
        <sz val="11"/>
        <color theme="1"/>
        <rFont val="Calibri"/>
        <family val="2"/>
        <scheme val="minor"/>
      </rPr>
      <t>Display Status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Display 
 -&gt; Hide</t>
    </r>
  </si>
  <si>
    <t>Schedule_Master_19</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</si>
  <si>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POD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</si>
  <si>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POD</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</si>
  <si>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POD</t>
    </r>
    <r>
      <rPr>
        <sz val="11"/>
        <color theme="1"/>
        <rFont val="Calibri"/>
        <family val="2"/>
        <scheme val="minor"/>
      </rPr>
      <t xml:space="preserve"> textbox.
2. The user should be able to select a </t>
    </r>
    <r>
      <rPr>
        <b/>
        <sz val="11"/>
        <color theme="1"/>
        <rFont val="Calibri"/>
        <family val="2"/>
        <scheme val="minor"/>
      </rPr>
      <t xml:space="preserve">POD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</si>
  <si>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POD</t>
    </r>
    <r>
      <rPr>
        <sz val="11"/>
        <color theme="1"/>
        <rFont val="Calibri"/>
        <family val="2"/>
        <scheme val="minor"/>
      </rPr>
      <t xml:space="preserve"> can be selected only from the autosuggest list.</t>
    </r>
  </si>
  <si>
    <t>Schedule_Master_20</t>
  </si>
  <si>
    <r>
      <t>1. Open the application and log in 
2. Select Branch: AHMEDABAD, Export Type: Export Sea, FY 2025–2026, click OK.
3. Navigate to</t>
    </r>
    <r>
      <rPr>
        <b/>
        <sz val="11"/>
        <color theme="1"/>
        <rFont val="Calibri"/>
        <family val="2"/>
        <scheme val="minor"/>
      </rPr>
      <t xml:space="preserve"> Masters -&gt;  Vessel Info-&gt; Schedule</t>
    </r>
    <r>
      <rPr>
        <sz val="11"/>
        <color theme="1"/>
        <rFont val="Calibri"/>
        <family val="2"/>
        <scheme val="minor"/>
      </rPr>
      <t xml:space="preserve">
4.  In the </t>
    </r>
    <r>
      <rPr>
        <b/>
        <sz val="11"/>
        <color theme="1"/>
        <rFont val="Calibri"/>
        <family val="2"/>
        <scheme val="minor"/>
      </rPr>
      <t>ETD</t>
    </r>
    <r>
      <rPr>
        <sz val="11"/>
        <color theme="1"/>
        <rFont val="Calibri"/>
        <family val="2"/>
        <scheme val="minor"/>
      </rPr>
      <t xml:space="preserve"> textbox, try entering manual inputs.
5. Select  </t>
    </r>
    <r>
      <rPr>
        <b/>
        <sz val="11"/>
        <color theme="1"/>
        <rFont val="Calibri"/>
        <family val="2"/>
        <scheme val="minor"/>
      </rPr>
      <t>ETD</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</si>
  <si>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ETD
Manual Inputs:</t>
    </r>
    <r>
      <rPr>
        <sz val="11"/>
        <color theme="1"/>
        <rFont val="Calibri"/>
        <family val="2"/>
        <scheme val="minor"/>
      </rPr>
      <t xml:space="preserve">
 -&gt; 4637826728346784623
 -&gt; 634637423
</t>
    </r>
    <r>
      <rPr>
        <b/>
        <sz val="11"/>
        <color theme="1"/>
        <rFont val="Calibri"/>
        <family val="2"/>
        <scheme val="minor"/>
      </rPr>
      <t>Autosuggest Value:</t>
    </r>
    <r>
      <rPr>
        <sz val="11"/>
        <color theme="1"/>
        <rFont val="Calibri"/>
        <family val="2"/>
        <scheme val="minor"/>
      </rPr>
      <t xml:space="preserve">
 -&gt; 26/12/2025
</t>
    </r>
  </si>
  <si>
    <r>
      <t xml:space="preserve">1. Manual input should not be allowed in the </t>
    </r>
    <r>
      <rPr>
        <b/>
        <sz val="11"/>
        <color theme="1"/>
        <rFont val="Calibri"/>
        <family val="2"/>
        <scheme val="minor"/>
      </rPr>
      <t>ETD</t>
    </r>
    <r>
      <rPr>
        <sz val="11"/>
        <color theme="1"/>
        <rFont val="Calibri"/>
        <family val="2"/>
        <scheme val="minor"/>
      </rPr>
      <t xml:space="preserve"> field.
2. User should be able to select the </t>
    </r>
    <r>
      <rPr>
        <b/>
        <sz val="11"/>
        <color theme="1"/>
        <rFont val="Calibri"/>
        <family val="2"/>
        <scheme val="minor"/>
      </rPr>
      <t>ETD</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ETD</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</si>
  <si>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ETD </t>
    </r>
    <r>
      <rPr>
        <sz val="11"/>
        <color theme="1"/>
        <rFont val="Calibri"/>
        <family val="2"/>
        <scheme val="minor"/>
      </rPr>
      <t xml:space="preserve">textbox accepts invalid date formats, such as:
  -&gt; 4637826728346784623
 -&gt; 634637423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ETD</t>
    </r>
    <r>
      <rPr>
        <sz val="11"/>
        <color theme="1"/>
        <rFont val="Calibri"/>
        <family val="2"/>
        <scheme val="minor"/>
      </rPr>
      <t xml:space="preserve"> textbox is accepting more than 10 character value.</t>
    </r>
  </si>
  <si>
    <t>Schedule_Master_21</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</si>
  <si>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Carrier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</si>
  <si>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Carrier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ANL INDIA   
-&gt; AVANA GLOBAL FZCO etc.</t>
    </r>
  </si>
  <si>
    <r>
      <t xml:space="preserve">1. Manual input should not be allowed in the </t>
    </r>
    <r>
      <rPr>
        <b/>
        <sz val="11"/>
        <color theme="1"/>
        <rFont val="Calibri"/>
        <family val="2"/>
        <scheme val="minor"/>
      </rPr>
      <t>Carrier</t>
    </r>
    <r>
      <rPr>
        <sz val="11"/>
        <color theme="1"/>
        <rFont val="Calibri"/>
        <family val="2"/>
        <scheme val="minor"/>
      </rPr>
      <t xml:space="preserve"> textbox.
2. The user should be able to select a </t>
    </r>
    <r>
      <rPr>
        <b/>
        <sz val="11"/>
        <color theme="1"/>
        <rFont val="Calibri"/>
        <family val="2"/>
        <scheme val="minor"/>
      </rPr>
      <t xml:space="preserve">Carrier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</si>
  <si>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Carrier</t>
    </r>
    <r>
      <rPr>
        <sz val="11"/>
        <color theme="1"/>
        <rFont val="Calibri"/>
        <family val="2"/>
        <scheme val="minor"/>
      </rPr>
      <t xml:space="preserve"> can be selected only from the autosuggest list.</t>
    </r>
  </si>
  <si>
    <t>Schedule_Master_22</t>
  </si>
  <si>
    <r>
      <t xml:space="preserve">1. As per the use case, the </t>
    </r>
    <r>
      <rPr>
        <b/>
        <sz val="11"/>
        <color theme="1"/>
        <rFont val="Calibri"/>
        <family val="2"/>
        <scheme val="minor"/>
      </rPr>
      <t>Schedule UID</t>
    </r>
    <r>
      <rPr>
        <sz val="11"/>
        <color theme="1"/>
        <rFont val="Calibri"/>
        <family val="2"/>
        <scheme val="minor"/>
      </rPr>
      <t xml:space="preserve"> textbox should be disabled, non-editable, and its value should be auto-populated.
2.  The checkbox beside the </t>
    </r>
    <r>
      <rPr>
        <b/>
        <sz val="11"/>
        <color theme="1"/>
        <rFont val="Calibri"/>
        <family val="2"/>
        <scheme val="minor"/>
      </rPr>
      <t>Schedule UID</t>
    </r>
    <r>
      <rPr>
        <sz val="11"/>
        <color theme="1"/>
        <rFont val="Calibri"/>
        <family val="2"/>
        <scheme val="minor"/>
      </rPr>
      <t xml:space="preserve"> textbox should be selectable and deselectable as per the user’s requirement.</t>
    </r>
  </si>
  <si>
    <r>
      <t xml:space="preserve">1. The </t>
    </r>
    <r>
      <rPr>
        <b/>
        <sz val="11"/>
        <color theme="1"/>
        <rFont val="Calibri"/>
        <family val="2"/>
        <scheme val="minor"/>
      </rPr>
      <t>Schedule UID</t>
    </r>
    <r>
      <rPr>
        <sz val="11"/>
        <color theme="1"/>
        <rFont val="Calibri"/>
        <family val="2"/>
        <scheme val="minor"/>
      </rPr>
      <t xml:space="preserve"> textbox is disabled, non-editable, and auto-populated.
2. Checkbox selection and deselection are working as expected.</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</si>
  <si>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Schedule UID </t>
    </r>
    <r>
      <rPr>
        <sz val="11"/>
        <color theme="1"/>
        <rFont val="Calibri"/>
        <family val="2"/>
        <scheme val="minor"/>
      </rPr>
      <t xml:space="preserve">textbox, try entering manual inputs.
7. Select and deselect the checkbox beside the </t>
    </r>
    <r>
      <rPr>
        <b/>
        <sz val="11"/>
        <color theme="1"/>
        <rFont val="Calibri"/>
        <family val="2"/>
        <scheme val="minor"/>
      </rPr>
      <t>Schedule UID</t>
    </r>
    <r>
      <rPr>
        <sz val="11"/>
        <color theme="1"/>
        <rFont val="Calibri"/>
        <family val="2"/>
        <scheme val="minor"/>
      </rPr>
      <t xml:space="preserve"> textbox.</t>
    </r>
  </si>
  <si>
    <t>Schedule_Master_23</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</si>
  <si>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FDC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</si>
  <si>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FDC</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</si>
  <si>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FDC</t>
    </r>
    <r>
      <rPr>
        <sz val="11"/>
        <color theme="1"/>
        <rFont val="Calibri"/>
        <family val="2"/>
        <scheme val="minor"/>
      </rPr>
      <t xml:space="preserve"> textbox.
2. The user should be able to select a </t>
    </r>
    <r>
      <rPr>
        <b/>
        <sz val="11"/>
        <color theme="1"/>
        <rFont val="Calibri"/>
        <family val="2"/>
        <scheme val="minor"/>
      </rPr>
      <t xml:space="preserve">FDC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</si>
  <si>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FDC</t>
    </r>
    <r>
      <rPr>
        <sz val="11"/>
        <color theme="1"/>
        <rFont val="Calibri"/>
        <family val="2"/>
        <scheme val="minor"/>
      </rPr>
      <t xml:space="preserve"> can be selected only from the autosuggest list.</t>
    </r>
  </si>
  <si>
    <t>Schedule_Master_24</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</si>
  <si>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Transit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</si>
  <si>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Transit
</t>
    </r>
    <r>
      <rPr>
        <b/>
        <sz val="11"/>
        <color theme="1"/>
        <rFont val="Calibri"/>
        <family val="2"/>
        <scheme val="minor"/>
      </rPr>
      <t xml:space="preserve"> Valid Data: N</t>
    </r>
    <r>
      <rPr>
        <sz val="11"/>
        <color theme="1"/>
        <rFont val="Calibri"/>
        <family val="2"/>
        <scheme val="minor"/>
      </rPr>
      <t xml:space="preserve">umeric Value
</t>
    </r>
    <r>
      <rPr>
        <b/>
        <sz val="11"/>
        <color theme="1"/>
        <rFont val="Calibri"/>
        <family val="2"/>
        <scheme val="minor"/>
      </rPr>
      <t xml:space="preserve">Invalid Data: </t>
    </r>
    <r>
      <rPr>
        <sz val="11"/>
        <color theme="1"/>
        <rFont val="Calibri"/>
        <family val="2"/>
        <scheme val="minor"/>
      </rPr>
      <t>Only space value, Alphabetic value, Only Special character and combination of character.</t>
    </r>
  </si>
  <si>
    <t>Schedule_Master_25</t>
  </si>
  <si>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Try entering manual values in the </t>
    </r>
    <r>
      <rPr>
        <b/>
        <sz val="11"/>
        <color theme="1"/>
        <rFont val="Calibri"/>
        <family val="2"/>
        <scheme val="minor"/>
      </rPr>
      <t xml:space="preserve">Status </t>
    </r>
    <r>
      <rPr>
        <sz val="11"/>
        <color theme="1"/>
        <rFont val="Calibri"/>
        <family val="2"/>
        <scheme val="minor"/>
      </rPr>
      <t xml:space="preserve">textbox.
5. Select a valid value from the </t>
    </r>
    <r>
      <rPr>
        <b/>
        <sz val="11"/>
        <color theme="1"/>
        <rFont val="Calibri"/>
        <family val="2"/>
        <scheme val="minor"/>
      </rPr>
      <t xml:space="preserve">Status </t>
    </r>
    <r>
      <rPr>
        <sz val="11"/>
        <color theme="1"/>
        <rFont val="Calibri"/>
        <family val="2"/>
        <scheme val="minor"/>
      </rPr>
      <t>dropdown.</t>
    </r>
  </si>
  <si>
    <r>
      <t xml:space="preserve">Textbox - </t>
    </r>
    <r>
      <rPr>
        <b/>
        <sz val="11"/>
        <color theme="1"/>
        <rFont val="Calibri"/>
        <family val="2"/>
        <scheme val="minor"/>
      </rPr>
      <t>Status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Open
 -&gt; Close</t>
    </r>
  </si>
  <si>
    <r>
      <t xml:space="preserve">1. Manual input should not be allowed in the </t>
    </r>
    <r>
      <rPr>
        <b/>
        <sz val="11"/>
        <color theme="1"/>
        <rFont val="Calibri"/>
        <family val="2"/>
        <scheme val="minor"/>
      </rPr>
      <t>Status</t>
    </r>
    <r>
      <rPr>
        <sz val="11"/>
        <color theme="1"/>
        <rFont val="Calibri"/>
        <family val="2"/>
        <scheme val="minor"/>
      </rPr>
      <t xml:space="preserve"> field.
2. User should be able to select</t>
    </r>
    <r>
      <rPr>
        <b/>
        <sz val="11"/>
        <color theme="1"/>
        <rFont val="Calibri"/>
        <family val="2"/>
        <scheme val="minor"/>
      </rPr>
      <t xml:space="preserve"> Status</t>
    </r>
    <r>
      <rPr>
        <sz val="11"/>
        <color theme="1"/>
        <rFont val="Calibri"/>
        <family val="2"/>
        <scheme val="minor"/>
      </rPr>
      <t xml:space="preserve"> only from the dropdown.
3. If invalid input is typed, the field should automatically clear.
</t>
    </r>
  </si>
  <si>
    <r>
      <t xml:space="preserve">1. Manual input is not allowed in the </t>
    </r>
    <r>
      <rPr>
        <b/>
        <sz val="11"/>
        <color theme="1"/>
        <rFont val="Calibri"/>
        <family val="2"/>
        <scheme val="minor"/>
      </rPr>
      <t>Status</t>
    </r>
    <r>
      <rPr>
        <sz val="11"/>
        <color theme="1"/>
        <rFont val="Calibri"/>
        <family val="2"/>
        <scheme val="minor"/>
      </rPr>
      <t xml:space="preserve"> field.
2. </t>
    </r>
    <r>
      <rPr>
        <b/>
        <sz val="11"/>
        <color theme="1"/>
        <rFont val="Calibri"/>
        <family val="2"/>
        <scheme val="minor"/>
      </rPr>
      <t>Status</t>
    </r>
    <r>
      <rPr>
        <sz val="11"/>
        <color theme="1"/>
        <rFont val="Calibri"/>
        <family val="2"/>
        <scheme val="minor"/>
      </rPr>
      <t xml:space="preserve"> value can be selected only from the dropdown.
</t>
    </r>
  </si>
  <si>
    <t>Schedule_Master_26</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</si>
  <si>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VCN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</si>
  <si>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VCN No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</si>
  <si>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VCN No</t>
    </r>
    <r>
      <rPr>
        <sz val="11"/>
        <color theme="1"/>
        <rFont val="Calibri"/>
        <family val="2"/>
        <scheme val="minor"/>
      </rPr>
      <t xml:space="preserve"> textbox should accept alphanumeric values.
2. </t>
    </r>
    <r>
      <rPr>
        <b/>
        <sz val="11"/>
        <color theme="1"/>
        <rFont val="Calibri"/>
        <family val="2"/>
        <scheme val="minor"/>
      </rPr>
      <t>VCN No</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</si>
  <si>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VCN No</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Co Loader textbox should accept alphanumeric value and following special characters: Dot (.), Comma (,), Percentage (%), Ampersand (&amp;), Hyphen (-),  Underscore (_), Forward slash (/), Backward slash (\)</t>
    </r>
  </si>
  <si>
    <t>Schedule_Master_27</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</si>
  <si>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Loading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</si>
  <si>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Loading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 xml:space="preserve">Only space value </t>
    </r>
  </si>
  <si>
    <r>
      <t xml:space="preserve">1. As per the Use case, </t>
    </r>
    <r>
      <rPr>
        <b/>
        <sz val="11"/>
        <color theme="1"/>
        <rFont val="Calibri"/>
        <family val="2"/>
        <scheme val="minor"/>
      </rPr>
      <t>Loading</t>
    </r>
    <r>
      <rPr>
        <sz val="11"/>
        <color theme="1"/>
        <rFont val="Calibri"/>
        <family val="2"/>
        <scheme val="minor"/>
      </rPr>
      <t xml:space="preserve"> textbox should accept alphanumeric values.
2. </t>
    </r>
    <r>
      <rPr>
        <b/>
        <sz val="11"/>
        <color theme="1"/>
        <rFont val="Calibri"/>
        <family val="2"/>
        <scheme val="minor"/>
      </rPr>
      <t>Loading</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</si>
  <si>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Loading</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analysis, there is no standard or fixed format defined for the Loading, therefore, the textbox allows all types of input including numeric, alphabetic, and special characters.</t>
    </r>
  </si>
  <si>
    <t>Schedule_Master_28</t>
  </si>
  <si>
    <r>
      <t>1. Open the application and log in 
2. Select Branch: AHMEDABAD, Export Type: Export Sea, FY 2025–2026, click OK.
3. Navigate to</t>
    </r>
    <r>
      <rPr>
        <b/>
        <sz val="11"/>
        <color theme="1"/>
        <rFont val="Calibri"/>
        <family val="2"/>
        <scheme val="minor"/>
      </rPr>
      <t xml:space="preserve"> Masters -&gt;  Vessel Info-&gt; Schedule</t>
    </r>
    <r>
      <rPr>
        <sz val="11"/>
        <color theme="1"/>
        <rFont val="Calibri"/>
        <family val="2"/>
        <scheme val="minor"/>
      </rPr>
      <t xml:space="preserve">
4.  In the </t>
    </r>
    <r>
      <rPr>
        <b/>
        <sz val="11"/>
        <color theme="1"/>
        <rFont val="Calibri"/>
        <family val="2"/>
        <scheme val="minor"/>
      </rPr>
      <t>ETA</t>
    </r>
    <r>
      <rPr>
        <sz val="11"/>
        <color theme="1"/>
        <rFont val="Calibri"/>
        <family val="2"/>
        <scheme val="minor"/>
      </rPr>
      <t xml:space="preserve"> textbox, try entering manual inputs.
5. Select </t>
    </r>
    <r>
      <rPr>
        <b/>
        <sz val="11"/>
        <color theme="1"/>
        <rFont val="Calibri"/>
        <family val="2"/>
        <scheme val="minor"/>
      </rPr>
      <t>ETA</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</si>
  <si>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ETA
Manual Inputs:</t>
    </r>
    <r>
      <rPr>
        <sz val="11"/>
        <color theme="1"/>
        <rFont val="Calibri"/>
        <family val="2"/>
        <scheme val="minor"/>
      </rPr>
      <t xml:space="preserve">
 -&gt; 4637826728346784623
 -&gt; 634637423
</t>
    </r>
    <r>
      <rPr>
        <b/>
        <sz val="11"/>
        <color theme="1"/>
        <rFont val="Calibri"/>
        <family val="2"/>
        <scheme val="minor"/>
      </rPr>
      <t>Autosuggest Value:</t>
    </r>
    <r>
      <rPr>
        <sz val="11"/>
        <color theme="1"/>
        <rFont val="Calibri"/>
        <family val="2"/>
        <scheme val="minor"/>
      </rPr>
      <t xml:space="preserve">
 -&gt; 26/12/2025
</t>
    </r>
  </si>
  <si>
    <r>
      <t xml:space="preserve">1. Manual input should not be allowed in the </t>
    </r>
    <r>
      <rPr>
        <b/>
        <sz val="11"/>
        <color theme="1"/>
        <rFont val="Calibri"/>
        <family val="2"/>
        <scheme val="minor"/>
      </rPr>
      <t>ETA</t>
    </r>
    <r>
      <rPr>
        <sz val="11"/>
        <color theme="1"/>
        <rFont val="Calibri"/>
        <family val="2"/>
        <scheme val="minor"/>
      </rPr>
      <t xml:space="preserve"> field.
2. User should be able to select the </t>
    </r>
    <r>
      <rPr>
        <b/>
        <sz val="11"/>
        <color theme="1"/>
        <rFont val="Calibri"/>
        <family val="2"/>
        <scheme val="minor"/>
      </rPr>
      <t>ETA</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ETA</t>
    </r>
    <r>
      <rPr>
        <sz val="11"/>
        <color theme="1"/>
        <rFont val="Calibri"/>
        <family val="2"/>
        <scheme val="minor"/>
      </rPr>
      <t xml:space="preserve"> textbox character limit should be maximum 10 characters
</t>
    </r>
  </si>
  <si>
    <r>
      <t xml:space="preserve">1. Functionality is not working as expected.
2. </t>
    </r>
    <r>
      <rPr>
        <b/>
        <sz val="11"/>
        <color theme="1"/>
        <rFont val="Calibri"/>
        <family val="2"/>
        <scheme val="minor"/>
      </rPr>
      <t xml:space="preserve">ETA </t>
    </r>
    <r>
      <rPr>
        <sz val="11"/>
        <color theme="1"/>
        <rFont val="Calibri"/>
        <family val="2"/>
        <scheme val="minor"/>
      </rPr>
      <t xml:space="preserve">textbox accepts invalid date formats, such as:
  -&gt; 4637826728346784623
 -&gt; 634637423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ETA</t>
    </r>
    <r>
      <rPr>
        <sz val="11"/>
        <color theme="1"/>
        <rFont val="Calibri"/>
        <family val="2"/>
        <scheme val="minor"/>
      </rPr>
      <t xml:space="preserve"> textbox is accepting more than 10 character value.</t>
    </r>
  </si>
  <si>
    <t>Schedule_Master_29</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</si>
  <si>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Note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</si>
  <si>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Note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 xml:space="preserve">Only space value </t>
    </r>
  </si>
  <si>
    <r>
      <t xml:space="preserve">1. As per the Use case, </t>
    </r>
    <r>
      <rPr>
        <b/>
        <sz val="11"/>
        <color theme="1"/>
        <rFont val="Calibri"/>
        <family val="2"/>
        <scheme val="minor"/>
      </rPr>
      <t>Note</t>
    </r>
    <r>
      <rPr>
        <sz val="11"/>
        <color theme="1"/>
        <rFont val="Calibri"/>
        <family val="2"/>
        <scheme val="minor"/>
      </rPr>
      <t xml:space="preserve"> textbox should accept alphanumeric values.
2. </t>
    </r>
    <r>
      <rPr>
        <b/>
        <sz val="11"/>
        <color theme="1"/>
        <rFont val="Calibri"/>
        <family val="2"/>
        <scheme val="minor"/>
      </rPr>
      <t>Note</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</si>
  <si>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Note</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 there is no standard or fixed format defined for the Note, therefore, the textbox allows all types of input including numeric, alphabetic, and special characters.</t>
    </r>
  </si>
  <si>
    <t>Schedule_Master_30</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</si>
  <si>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Currency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</si>
  <si>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Currency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EURO
-&gt; Indian National Rupee</t>
    </r>
  </si>
  <si>
    <r>
      <t xml:space="preserve">1. Manual input should not be allowed in the </t>
    </r>
    <r>
      <rPr>
        <b/>
        <sz val="11"/>
        <color theme="1"/>
        <rFont val="Calibri"/>
        <family val="2"/>
        <scheme val="minor"/>
      </rPr>
      <t>Currency</t>
    </r>
    <r>
      <rPr>
        <sz val="11"/>
        <color theme="1"/>
        <rFont val="Calibri"/>
        <family val="2"/>
        <scheme val="minor"/>
      </rPr>
      <t xml:space="preserve"> textbox.
2. The user should be able to select a </t>
    </r>
    <r>
      <rPr>
        <b/>
        <sz val="11"/>
        <color theme="1"/>
        <rFont val="Calibri"/>
        <family val="2"/>
        <scheme val="minor"/>
      </rPr>
      <t xml:space="preserve">Currency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</si>
  <si>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Currency</t>
    </r>
    <r>
      <rPr>
        <sz val="11"/>
        <color theme="1"/>
        <rFont val="Calibri"/>
        <family val="2"/>
        <scheme val="minor"/>
      </rPr>
      <t xml:space="preserve"> can be selected only from the autosuggest list.</t>
    </r>
  </si>
  <si>
    <t>Schedule_Master_31</t>
  </si>
  <si>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Cargo Type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</si>
  <si>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Cargo Type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Charter
-&gt; High Dence etc.</t>
    </r>
  </si>
  <si>
    <r>
      <t xml:space="preserve">1. Manual input should not be allowed in the </t>
    </r>
    <r>
      <rPr>
        <b/>
        <sz val="11"/>
        <color theme="1"/>
        <rFont val="Calibri"/>
        <family val="2"/>
        <scheme val="minor"/>
      </rPr>
      <t>Cargo Type</t>
    </r>
    <r>
      <rPr>
        <sz val="11"/>
        <color theme="1"/>
        <rFont val="Calibri"/>
        <family val="2"/>
        <scheme val="minor"/>
      </rPr>
      <t xml:space="preserve"> textbox.
2. The user should be able to select a </t>
    </r>
    <r>
      <rPr>
        <b/>
        <sz val="11"/>
        <color theme="1"/>
        <rFont val="Calibri"/>
        <family val="2"/>
        <scheme val="minor"/>
      </rPr>
      <t xml:space="preserve">Cargo Type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</si>
  <si>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Cargo Type</t>
    </r>
    <r>
      <rPr>
        <sz val="11"/>
        <color theme="1"/>
        <rFont val="Calibri"/>
        <family val="2"/>
        <scheme val="minor"/>
      </rPr>
      <t xml:space="preserve"> can be selected only from the autosuggest list.</t>
    </r>
  </si>
  <si>
    <t>Schedule_Master_32</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</si>
  <si>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ROE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</si>
  <si>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ROE
</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special character , character of combination etc.</t>
    </r>
  </si>
  <si>
    <r>
      <t xml:space="preserve">1. As per the Use case, </t>
    </r>
    <r>
      <rPr>
        <b/>
        <sz val="11"/>
        <color theme="1"/>
        <rFont val="Calibri"/>
        <family val="2"/>
        <scheme val="minor"/>
      </rPr>
      <t>ROE</t>
    </r>
    <r>
      <rPr>
        <sz val="11"/>
        <color theme="1"/>
        <rFont val="Calibri"/>
        <family val="2"/>
        <scheme val="minor"/>
      </rPr>
      <t xml:space="preserve"> textbox should accept alphanumeric values.
2. </t>
    </r>
    <r>
      <rPr>
        <b/>
        <sz val="11"/>
        <color theme="1"/>
        <rFont val="Calibri"/>
        <family val="2"/>
        <scheme val="minor"/>
      </rPr>
      <t>ROE</t>
    </r>
    <r>
      <rPr>
        <sz val="11"/>
        <color theme="1"/>
        <rFont val="Calibri"/>
        <family val="2"/>
        <scheme val="minor"/>
      </rPr>
      <t xml:space="preserve"> textbox should not accept special character value, only space value and combination of character value.
2. The textbox length should be limited to 20 characters.</t>
    </r>
  </si>
  <si>
    <t>Schedule_Master_33</t>
  </si>
  <si>
    <t>Schedule_Master_34</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</si>
  <si>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Loading Note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</si>
  <si>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Loading Note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 xml:space="preserve">Only space value </t>
    </r>
  </si>
  <si>
    <r>
      <t xml:space="preserve">1. As per the Use case, </t>
    </r>
    <r>
      <rPr>
        <b/>
        <sz val="11"/>
        <color theme="1"/>
        <rFont val="Calibri"/>
        <family val="2"/>
        <scheme val="minor"/>
      </rPr>
      <t>Loading Note</t>
    </r>
    <r>
      <rPr>
        <sz val="11"/>
        <color theme="1"/>
        <rFont val="Calibri"/>
        <family val="2"/>
        <scheme val="minor"/>
      </rPr>
      <t xml:space="preserve"> textbox should accept alphanumeric values.
2. </t>
    </r>
    <r>
      <rPr>
        <b/>
        <sz val="11"/>
        <color theme="1"/>
        <rFont val="Calibri"/>
        <family val="2"/>
        <scheme val="minor"/>
      </rPr>
      <t>Loading Note</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</si>
  <si>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Loading Note</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 there is no standard or fixed format defined for the Loading Note, therefore, the textbox allows all types of input including numeric, alphabetic, and special characters.</t>
    </r>
  </si>
  <si>
    <r>
      <t xml:space="preserve">Validate that the </t>
    </r>
    <r>
      <rPr>
        <b/>
        <sz val="11"/>
        <color theme="1"/>
        <rFont val="Calibri"/>
        <family val="2"/>
        <scheme val="minor"/>
      </rPr>
      <t>Vessel UID</t>
    </r>
    <r>
      <rPr>
        <sz val="11"/>
        <color theme="1"/>
        <rFont val="Calibri"/>
        <family val="2"/>
        <scheme val="minor"/>
      </rPr>
      <t xml:space="preserve"> textbox functions correctly in the </t>
    </r>
    <r>
      <rPr>
        <b/>
        <sz val="11"/>
        <color theme="1"/>
        <rFont val="Calibri"/>
        <family val="2"/>
        <scheme val="minor"/>
      </rPr>
      <t>Schedule tab</t>
    </r>
    <r>
      <rPr>
        <sz val="11"/>
        <color theme="1"/>
        <rFont val="Calibri"/>
        <family val="2"/>
        <scheme val="minor"/>
      </rPr>
      <t xml:space="preserve"> of the </t>
    </r>
    <r>
      <rPr>
        <b/>
        <sz val="11"/>
        <color theme="1"/>
        <rFont val="Calibri"/>
        <family val="2"/>
        <scheme val="minor"/>
      </rPr>
      <t xml:space="preserve">Schedule Master section </t>
    </r>
    <r>
      <rPr>
        <sz val="11"/>
        <color theme="1"/>
        <rFont val="Calibri"/>
        <family val="2"/>
        <scheme val="minor"/>
      </rPr>
      <t xml:space="preserve">of the </t>
    </r>
    <r>
      <rPr>
        <b/>
        <sz val="11"/>
        <color theme="1"/>
        <rFont val="Calibri"/>
        <family val="2"/>
        <scheme val="minor"/>
      </rPr>
      <t xml:space="preserve">Schedule Master </t>
    </r>
    <r>
      <rPr>
        <sz val="11"/>
        <color theme="1"/>
        <rFont val="Calibri"/>
        <family val="2"/>
        <scheme val="minor"/>
      </rPr>
      <t>page.</t>
    </r>
  </si>
  <si>
    <r>
      <t xml:space="preserve">Validate the functionality of the </t>
    </r>
    <r>
      <rPr>
        <b/>
        <sz val="11"/>
        <color theme="1"/>
        <rFont val="Calibri"/>
        <family val="2"/>
        <scheme val="minor"/>
      </rPr>
      <t>Vessel</t>
    </r>
    <r>
      <rPr>
        <sz val="11"/>
        <color theme="1"/>
        <rFont val="Calibri"/>
        <family val="2"/>
        <scheme val="minor"/>
      </rPr>
      <t xml:space="preserve"> textbox and</t>
    </r>
    <r>
      <rPr>
        <b/>
        <sz val="11"/>
        <color theme="1"/>
        <rFont val="Calibri"/>
        <family val="2"/>
        <scheme val="minor"/>
      </rPr>
      <t xml:space="preserve"> the checkbox beside it</t>
    </r>
    <r>
      <rPr>
        <sz val="11"/>
        <color theme="1"/>
        <rFont val="Calibri"/>
        <family val="2"/>
        <scheme val="minor"/>
      </rPr>
      <t xml:space="preserve">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(Schedule Master Section)</t>
    </r>
  </si>
  <si>
    <r>
      <t xml:space="preserve">Validate the functionality of the </t>
    </r>
    <r>
      <rPr>
        <b/>
        <sz val="11"/>
        <color theme="1"/>
        <rFont val="Calibri"/>
        <family val="2"/>
        <scheme val="minor"/>
      </rPr>
      <t>VIA Number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(Schedule Master Section)</t>
    </r>
  </si>
  <si>
    <r>
      <t xml:space="preserve">Validate the functionality of the </t>
    </r>
    <r>
      <rPr>
        <b/>
        <sz val="11"/>
        <color theme="1"/>
        <rFont val="Calibri"/>
        <family val="2"/>
        <scheme val="minor"/>
      </rPr>
      <t>Rotation Number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(Schedule Master Section)</t>
    </r>
  </si>
  <si>
    <r>
      <t xml:space="preserve">Validate the functionality of the </t>
    </r>
    <r>
      <rPr>
        <b/>
        <sz val="11"/>
        <color theme="1"/>
        <rFont val="Calibri"/>
        <family val="2"/>
        <scheme val="minor"/>
      </rPr>
      <t>Voyage No</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(Schedule Master Section)</t>
    </r>
  </si>
  <si>
    <t>Schedule_Master_35</t>
  </si>
  <si>
    <r>
      <t xml:space="preserve">Validate the functionality of the </t>
    </r>
    <r>
      <rPr>
        <b/>
        <sz val="11"/>
        <color theme="1"/>
        <rFont val="Calibri"/>
        <family val="2"/>
        <scheme val="minor"/>
      </rPr>
      <t>Loading Note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</si>
  <si>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Segment</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</si>
  <si>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Validate the functionality of ‘</t>
    </r>
    <r>
      <rPr>
        <b/>
        <sz val="11"/>
        <color theme="1"/>
        <rFont val="Calibri"/>
        <family val="2"/>
        <scheme val="minor"/>
      </rPr>
      <t>Cut off Date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</si>
  <si>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
    </r>
    <r>
      <rPr>
        <b/>
        <sz val="11"/>
        <color theme="1"/>
        <rFont val="Calibri"/>
        <family val="2"/>
        <scheme val="minor"/>
      </rPr>
      <t>'Co Load'</t>
    </r>
    <r>
      <rPr>
        <sz val="11"/>
        <color theme="1"/>
        <rFont val="Calibri"/>
        <family val="2"/>
        <scheme val="minor"/>
      </rPr>
      <t xml:space="preserve"> dropdown textbox in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</si>
  <si>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
    </r>
    <r>
      <rPr>
        <b/>
        <sz val="11"/>
        <color theme="1"/>
        <rFont val="Calibri"/>
        <family val="2"/>
        <scheme val="minor"/>
      </rPr>
      <t>'Movement Details'</t>
    </r>
    <r>
      <rPr>
        <sz val="11"/>
        <color theme="1"/>
        <rFont val="Calibri"/>
        <family val="2"/>
        <scheme val="minor"/>
      </rPr>
      <t xml:space="preserve"> dropdown textbox in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</si>
  <si>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POR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</si>
  <si>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Time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</si>
  <si>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Co Loader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</si>
  <si>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
    </r>
    <r>
      <rPr>
        <b/>
        <sz val="11"/>
        <color theme="1"/>
        <rFont val="Calibri"/>
        <family val="2"/>
        <scheme val="minor"/>
      </rPr>
      <t>'Transport Mode'</t>
    </r>
    <r>
      <rPr>
        <sz val="11"/>
        <color theme="1"/>
        <rFont val="Calibri"/>
        <family val="2"/>
        <scheme val="minor"/>
      </rPr>
      <t xml:space="preserve"> dropdown textbox in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</si>
  <si>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POL</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</si>
  <si>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Validate the functionality of ‘</t>
    </r>
    <r>
      <rPr>
        <b/>
        <sz val="11"/>
        <color theme="1"/>
        <rFont val="Calibri"/>
        <family val="2"/>
        <scheme val="minor"/>
      </rPr>
      <t>Est. Loading Date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</si>
  <si>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CFS</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</si>
  <si>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
    </r>
    <r>
      <rPr>
        <b/>
        <sz val="11"/>
        <color theme="1"/>
        <rFont val="Calibri"/>
        <family val="2"/>
        <scheme val="minor"/>
      </rPr>
      <t>'Display Status'</t>
    </r>
    <r>
      <rPr>
        <sz val="11"/>
        <color theme="1"/>
        <rFont val="Calibri"/>
        <family val="2"/>
        <scheme val="minor"/>
      </rPr>
      <t xml:space="preserve"> dropdown textbox in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</si>
  <si>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POD</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</si>
  <si>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Validate the functionality of ‘</t>
    </r>
    <r>
      <rPr>
        <b/>
        <sz val="11"/>
        <color theme="1"/>
        <rFont val="Calibri"/>
        <family val="2"/>
        <scheme val="minor"/>
      </rPr>
      <t>ETD</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</si>
  <si>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Carrier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</si>
  <si>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FDC</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</si>
  <si>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Schedule UID</t>
    </r>
    <r>
      <rPr>
        <sz val="11"/>
        <color theme="1"/>
        <rFont val="Calibri"/>
        <family val="2"/>
        <scheme val="minor"/>
      </rPr>
      <t xml:space="preserve"> textbox &amp; Beside </t>
    </r>
    <r>
      <rPr>
        <b/>
        <sz val="11"/>
        <color theme="1"/>
        <rFont val="Calibri"/>
        <family val="2"/>
        <scheme val="minor"/>
      </rPr>
      <t xml:space="preserve">Checkbox </t>
    </r>
    <r>
      <rPr>
        <sz val="11"/>
        <color theme="1"/>
        <rFont val="Calibri"/>
        <family val="2"/>
        <scheme val="minor"/>
      </rPr>
      <t xml:space="preserve">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</si>
  <si>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Transit</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</si>
  <si>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Validate the functionality of '</t>
    </r>
    <r>
      <rPr>
        <b/>
        <sz val="11"/>
        <color theme="1"/>
        <rFont val="Calibri"/>
        <family val="2"/>
        <scheme val="minor"/>
      </rPr>
      <t>Status'</t>
    </r>
    <r>
      <rPr>
        <sz val="11"/>
        <color theme="1"/>
        <rFont val="Calibri"/>
        <family val="2"/>
        <scheme val="minor"/>
      </rPr>
      <t xml:space="preserve"> dropdown textbox in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</si>
  <si>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VCN No</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</si>
  <si>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Loading</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</si>
  <si>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Validate the functionality of ‘</t>
    </r>
    <r>
      <rPr>
        <b/>
        <sz val="11"/>
        <color theme="1"/>
        <rFont val="Calibri"/>
        <family val="2"/>
        <scheme val="minor"/>
      </rPr>
      <t>ETA</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</si>
  <si>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Note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</si>
  <si>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Currency</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</si>
  <si>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Cargo Type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t>
    </r>
    <r>
      <rPr>
        <b/>
        <sz val="11"/>
        <color theme="1"/>
        <rFont val="Calibri"/>
        <family val="2"/>
        <scheme val="minor"/>
      </rPr>
      <t xml:space="preserve"> Schedule Master </t>
    </r>
    <r>
      <rPr>
        <sz val="11"/>
        <color theme="1"/>
        <rFont val="Calibri"/>
        <family val="2"/>
        <scheme val="minor"/>
      </rPr>
      <t>page. (Selling Schedule Section)</t>
    </r>
  </si>
  <si>
    <r>
      <t xml:space="preserve">Validate the functionality of the </t>
    </r>
    <r>
      <rPr>
        <b/>
        <sz val="11"/>
        <color theme="1"/>
        <rFont val="Calibri"/>
        <family val="2"/>
        <scheme val="minor"/>
      </rPr>
      <t>ROE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</si>
  <si>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Vessel UID</t>
    </r>
    <r>
      <rPr>
        <sz val="11"/>
        <color theme="1"/>
        <rFont val="Calibri"/>
        <family val="2"/>
        <scheme val="minor"/>
      </rPr>
      <t xml:space="preserve"> (Second)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(Selling Schedule Section)</t>
    </r>
  </si>
  <si>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Selling Schedule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t>
    </r>
    <r>
      <rPr>
        <b/>
        <sz val="11"/>
        <color theme="1"/>
        <rFont val="Calibri"/>
        <family val="2"/>
        <scheme val="minor"/>
      </rPr>
      <t>mandatory &amp; non-mandatory)</t>
    </r>
    <r>
      <rPr>
        <sz val="11"/>
        <color theme="1"/>
        <rFont val="Calibri"/>
        <family val="2"/>
        <scheme val="minor"/>
      </rPr>
      <t xml:space="preserve"> fields are filled.</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</si>
  <si>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Enter valid data in all textboxes of the</t>
    </r>
    <r>
      <rPr>
        <b/>
        <sz val="11"/>
        <color theme="1"/>
        <rFont val="Calibri"/>
        <family val="2"/>
        <scheme val="minor"/>
      </rPr>
      <t xml:space="preserve"> Schedule Master section</t>
    </r>
    <r>
      <rPr>
        <sz val="11"/>
        <color theme="1"/>
        <rFont val="Calibri"/>
        <family val="2"/>
        <scheme val="minor"/>
      </rPr>
      <t xml:space="preserve">.
5. Enter valid data in all textboxes of the </t>
    </r>
    <r>
      <rPr>
        <b/>
        <sz val="11"/>
        <color theme="1"/>
        <rFont val="Calibri"/>
        <family val="2"/>
        <scheme val="minor"/>
      </rPr>
      <t>Selling Schedule section</t>
    </r>
    <r>
      <rPr>
        <sz val="11"/>
        <color theme="1"/>
        <rFont val="Calibri"/>
        <family val="2"/>
        <scheme val="minor"/>
      </rPr>
      <t xml:space="preserve">.
6. Click the </t>
    </r>
    <r>
      <rPr>
        <b/>
        <sz val="11"/>
        <color theme="1"/>
        <rFont val="Calibri"/>
        <family val="2"/>
        <scheme val="minor"/>
      </rPr>
      <t>Add</t>
    </r>
    <r>
      <rPr>
        <sz val="11"/>
        <color theme="1"/>
        <rFont val="Calibri"/>
        <family val="2"/>
        <scheme val="minor"/>
      </rPr>
      <t xml:space="preserve"> button and observe the system behavior.
7. Click the </t>
    </r>
    <r>
      <rPr>
        <b/>
        <sz val="11"/>
        <color theme="1"/>
        <rFont val="Calibri"/>
        <family val="2"/>
        <scheme val="minor"/>
      </rPr>
      <t>Save</t>
    </r>
    <r>
      <rPr>
        <sz val="11"/>
        <color theme="1"/>
        <rFont val="Calibri"/>
        <family val="2"/>
        <scheme val="minor"/>
      </rPr>
      <t xml:space="preserve"> button and observe the system behavior.</t>
    </r>
  </si>
  <si>
    <t xml:space="preserve">1. Valid data in all textboxes of the Schedule Master section.
2. Valid data in all textboxes of the Selling Schedule section.
</t>
  </si>
  <si>
    <r>
      <t xml:space="preserve">1. After filling all fields in the </t>
    </r>
    <r>
      <rPr>
        <b/>
        <sz val="11"/>
        <color theme="1"/>
        <rFont val="Calibri"/>
        <family val="2"/>
        <scheme val="minor"/>
      </rPr>
      <t xml:space="preserve">Schedule Master </t>
    </r>
    <r>
      <rPr>
        <sz val="11"/>
        <color theme="1"/>
        <rFont val="Calibri"/>
        <family val="2"/>
        <scheme val="minor"/>
      </rPr>
      <t xml:space="preserve">and </t>
    </r>
    <r>
      <rPr>
        <b/>
        <sz val="11"/>
        <color theme="1"/>
        <rFont val="Calibri"/>
        <family val="2"/>
        <scheme val="minor"/>
      </rPr>
      <t>Selling Schedule</t>
    </r>
    <r>
      <rPr>
        <sz val="11"/>
        <color theme="1"/>
        <rFont val="Calibri"/>
        <family val="2"/>
        <scheme val="minor"/>
      </rPr>
      <t xml:space="preserve"> sections, clicking </t>
    </r>
    <r>
      <rPr>
        <b/>
        <sz val="11"/>
        <color theme="1"/>
        <rFont val="Calibri"/>
        <family val="2"/>
        <scheme val="minor"/>
      </rPr>
      <t>Add</t>
    </r>
    <r>
      <rPr>
        <sz val="11"/>
        <color theme="1"/>
        <rFont val="Calibri"/>
        <family val="2"/>
        <scheme val="minor"/>
      </rPr>
      <t xml:space="preserve"> should add a record to the </t>
    </r>
    <r>
      <rPr>
        <b/>
        <sz val="11"/>
        <color theme="1"/>
        <rFont val="Calibri"/>
        <family val="2"/>
        <scheme val="minor"/>
      </rPr>
      <t>Selling Schedule grid</t>
    </r>
    <r>
      <rPr>
        <sz val="11"/>
        <color theme="1"/>
        <rFont val="Calibri"/>
        <family val="2"/>
        <scheme val="minor"/>
      </rPr>
      <t xml:space="preserve">.
2. In the </t>
    </r>
    <r>
      <rPr>
        <b/>
        <sz val="11"/>
        <color theme="1"/>
        <rFont val="Calibri"/>
        <family val="2"/>
        <scheme val="minor"/>
      </rPr>
      <t>Selling Schedule grid</t>
    </r>
    <r>
      <rPr>
        <sz val="11"/>
        <color theme="1"/>
        <rFont val="Calibri"/>
        <family val="2"/>
        <scheme val="minor"/>
      </rPr>
      <t xml:space="preserve">, values should be displayed under the correct column headers for all entered fields.
3. On selecting the added grid record, the data should populate the corresponding textboxes correctly.
4. After adding a record:
 -&gt; All textboxes in the </t>
    </r>
    <r>
      <rPr>
        <b/>
        <sz val="11"/>
        <color theme="1"/>
        <rFont val="Calibri"/>
        <family val="2"/>
        <scheme val="minor"/>
      </rPr>
      <t>Selling Schedule section</t>
    </r>
    <r>
      <rPr>
        <sz val="11"/>
        <color theme="1"/>
        <rFont val="Calibri"/>
        <family val="2"/>
        <scheme val="minor"/>
      </rPr>
      <t xml:space="preserve"> should be cleared for a new entry.
 -&gt; Data entered in the </t>
    </r>
    <r>
      <rPr>
        <b/>
        <sz val="11"/>
        <color theme="1"/>
        <rFont val="Calibri"/>
        <family val="2"/>
        <scheme val="minor"/>
      </rPr>
      <t>Schedule Master section</t>
    </r>
    <r>
      <rPr>
        <sz val="11"/>
        <color theme="1"/>
        <rFont val="Calibri"/>
        <family val="2"/>
        <scheme val="minor"/>
      </rPr>
      <t xml:space="preserve"> should remain intact for further entries.
5. After clicking </t>
    </r>
    <r>
      <rPr>
        <b/>
        <sz val="11"/>
        <color theme="1"/>
        <rFont val="Calibri"/>
        <family val="2"/>
        <scheme val="minor"/>
      </rPr>
      <t>Save,</t>
    </r>
    <r>
      <rPr>
        <sz val="11"/>
        <color theme="1"/>
        <rFont val="Calibri"/>
        <family val="2"/>
        <scheme val="minor"/>
      </rPr>
      <t xml:space="preserve"> the record should be </t>
    </r>
    <r>
      <rPr>
        <b/>
        <sz val="11"/>
        <color theme="1"/>
        <rFont val="Calibri"/>
        <family val="2"/>
        <scheme val="minor"/>
      </rPr>
      <t>saved successfully</t>
    </r>
    <r>
      <rPr>
        <sz val="11"/>
        <color theme="1"/>
        <rFont val="Calibri"/>
        <family val="2"/>
        <scheme val="minor"/>
      </rPr>
      <t xml:space="preserve"> and a </t>
    </r>
    <r>
      <rPr>
        <b/>
        <sz val="11"/>
        <color theme="1"/>
        <rFont val="Calibri"/>
        <family val="2"/>
        <scheme val="minor"/>
      </rPr>
      <t>success validation message should be displayed</t>
    </r>
    <r>
      <rPr>
        <sz val="11"/>
        <color theme="1"/>
        <rFont val="Calibri"/>
        <family val="2"/>
        <scheme val="minor"/>
      </rPr>
      <t>.
6. Using the</t>
    </r>
    <r>
      <rPr>
        <b/>
        <sz val="11"/>
        <color theme="1"/>
        <rFont val="Calibri"/>
        <family val="2"/>
        <scheme val="minor"/>
      </rPr>
      <t xml:space="preserve"> Search tab </t>
    </r>
    <r>
      <rPr>
        <sz val="11"/>
        <color theme="1"/>
        <rFont val="Calibri"/>
        <family val="2"/>
        <scheme val="minor"/>
      </rPr>
      <t xml:space="preserve">on the </t>
    </r>
    <r>
      <rPr>
        <b/>
        <sz val="11"/>
        <color theme="1"/>
        <rFont val="Calibri"/>
        <family val="2"/>
        <scheme val="minor"/>
      </rPr>
      <t xml:space="preserve">Schedule Master </t>
    </r>
    <r>
      <rPr>
        <sz val="11"/>
        <color theme="1"/>
        <rFont val="Calibri"/>
        <family val="2"/>
        <scheme val="minor"/>
      </rPr>
      <t>page:
 -&gt; Search and select the newly saved record.
 -&gt; Vessel UID and Schedule UID should be auto-populated.
 -&gt; These UID textboxes should be non-editable.</t>
    </r>
  </si>
  <si>
    <r>
      <t xml:space="preserve">1. After filling all fields in the </t>
    </r>
    <r>
      <rPr>
        <b/>
        <sz val="11"/>
        <color theme="1"/>
        <rFont val="Calibri"/>
        <family val="2"/>
        <scheme val="minor"/>
      </rPr>
      <t xml:space="preserve">Schedule Master </t>
    </r>
    <r>
      <rPr>
        <sz val="11"/>
        <color theme="1"/>
        <rFont val="Calibri"/>
        <family val="2"/>
        <scheme val="minor"/>
      </rPr>
      <t xml:space="preserve">and </t>
    </r>
    <r>
      <rPr>
        <b/>
        <sz val="11"/>
        <color theme="1"/>
        <rFont val="Calibri"/>
        <family val="2"/>
        <scheme val="minor"/>
      </rPr>
      <t>Selling Schedule sections</t>
    </r>
    <r>
      <rPr>
        <sz val="11"/>
        <color theme="1"/>
        <rFont val="Calibri"/>
        <family val="2"/>
        <scheme val="minor"/>
      </rPr>
      <t xml:space="preserve">, clicking the </t>
    </r>
    <r>
      <rPr>
        <b/>
        <sz val="11"/>
        <color theme="1"/>
        <rFont val="Calibri"/>
        <family val="2"/>
        <scheme val="minor"/>
      </rPr>
      <t>Add</t>
    </r>
    <r>
      <rPr>
        <sz val="11"/>
        <color theme="1"/>
        <rFont val="Calibri"/>
        <family val="2"/>
        <scheme val="minor"/>
      </rPr>
      <t xml:space="preserve"> button successfully adds a record to the Selling Schedule grid.
2. In the </t>
    </r>
    <r>
      <rPr>
        <b/>
        <sz val="11"/>
        <color theme="1"/>
        <rFont val="Calibri"/>
        <family val="2"/>
        <scheme val="minor"/>
      </rPr>
      <t>Selling Schedule grid</t>
    </r>
    <r>
      <rPr>
        <sz val="11"/>
        <color theme="1"/>
        <rFont val="Calibri"/>
        <family val="2"/>
        <scheme val="minor"/>
      </rPr>
      <t xml:space="preserve">, values are displayed under the </t>
    </r>
    <r>
      <rPr>
        <b/>
        <sz val="11"/>
        <color theme="1"/>
        <rFont val="Calibri"/>
        <family val="2"/>
        <scheme val="minor"/>
      </rPr>
      <t>correct column headers</t>
    </r>
    <r>
      <rPr>
        <sz val="11"/>
        <color theme="1"/>
        <rFont val="Calibri"/>
        <family val="2"/>
        <scheme val="minor"/>
      </rPr>
      <t xml:space="preserve"> for all entered fields.
3. On selecting the added</t>
    </r>
    <r>
      <rPr>
        <b/>
        <sz val="11"/>
        <color theme="1"/>
        <rFont val="Calibri"/>
        <family val="2"/>
        <scheme val="minor"/>
      </rPr>
      <t xml:space="preserve"> Selling Schedule grid </t>
    </r>
    <r>
      <rPr>
        <sz val="11"/>
        <color theme="1"/>
        <rFont val="Calibri"/>
        <family val="2"/>
        <scheme val="minor"/>
      </rPr>
      <t xml:space="preserve">record, the data is populated into the </t>
    </r>
    <r>
      <rPr>
        <b/>
        <sz val="11"/>
        <color theme="1"/>
        <rFont val="Calibri"/>
        <family val="2"/>
        <scheme val="minor"/>
      </rPr>
      <t>corresponding textboxes correctly.</t>
    </r>
    <r>
      <rPr>
        <sz val="11"/>
        <color theme="1"/>
        <rFont val="Calibri"/>
        <family val="2"/>
        <scheme val="minor"/>
      </rPr>
      <t xml:space="preserve">
4. After adding a record:
 -&gt; All textboxes in the </t>
    </r>
    <r>
      <rPr>
        <b/>
        <sz val="11"/>
        <color theme="1"/>
        <rFont val="Calibri"/>
        <family val="2"/>
        <scheme val="minor"/>
      </rPr>
      <t>Selling Schedule section</t>
    </r>
    <r>
      <rPr>
        <sz val="11"/>
        <color theme="1"/>
        <rFont val="Calibri"/>
        <family val="2"/>
        <scheme val="minor"/>
      </rPr>
      <t xml:space="preserve"> are cleared for a new entry. (The checkbox selection is not cleared.)
 -&gt; Data entered in the </t>
    </r>
    <r>
      <rPr>
        <b/>
        <sz val="11"/>
        <color theme="1"/>
        <rFont val="Calibri"/>
        <family val="2"/>
        <scheme val="minor"/>
      </rPr>
      <t>Schedule Master section</t>
    </r>
    <r>
      <rPr>
        <sz val="11"/>
        <color theme="1"/>
        <rFont val="Calibri"/>
        <family val="2"/>
        <scheme val="minor"/>
      </rPr>
      <t xml:space="preserve"> remains intact for</t>
    </r>
    <r>
      <rPr>
        <b/>
        <sz val="11"/>
        <color theme="1"/>
        <rFont val="Calibri"/>
        <family val="2"/>
        <scheme val="minor"/>
      </rPr>
      <t xml:space="preserve"> further entries.</t>
    </r>
    <r>
      <rPr>
        <sz val="11"/>
        <color theme="1"/>
        <rFont val="Calibri"/>
        <family val="2"/>
        <scheme val="minor"/>
      </rPr>
      <t xml:space="preserve">
5. The record is </t>
    </r>
    <r>
      <rPr>
        <b/>
        <sz val="11"/>
        <color theme="1"/>
        <rFont val="Calibri"/>
        <family val="2"/>
        <scheme val="minor"/>
      </rPr>
      <t>saved successfully</t>
    </r>
    <r>
      <rPr>
        <sz val="11"/>
        <color theme="1"/>
        <rFont val="Calibri"/>
        <family val="2"/>
        <scheme val="minor"/>
      </rPr>
      <t xml:space="preserve"> and is </t>
    </r>
    <r>
      <rPr>
        <b/>
        <sz val="11"/>
        <color theme="1"/>
        <rFont val="Calibri"/>
        <family val="2"/>
        <scheme val="minor"/>
      </rPr>
      <t>searchable</t>
    </r>
    <r>
      <rPr>
        <sz val="11"/>
        <color theme="1"/>
        <rFont val="Calibri"/>
        <family val="2"/>
        <scheme val="minor"/>
      </rPr>
      <t xml:space="preserve"> and </t>
    </r>
    <r>
      <rPr>
        <b/>
        <sz val="11"/>
        <color theme="1"/>
        <rFont val="Calibri"/>
        <family val="2"/>
        <scheme val="minor"/>
      </rPr>
      <t>selectable</t>
    </r>
    <r>
      <rPr>
        <sz val="11"/>
        <color theme="1"/>
        <rFont val="Calibri"/>
        <family val="2"/>
        <scheme val="minor"/>
      </rPr>
      <t xml:space="preserve"> from the </t>
    </r>
    <r>
      <rPr>
        <b/>
        <sz val="11"/>
        <color theme="1"/>
        <rFont val="Calibri"/>
        <family val="2"/>
        <scheme val="minor"/>
      </rPr>
      <t>Search tab.</t>
    </r>
  </si>
  <si>
    <t xml:space="preserve">BA-349
</t>
  </si>
  <si>
    <t xml:space="preserve">BA-350
</t>
  </si>
  <si>
    <t>BA-350</t>
  </si>
  <si>
    <t xml:space="preserve">BA-351
</t>
  </si>
  <si>
    <t xml:space="preserve">BA-352
</t>
  </si>
  <si>
    <t xml:space="preserve">BA-353
</t>
  </si>
  <si>
    <t xml:space="preserve">BA-354
</t>
  </si>
  <si>
    <t xml:space="preserve">BA-355
</t>
  </si>
  <si>
    <t>BA-356</t>
  </si>
  <si>
    <t>BA-358</t>
  </si>
  <si>
    <t>BA-359</t>
  </si>
  <si>
    <t>BA-360</t>
  </si>
  <si>
    <t>1. Functionality is not working as expected.
2.After clicking Clear:
 -&gt; Attached file is not removed
 -&gt; All other fields are cleared successfully.
 -&gt; On clearing Clear, all dropdown are not  reset to “Select” and instead appears blank. (Basis)
Note - The system is also not asking for confirmation before clearing the page.</t>
  </si>
  <si>
    <r>
      <t xml:space="preserve">1. Functionality is not working as expected.
2. </t>
    </r>
    <r>
      <rPr>
        <b/>
        <sz val="11"/>
        <color theme="1"/>
        <rFont val="Calibri"/>
        <family val="2"/>
        <scheme val="minor"/>
      </rPr>
      <t>Basis</t>
    </r>
    <r>
      <rPr>
        <sz val="11"/>
        <color theme="1"/>
        <rFont val="Calibri"/>
        <family val="2"/>
        <scheme val="minor"/>
      </rPr>
      <t xml:space="preserve"> value can be selected only from the dropdown.
</t>
    </r>
  </si>
  <si>
    <r>
      <t xml:space="preserve">1. Manual input should not be allowed in the </t>
    </r>
    <r>
      <rPr>
        <b/>
        <sz val="11"/>
        <color theme="1"/>
        <rFont val="Calibri"/>
        <family val="2"/>
        <scheme val="minor"/>
      </rPr>
      <t>Basis</t>
    </r>
    <r>
      <rPr>
        <sz val="11"/>
        <color theme="1"/>
        <rFont val="Calibri"/>
        <family val="2"/>
        <scheme val="minor"/>
      </rPr>
      <t xml:space="preserve"> field.
2. User must be able to choose </t>
    </r>
    <r>
      <rPr>
        <b/>
        <sz val="11"/>
        <color theme="1"/>
        <rFont val="Calibri"/>
        <family val="2"/>
        <scheme val="minor"/>
      </rPr>
      <t>Basis</t>
    </r>
    <r>
      <rPr>
        <sz val="11"/>
        <color theme="1"/>
        <rFont val="Calibri"/>
        <family val="2"/>
        <scheme val="minor"/>
      </rPr>
      <t xml:space="preserve"> value only from the dropdown.
3. If the user types anything invalid, the textbox should automatically clear.
</t>
    </r>
  </si>
  <si>
    <r>
      <t xml:space="preserve">1 .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Yes → Entire page should reset to default:</t>
    </r>
    <r>
      <rPr>
        <sz val="11"/>
        <color theme="1"/>
        <rFont val="Calibri"/>
        <family val="2"/>
        <scheme val="minor"/>
      </rPr>
      <t xml:space="preserve">
 -&gt; All textboxes cleared
 -&gt; All dropdowns reset
 -&gt; Radio buttons reset
 -&gt; Attached file removed
 -&gt; Grid entries cleared
On clearing the page, the Basis field should reset to the default value “Select”.
</t>
    </r>
    <r>
      <rPr>
        <b/>
        <sz val="11"/>
        <color theme="1"/>
        <rFont val="Calibri"/>
        <family val="2"/>
        <scheme val="minor"/>
      </rPr>
      <t>No → All entered data should remain unchanged.</t>
    </r>
    <r>
      <rPr>
        <sz val="11"/>
        <color theme="1"/>
        <rFont val="Calibri"/>
        <family val="2"/>
        <scheme val="minor"/>
      </rPr>
      <t xml:space="preserve">
2. Clear button should fully reset the page state.
</t>
    </r>
    <r>
      <rPr>
        <b/>
        <sz val="11"/>
        <color theme="1"/>
        <rFont val="Calibri"/>
        <family val="2"/>
        <scheme val="minor"/>
      </rPr>
      <t/>
    </r>
  </si>
  <si>
    <t>BA-361</t>
  </si>
  <si>
    <t>BA-362</t>
  </si>
  <si>
    <t>BA-363</t>
  </si>
  <si>
    <t>BA-364</t>
  </si>
  <si>
    <t>BA-365</t>
  </si>
  <si>
    <t>BA-366</t>
  </si>
  <si>
    <t>BA-367</t>
  </si>
  <si>
    <t>BA-368</t>
  </si>
  <si>
    <t>BA-370</t>
  </si>
  <si>
    <t>BA-371</t>
  </si>
  <si>
    <t>BA-372</t>
  </si>
  <si>
    <t>BA-373</t>
  </si>
  <si>
    <t>BA-374</t>
  </si>
  <si>
    <t>BA-375</t>
  </si>
  <si>
    <t>BA-376</t>
  </si>
  <si>
    <t>BA-377</t>
  </si>
  <si>
    <t>BA-378</t>
  </si>
  <si>
    <t>BA-379</t>
  </si>
  <si>
    <t>BA-380</t>
  </si>
  <si>
    <t>BA-381</t>
  </si>
  <si>
    <t>BA-382</t>
  </si>
  <si>
    <t>BA-383</t>
  </si>
  <si>
    <t>BA-384</t>
  </si>
  <si>
    <t>BA-385</t>
  </si>
  <si>
    <t>BA-386</t>
  </si>
  <si>
    <t>BA-387</t>
  </si>
  <si>
    <t>BA-388</t>
  </si>
  <si>
    <t>BA-389</t>
  </si>
  <si>
    <t>BA-390</t>
  </si>
  <si>
    <t>BA-391</t>
  </si>
  <si>
    <t>BA-392</t>
  </si>
  <si>
    <t>BA-393</t>
  </si>
  <si>
    <t>BA-394</t>
  </si>
  <si>
    <t>BA-395</t>
  </si>
  <si>
    <t>BA-396</t>
  </si>
  <si>
    <t>BA-397</t>
  </si>
  <si>
    <t>BA-398</t>
  </si>
  <si>
    <t>BA-399</t>
  </si>
  <si>
    <t>BA-400</t>
  </si>
  <si>
    <t>Schedule_Master_36</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</si>
  <si>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Selling Schedule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t>
    </r>
    <r>
      <rPr>
        <b/>
        <sz val="11"/>
        <color theme="1"/>
        <rFont val="Calibri"/>
        <family val="2"/>
        <scheme val="minor"/>
      </rPr>
      <t xml:space="preserve">mandatory </t>
    </r>
    <r>
      <rPr>
        <sz val="11"/>
        <color theme="1"/>
        <rFont val="Calibri"/>
        <family val="2"/>
        <scheme val="minor"/>
      </rPr>
      <t>fields are filled and Non-Mandatory fields left blank.</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</si>
  <si>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Enter valid data in mandatory textboxes of the</t>
    </r>
    <r>
      <rPr>
        <b/>
        <sz val="11"/>
        <color theme="1"/>
        <rFont val="Calibri"/>
        <family val="2"/>
        <scheme val="minor"/>
      </rPr>
      <t xml:space="preserve"> Schedule Master section</t>
    </r>
    <r>
      <rPr>
        <sz val="11"/>
        <color theme="1"/>
        <rFont val="Calibri"/>
        <family val="2"/>
        <scheme val="minor"/>
      </rPr>
      <t xml:space="preserve">.
5. Enter valid data in mandatory textboxes of the </t>
    </r>
    <r>
      <rPr>
        <b/>
        <sz val="11"/>
        <color theme="1"/>
        <rFont val="Calibri"/>
        <family val="2"/>
        <scheme val="minor"/>
      </rPr>
      <t>Selling Schedule section</t>
    </r>
    <r>
      <rPr>
        <sz val="11"/>
        <color theme="1"/>
        <rFont val="Calibri"/>
        <family val="2"/>
        <scheme val="minor"/>
      </rPr>
      <t xml:space="preserve">.
6. Click the </t>
    </r>
    <r>
      <rPr>
        <b/>
        <sz val="11"/>
        <color theme="1"/>
        <rFont val="Calibri"/>
        <family val="2"/>
        <scheme val="minor"/>
      </rPr>
      <t>Add</t>
    </r>
    <r>
      <rPr>
        <sz val="11"/>
        <color theme="1"/>
        <rFont val="Calibri"/>
        <family val="2"/>
        <scheme val="minor"/>
      </rPr>
      <t xml:space="preserve"> button and observe the system behavior.
7. Click the </t>
    </r>
    <r>
      <rPr>
        <b/>
        <sz val="11"/>
        <color theme="1"/>
        <rFont val="Calibri"/>
        <family val="2"/>
        <scheme val="minor"/>
      </rPr>
      <t>Save</t>
    </r>
    <r>
      <rPr>
        <sz val="11"/>
        <color theme="1"/>
        <rFont val="Calibri"/>
        <family val="2"/>
        <scheme val="minor"/>
      </rPr>
      <t xml:space="preserve"> button and observe the system behavior.</t>
    </r>
  </si>
  <si>
    <t xml:space="preserve">1. Mandatory Fields of Schedule Master section.
 -&gt; Vessel
 -&gt; Voyage No
2. Mandatory Fields of Selling Schedule section.
 -&gt; Segment
 -&gt; Co Load
 -&gt; POR
 -&gt; Co Loader
 -&gt; POL
 -&gt; Display Status
 -&gt; POD
 -&gt; ETD
 -&gt; Carrier
 -&gt; FDC
 -&gt; ETA
</t>
  </si>
  <si>
    <r>
      <t xml:space="preserve">1. After filling mandatory fields in the </t>
    </r>
    <r>
      <rPr>
        <b/>
        <sz val="11"/>
        <color theme="1"/>
        <rFont val="Calibri"/>
        <family val="2"/>
        <scheme val="minor"/>
      </rPr>
      <t xml:space="preserve">Schedule Master </t>
    </r>
    <r>
      <rPr>
        <sz val="11"/>
        <color theme="1"/>
        <rFont val="Calibri"/>
        <family val="2"/>
        <scheme val="minor"/>
      </rPr>
      <t xml:space="preserve">and </t>
    </r>
    <r>
      <rPr>
        <b/>
        <sz val="11"/>
        <color theme="1"/>
        <rFont val="Calibri"/>
        <family val="2"/>
        <scheme val="minor"/>
      </rPr>
      <t>Selling Schedule</t>
    </r>
    <r>
      <rPr>
        <sz val="11"/>
        <color theme="1"/>
        <rFont val="Calibri"/>
        <family val="2"/>
        <scheme val="minor"/>
      </rPr>
      <t xml:space="preserve"> sections, clicking </t>
    </r>
    <r>
      <rPr>
        <b/>
        <sz val="11"/>
        <color theme="1"/>
        <rFont val="Calibri"/>
        <family val="2"/>
        <scheme val="minor"/>
      </rPr>
      <t>Add</t>
    </r>
    <r>
      <rPr>
        <sz val="11"/>
        <color theme="1"/>
        <rFont val="Calibri"/>
        <family val="2"/>
        <scheme val="minor"/>
      </rPr>
      <t xml:space="preserve"> should add a record to the </t>
    </r>
    <r>
      <rPr>
        <b/>
        <sz val="11"/>
        <color theme="1"/>
        <rFont val="Calibri"/>
        <family val="2"/>
        <scheme val="minor"/>
      </rPr>
      <t>Selling Schedule grid</t>
    </r>
    <r>
      <rPr>
        <sz val="11"/>
        <color theme="1"/>
        <rFont val="Calibri"/>
        <family val="2"/>
        <scheme val="minor"/>
      </rPr>
      <t xml:space="preserve">.
2. In the </t>
    </r>
    <r>
      <rPr>
        <b/>
        <sz val="11"/>
        <color theme="1"/>
        <rFont val="Calibri"/>
        <family val="2"/>
        <scheme val="minor"/>
      </rPr>
      <t>Selling Schedule grid</t>
    </r>
    <r>
      <rPr>
        <sz val="11"/>
        <color theme="1"/>
        <rFont val="Calibri"/>
        <family val="2"/>
        <scheme val="minor"/>
      </rPr>
      <t xml:space="preserve">, values should be displayed under the correct column headers for entered fields.
3. On selecting the added grid record, the data should populate the corresponding textboxes correctly.
4. After adding a record:
 -&gt; All textboxes in the </t>
    </r>
    <r>
      <rPr>
        <b/>
        <sz val="11"/>
        <color theme="1"/>
        <rFont val="Calibri"/>
        <family val="2"/>
        <scheme val="minor"/>
      </rPr>
      <t>Selling Schedule section</t>
    </r>
    <r>
      <rPr>
        <sz val="11"/>
        <color theme="1"/>
        <rFont val="Calibri"/>
        <family val="2"/>
        <scheme val="minor"/>
      </rPr>
      <t xml:space="preserve"> should be cleared for a new entry.
 -&gt; Data entered in the </t>
    </r>
    <r>
      <rPr>
        <b/>
        <sz val="11"/>
        <color theme="1"/>
        <rFont val="Calibri"/>
        <family val="2"/>
        <scheme val="minor"/>
      </rPr>
      <t>Schedule Master section</t>
    </r>
    <r>
      <rPr>
        <sz val="11"/>
        <color theme="1"/>
        <rFont val="Calibri"/>
        <family val="2"/>
        <scheme val="minor"/>
      </rPr>
      <t xml:space="preserve"> should remain intact for further entries.
5. After clicking </t>
    </r>
    <r>
      <rPr>
        <b/>
        <sz val="11"/>
        <color theme="1"/>
        <rFont val="Calibri"/>
        <family val="2"/>
        <scheme val="minor"/>
      </rPr>
      <t>Save,</t>
    </r>
    <r>
      <rPr>
        <sz val="11"/>
        <color theme="1"/>
        <rFont val="Calibri"/>
        <family val="2"/>
        <scheme val="minor"/>
      </rPr>
      <t xml:space="preserve"> the record should be </t>
    </r>
    <r>
      <rPr>
        <b/>
        <sz val="11"/>
        <color theme="1"/>
        <rFont val="Calibri"/>
        <family val="2"/>
        <scheme val="minor"/>
      </rPr>
      <t>saved successfully</t>
    </r>
    <r>
      <rPr>
        <sz val="11"/>
        <color theme="1"/>
        <rFont val="Calibri"/>
        <family val="2"/>
        <scheme val="minor"/>
      </rPr>
      <t xml:space="preserve"> and a </t>
    </r>
    <r>
      <rPr>
        <b/>
        <sz val="11"/>
        <color theme="1"/>
        <rFont val="Calibri"/>
        <family val="2"/>
        <scheme val="minor"/>
      </rPr>
      <t>success validation message should be displayed</t>
    </r>
    <r>
      <rPr>
        <sz val="11"/>
        <color theme="1"/>
        <rFont val="Calibri"/>
        <family val="2"/>
        <scheme val="minor"/>
      </rPr>
      <t>.
6. Using the</t>
    </r>
    <r>
      <rPr>
        <b/>
        <sz val="11"/>
        <color theme="1"/>
        <rFont val="Calibri"/>
        <family val="2"/>
        <scheme val="minor"/>
      </rPr>
      <t xml:space="preserve"> Search tab </t>
    </r>
    <r>
      <rPr>
        <sz val="11"/>
        <color theme="1"/>
        <rFont val="Calibri"/>
        <family val="2"/>
        <scheme val="minor"/>
      </rPr>
      <t xml:space="preserve">on the </t>
    </r>
    <r>
      <rPr>
        <b/>
        <sz val="11"/>
        <color theme="1"/>
        <rFont val="Calibri"/>
        <family val="2"/>
        <scheme val="minor"/>
      </rPr>
      <t xml:space="preserve">Schedule Master </t>
    </r>
    <r>
      <rPr>
        <sz val="11"/>
        <color theme="1"/>
        <rFont val="Calibri"/>
        <family val="2"/>
        <scheme val="minor"/>
      </rPr>
      <t>page:
 -&gt; Search and select the newly saved record.
 -&gt; Vessel UID and Schedule UID should be auto-populated.
 -&gt; These UID textboxes should be non-editable.</t>
    </r>
  </si>
  <si>
    <r>
      <t xml:space="preserve">1. After filling mandatory fields in the </t>
    </r>
    <r>
      <rPr>
        <b/>
        <sz val="11"/>
        <color theme="1"/>
        <rFont val="Calibri"/>
        <family val="2"/>
        <scheme val="minor"/>
      </rPr>
      <t xml:space="preserve">Schedule Master </t>
    </r>
    <r>
      <rPr>
        <sz val="11"/>
        <color theme="1"/>
        <rFont val="Calibri"/>
        <family val="2"/>
        <scheme val="minor"/>
      </rPr>
      <t xml:space="preserve">and </t>
    </r>
    <r>
      <rPr>
        <b/>
        <sz val="11"/>
        <color theme="1"/>
        <rFont val="Calibri"/>
        <family val="2"/>
        <scheme val="minor"/>
      </rPr>
      <t>Selling Schedule sections</t>
    </r>
    <r>
      <rPr>
        <sz val="11"/>
        <color theme="1"/>
        <rFont val="Calibri"/>
        <family val="2"/>
        <scheme val="minor"/>
      </rPr>
      <t xml:space="preserve">, clicking the </t>
    </r>
    <r>
      <rPr>
        <b/>
        <sz val="11"/>
        <color theme="1"/>
        <rFont val="Calibri"/>
        <family val="2"/>
        <scheme val="minor"/>
      </rPr>
      <t>Add</t>
    </r>
    <r>
      <rPr>
        <sz val="11"/>
        <color theme="1"/>
        <rFont val="Calibri"/>
        <family val="2"/>
        <scheme val="minor"/>
      </rPr>
      <t xml:space="preserve"> button successfully adds a record to the </t>
    </r>
    <r>
      <rPr>
        <b/>
        <sz val="11"/>
        <color theme="1"/>
        <rFont val="Calibri"/>
        <family val="2"/>
        <scheme val="minor"/>
      </rPr>
      <t>Selling Schedule grid.</t>
    </r>
    <r>
      <rPr>
        <sz val="11"/>
        <color theme="1"/>
        <rFont val="Calibri"/>
        <family val="2"/>
        <scheme val="minor"/>
      </rPr>
      <t xml:space="preserve">
2. In the </t>
    </r>
    <r>
      <rPr>
        <b/>
        <sz val="11"/>
        <color theme="1"/>
        <rFont val="Calibri"/>
        <family val="2"/>
        <scheme val="minor"/>
      </rPr>
      <t>Selling Schedule grid</t>
    </r>
    <r>
      <rPr>
        <sz val="11"/>
        <color theme="1"/>
        <rFont val="Calibri"/>
        <family val="2"/>
        <scheme val="minor"/>
      </rPr>
      <t xml:space="preserve">, values are displayed under the </t>
    </r>
    <r>
      <rPr>
        <b/>
        <sz val="11"/>
        <color theme="1"/>
        <rFont val="Calibri"/>
        <family val="2"/>
        <scheme val="minor"/>
      </rPr>
      <t>correct column headers</t>
    </r>
    <r>
      <rPr>
        <sz val="11"/>
        <color theme="1"/>
        <rFont val="Calibri"/>
        <family val="2"/>
        <scheme val="minor"/>
      </rPr>
      <t xml:space="preserve"> for all entered fields.
3. On selecting the added</t>
    </r>
    <r>
      <rPr>
        <b/>
        <sz val="11"/>
        <color theme="1"/>
        <rFont val="Calibri"/>
        <family val="2"/>
        <scheme val="minor"/>
      </rPr>
      <t xml:space="preserve"> Selling Schedule grid </t>
    </r>
    <r>
      <rPr>
        <sz val="11"/>
        <color theme="1"/>
        <rFont val="Calibri"/>
        <family val="2"/>
        <scheme val="minor"/>
      </rPr>
      <t xml:space="preserve">record, the data is populated into the </t>
    </r>
    <r>
      <rPr>
        <b/>
        <sz val="11"/>
        <color theme="1"/>
        <rFont val="Calibri"/>
        <family val="2"/>
        <scheme val="minor"/>
      </rPr>
      <t>corresponding textboxes correctly.</t>
    </r>
    <r>
      <rPr>
        <sz val="11"/>
        <color theme="1"/>
        <rFont val="Calibri"/>
        <family val="2"/>
        <scheme val="minor"/>
      </rPr>
      <t xml:space="preserve">
4. After adding a record:
 -&gt; All textboxes in the </t>
    </r>
    <r>
      <rPr>
        <b/>
        <sz val="11"/>
        <color theme="1"/>
        <rFont val="Calibri"/>
        <family val="2"/>
        <scheme val="minor"/>
      </rPr>
      <t>Selling Schedule section</t>
    </r>
    <r>
      <rPr>
        <sz val="11"/>
        <color theme="1"/>
        <rFont val="Calibri"/>
        <family val="2"/>
        <scheme val="minor"/>
      </rPr>
      <t xml:space="preserve"> are cleared for a new entry. (The checkbox selection is not cleared.)
 -&gt; Data entered in the </t>
    </r>
    <r>
      <rPr>
        <b/>
        <sz val="11"/>
        <color theme="1"/>
        <rFont val="Calibri"/>
        <family val="2"/>
        <scheme val="minor"/>
      </rPr>
      <t>Schedule Master section</t>
    </r>
    <r>
      <rPr>
        <sz val="11"/>
        <color theme="1"/>
        <rFont val="Calibri"/>
        <family val="2"/>
        <scheme val="minor"/>
      </rPr>
      <t xml:space="preserve"> remains intact for</t>
    </r>
    <r>
      <rPr>
        <b/>
        <sz val="11"/>
        <color theme="1"/>
        <rFont val="Calibri"/>
        <family val="2"/>
        <scheme val="minor"/>
      </rPr>
      <t xml:space="preserve"> further entries.</t>
    </r>
    <r>
      <rPr>
        <sz val="11"/>
        <color theme="1"/>
        <rFont val="Calibri"/>
        <family val="2"/>
        <scheme val="minor"/>
      </rPr>
      <t xml:space="preserve">
5. The record is </t>
    </r>
    <r>
      <rPr>
        <b/>
        <sz val="11"/>
        <color theme="1"/>
        <rFont val="Calibri"/>
        <family val="2"/>
        <scheme val="minor"/>
      </rPr>
      <t>saved successfully</t>
    </r>
    <r>
      <rPr>
        <sz val="11"/>
        <color theme="1"/>
        <rFont val="Calibri"/>
        <family val="2"/>
        <scheme val="minor"/>
      </rPr>
      <t xml:space="preserve"> and is </t>
    </r>
    <r>
      <rPr>
        <b/>
        <sz val="11"/>
        <color theme="1"/>
        <rFont val="Calibri"/>
        <family val="2"/>
        <scheme val="minor"/>
      </rPr>
      <t>searchable</t>
    </r>
    <r>
      <rPr>
        <sz val="11"/>
        <color theme="1"/>
        <rFont val="Calibri"/>
        <family val="2"/>
        <scheme val="minor"/>
      </rPr>
      <t xml:space="preserve"> and </t>
    </r>
    <r>
      <rPr>
        <b/>
        <sz val="11"/>
        <color theme="1"/>
        <rFont val="Calibri"/>
        <family val="2"/>
        <scheme val="minor"/>
      </rPr>
      <t>selectable</t>
    </r>
    <r>
      <rPr>
        <sz val="11"/>
        <color theme="1"/>
        <rFont val="Calibri"/>
        <family val="2"/>
        <scheme val="minor"/>
      </rPr>
      <t xml:space="preserve"> from the </t>
    </r>
    <r>
      <rPr>
        <b/>
        <sz val="11"/>
        <color theme="1"/>
        <rFont val="Calibri"/>
        <family val="2"/>
        <scheme val="minor"/>
      </rPr>
      <t>Search tab.</t>
    </r>
  </si>
  <si>
    <t>Schedule_Master_37</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</si>
  <si>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Selling Schedule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t>
    </r>
    <r>
      <rPr>
        <b/>
        <sz val="11"/>
        <color theme="1"/>
        <rFont val="Calibri"/>
        <family val="2"/>
        <scheme val="minor"/>
      </rPr>
      <t>Non-</t>
    </r>
    <r>
      <rPr>
        <sz val="11"/>
        <color theme="1"/>
        <rFont val="Calibri"/>
        <family val="2"/>
        <scheme val="minor"/>
      </rPr>
      <t xml:space="preserve"> </t>
    </r>
    <r>
      <rPr>
        <b/>
        <sz val="11"/>
        <color theme="1"/>
        <rFont val="Calibri"/>
        <family val="2"/>
        <scheme val="minor"/>
      </rPr>
      <t xml:space="preserve">mandatory </t>
    </r>
    <r>
      <rPr>
        <sz val="11"/>
        <color theme="1"/>
        <rFont val="Calibri"/>
        <family val="2"/>
        <scheme val="minor"/>
      </rPr>
      <t>fields are filled and Mandatory fields left blank.</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</si>
  <si>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data in </t>
    </r>
    <r>
      <rPr>
        <b/>
        <sz val="11"/>
        <color theme="1"/>
        <rFont val="Calibri"/>
        <family val="2"/>
        <scheme val="minor"/>
      </rPr>
      <t>Non-Mandatory</t>
    </r>
    <r>
      <rPr>
        <sz val="11"/>
        <color theme="1"/>
        <rFont val="Calibri"/>
        <family val="2"/>
        <scheme val="minor"/>
      </rPr>
      <t xml:space="preserve"> textboxes of the</t>
    </r>
    <r>
      <rPr>
        <b/>
        <sz val="11"/>
        <color theme="1"/>
        <rFont val="Calibri"/>
        <family val="2"/>
        <scheme val="minor"/>
      </rPr>
      <t xml:space="preserve"> Schedule Master section</t>
    </r>
    <r>
      <rPr>
        <sz val="11"/>
        <color theme="1"/>
        <rFont val="Calibri"/>
        <family val="2"/>
        <scheme val="minor"/>
      </rPr>
      <t xml:space="preserve">.
5. Enter valid data in </t>
    </r>
    <r>
      <rPr>
        <b/>
        <sz val="11"/>
        <color theme="1"/>
        <rFont val="Calibri"/>
        <family val="2"/>
        <scheme val="minor"/>
      </rPr>
      <t>Non-Mandatory</t>
    </r>
    <r>
      <rPr>
        <sz val="11"/>
        <color theme="1"/>
        <rFont val="Calibri"/>
        <family val="2"/>
        <scheme val="minor"/>
      </rPr>
      <t xml:space="preserve"> textboxes of the </t>
    </r>
    <r>
      <rPr>
        <b/>
        <sz val="11"/>
        <color theme="1"/>
        <rFont val="Calibri"/>
        <family val="2"/>
        <scheme val="minor"/>
      </rPr>
      <t>Selling Schedule section</t>
    </r>
    <r>
      <rPr>
        <sz val="11"/>
        <color theme="1"/>
        <rFont val="Calibri"/>
        <family val="2"/>
        <scheme val="minor"/>
      </rPr>
      <t xml:space="preserve">.
6. Click the </t>
    </r>
    <r>
      <rPr>
        <b/>
        <sz val="11"/>
        <color theme="1"/>
        <rFont val="Calibri"/>
        <family val="2"/>
        <scheme val="minor"/>
      </rPr>
      <t>Add</t>
    </r>
    <r>
      <rPr>
        <sz val="11"/>
        <color theme="1"/>
        <rFont val="Calibri"/>
        <family val="2"/>
        <scheme val="minor"/>
      </rPr>
      <t xml:space="preserve"> button and observe the system behavior.
7. Click the </t>
    </r>
    <r>
      <rPr>
        <b/>
        <sz val="11"/>
        <color theme="1"/>
        <rFont val="Calibri"/>
        <family val="2"/>
        <scheme val="minor"/>
      </rPr>
      <t>Save</t>
    </r>
    <r>
      <rPr>
        <sz val="11"/>
        <color theme="1"/>
        <rFont val="Calibri"/>
        <family val="2"/>
        <scheme val="minor"/>
      </rPr>
      <t xml:space="preserve"> button and observe the system behavior.</t>
    </r>
  </si>
  <si>
    <t xml:space="preserve">1. Enter Valid data in all Non-Mandatory textboxes of the Schedule Master section.
2. Enter Valid data in all Non-Mandatory Selling Schedule section.
</t>
  </si>
  <si>
    <r>
      <t xml:space="preserve">1. After filling only </t>
    </r>
    <r>
      <rPr>
        <b/>
        <sz val="11"/>
        <color theme="1"/>
        <rFont val="Calibri"/>
        <family val="2"/>
        <scheme val="minor"/>
      </rPr>
      <t xml:space="preserve">Non-Mandatory fields </t>
    </r>
    <r>
      <rPr>
        <sz val="11"/>
        <color theme="1"/>
        <rFont val="Calibri"/>
        <family val="2"/>
        <scheme val="minor"/>
      </rPr>
      <t xml:space="preserve">in the </t>
    </r>
    <r>
      <rPr>
        <b/>
        <sz val="11"/>
        <color theme="1"/>
        <rFont val="Calibri"/>
        <family val="2"/>
        <scheme val="minor"/>
      </rPr>
      <t>Selling Schedule section</t>
    </r>
    <r>
      <rPr>
        <sz val="11"/>
        <color theme="1"/>
        <rFont val="Calibri"/>
        <family val="2"/>
        <scheme val="minor"/>
      </rPr>
      <t>, clicking Add should not add any record to the Selling Schedule grid.
2. Appropriate validation messages should be displayed for all mandatory fields, with:
 -&gt; Correct validation text
 -&gt; Validation label matching the textbox label
 -&gt; Validation message sequence matching the textbox sequence on the page
3. A record should be added to the Selling Schedule grid only after all mandatory fields are filled.
4. On clicking Save, mandatory field validations should be displayed for the Schedule Master section.
5. The record should be saved only after all mandatory fields in the Schedule Master section are filled.
6. After successful save:
 -&gt; A success message should be displayed.
7. Using the Search tab on the Schedule Master page:
 -&gt; Search and select the newly saved record
 -&gt; Vessel UID and Schedule UID should be auto-populated
 -&gt; These UID fields should be non-editable</t>
    </r>
  </si>
  <si>
    <t>1. After filling only Non-Mandatory fields in the Selling Schedule section, clicking Add does not add a record to the Selling Schedule grid.
2. Validation messages are displayed for all mandatory fields with:
 -&gt; Proper validation text
 -&gt; Correct label mapping
 -&gt; Correct validation sequence
3. Records are added to the grid only after mandatory fields are filled.
4. On clicking Save, mandatory field validation is displayed for the Schedule Master section.
5. The record is saved successfully once all mandatory fields are completed.
6. Success message is displayed after save.
7. On searching the saved record:
 -&gt; Vessel UID and Schedule UID are auto-populated
 -&gt; UID fields are non-editable</t>
  </si>
  <si>
    <t>Schedule_Master_38</t>
  </si>
  <si>
    <r>
      <t xml:space="preserve">1. Open the application and log in 
2. Select Branch: AHMEDABAD, Export Type: Export Sea, FY 2025–2026, click OK.
3. Navigate to </t>
    </r>
    <r>
      <rPr>
        <b/>
        <sz val="11"/>
        <color theme="1"/>
        <rFont val="Calibri"/>
        <family val="2"/>
        <scheme val="minor"/>
      </rPr>
      <t>Masters -&gt; Vessel Info -&gt; Schedule</t>
    </r>
    <r>
      <rPr>
        <sz val="11"/>
        <color theme="1"/>
        <rFont val="Calibri"/>
        <family val="2"/>
        <scheme val="minor"/>
      </rPr>
      <t xml:space="preserve">
4. Ensure all textboxes in the Schedule Master section are left blank.
5. Ensure all textboxes in the Selling Schedule section are left blank.
6. Click the Add button in the Selling Schedule section.
7. Click the Save button and observe the system behavior.</t>
    </r>
  </si>
  <si>
    <t>No data entered in any fields (Mandatory and Non-Mandatory).</t>
  </si>
  <si>
    <t xml:space="preserve">1. Clicking the Add button with all fields left blank should not add any record to the Selling Schedule grid.
2. Mandatory field validation messages should be displayed for all mandatory fields in the Selling Schedule section.
3. Validation messages should:
 -&gt; Display correct validation text
 -&gt; Match the respective textbox labels
 -&gt; Appear in the same sequence as the textbox order on the page
4. On clicking Save, mandatory field validation messages should be displayed for the Schedule Master section.
5. The system should not allow saving the record until all mandatory fields in the Schedule Master section are filled.
</t>
  </si>
  <si>
    <t>1. Clicking the Add button with all fields blank does not add any record to the Selling Schedule grid.
2. Mandatory field validation messages are displayed for all required fields with correct labels and sequence.
3. On clicking Save, mandatory field validations are displayed for the Schedule Master section.
4. The record is not saved until all mandatory fields are completed.</t>
  </si>
  <si>
    <t>Schedule_Master_39</t>
  </si>
  <si>
    <r>
      <t xml:space="preserve">Validate the functionality of the </t>
    </r>
    <r>
      <rPr>
        <b/>
        <sz val="11"/>
        <color theme="1"/>
        <rFont val="Calibri"/>
        <family val="2"/>
        <scheme val="minor"/>
      </rPr>
      <t>POL Name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</si>
  <si>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POL Name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</si>
  <si>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POL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</si>
  <si>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POL Name</t>
    </r>
    <r>
      <rPr>
        <sz val="11"/>
        <color theme="1"/>
        <rFont val="Calibri"/>
        <family val="2"/>
        <scheme val="minor"/>
      </rPr>
      <t xml:space="preserve"> textbox.
2. The user should be able to select a </t>
    </r>
    <r>
      <rPr>
        <b/>
        <sz val="11"/>
        <color theme="1"/>
        <rFont val="Calibri"/>
        <family val="2"/>
        <scheme val="minor"/>
      </rPr>
      <t xml:space="preserve">POL Name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</si>
  <si>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POL Name</t>
    </r>
    <r>
      <rPr>
        <sz val="11"/>
        <color theme="1"/>
        <rFont val="Calibri"/>
        <family val="2"/>
        <scheme val="minor"/>
      </rPr>
      <t xml:space="preserve"> can be selected only from the autosuggest list.</t>
    </r>
  </si>
  <si>
    <t>Schedule_Master_40</t>
  </si>
  <si>
    <r>
      <t xml:space="preserve">Validate the functionality of the </t>
    </r>
    <r>
      <rPr>
        <b/>
        <sz val="11"/>
        <color theme="1"/>
        <rFont val="Calibri"/>
        <family val="2"/>
        <scheme val="minor"/>
      </rPr>
      <t>POD Name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</si>
  <si>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POD Name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</si>
  <si>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POD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NORTH RIDING:ZAZDV
-&gt; DEVECSER:HUDEV etc.</t>
    </r>
  </si>
  <si>
    <r>
      <t xml:space="preserve">1. Manual input should not be allowed in the </t>
    </r>
    <r>
      <rPr>
        <b/>
        <sz val="11"/>
        <color theme="1"/>
        <rFont val="Calibri"/>
        <family val="2"/>
        <scheme val="minor"/>
      </rPr>
      <t>POD Name</t>
    </r>
    <r>
      <rPr>
        <sz val="11"/>
        <color theme="1"/>
        <rFont val="Calibri"/>
        <family val="2"/>
        <scheme val="minor"/>
      </rPr>
      <t xml:space="preserve"> textbox.
2. The user should be able to select a </t>
    </r>
    <r>
      <rPr>
        <b/>
        <sz val="11"/>
        <color theme="1"/>
        <rFont val="Calibri"/>
        <family val="2"/>
        <scheme val="minor"/>
      </rPr>
      <t xml:space="preserve">POD Name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</si>
  <si>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POD Name</t>
    </r>
    <r>
      <rPr>
        <sz val="11"/>
        <color theme="1"/>
        <rFont val="Calibri"/>
        <family val="2"/>
        <scheme val="minor"/>
      </rPr>
      <t xml:space="preserve"> can be selected only from the autosuggest list.</t>
    </r>
  </si>
  <si>
    <t>Schedule_Master_41</t>
  </si>
  <si>
    <r>
      <t>Validate the functionality of ‘</t>
    </r>
    <r>
      <rPr>
        <b/>
        <sz val="11"/>
        <color theme="1"/>
        <rFont val="Calibri"/>
        <family val="2"/>
        <scheme val="minor"/>
      </rPr>
      <t>ETD</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</si>
  <si>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1. Open the application and log in 
2. Select Branch: AHMEDABAD, Export Type: Export Sea, FY 2025–2026, click OK.
3. Navigate to</t>
    </r>
    <r>
      <rPr>
        <b/>
        <sz val="11"/>
        <color theme="1"/>
        <rFont val="Calibri"/>
        <family val="2"/>
        <scheme val="minor"/>
      </rPr>
      <t xml:space="preserve"> Masters -&gt;  Vessel Info-&gt; Schedule</t>
    </r>
    <r>
      <rPr>
        <sz val="11"/>
        <color theme="1"/>
        <rFont val="Calibri"/>
        <family val="2"/>
        <scheme val="minor"/>
      </rPr>
      <t xml:space="preserve">
4.  In the </t>
    </r>
    <r>
      <rPr>
        <b/>
        <sz val="11"/>
        <color theme="1"/>
        <rFont val="Calibri"/>
        <family val="2"/>
        <scheme val="minor"/>
      </rPr>
      <t>ETD</t>
    </r>
    <r>
      <rPr>
        <sz val="11"/>
        <color theme="1"/>
        <rFont val="Calibri"/>
        <family val="2"/>
        <scheme val="minor"/>
      </rPr>
      <t xml:space="preserve"> textbox, try entering manual inputs.
5. Select </t>
    </r>
    <r>
      <rPr>
        <b/>
        <sz val="11"/>
        <color theme="1"/>
        <rFont val="Calibri"/>
        <family val="2"/>
        <scheme val="minor"/>
      </rPr>
      <t>ETD</t>
    </r>
    <r>
      <rPr>
        <sz val="11"/>
        <color theme="1"/>
        <rFont val="Calibri"/>
        <family val="2"/>
        <scheme val="minor"/>
      </rPr>
      <t xml:space="preserve"> from the calendar autosuggest and observe the system behavior.</t>
    </r>
  </si>
  <si>
    <r>
      <t xml:space="preserve">Textbox - </t>
    </r>
    <r>
      <rPr>
        <b/>
        <sz val="11"/>
        <color theme="1"/>
        <rFont val="Calibri"/>
        <family val="2"/>
        <scheme val="minor"/>
      </rPr>
      <t>ETA
Manual Inputs:</t>
    </r>
    <r>
      <rPr>
        <sz val="11"/>
        <color theme="1"/>
        <rFont val="Calibri"/>
        <family val="2"/>
        <scheme val="minor"/>
      </rPr>
      <t xml:space="preserve">
 -&gt; 111111
 -&gt; 456456
</t>
    </r>
    <r>
      <rPr>
        <b/>
        <sz val="11"/>
        <color theme="1"/>
        <rFont val="Calibri"/>
        <family val="2"/>
        <scheme val="minor"/>
      </rPr>
      <t>Autosuggest Value:</t>
    </r>
    <r>
      <rPr>
        <sz val="11"/>
        <color theme="1"/>
        <rFont val="Calibri"/>
        <family val="2"/>
        <scheme val="minor"/>
      </rPr>
      <t xml:space="preserve">
 -&gt; 30/12/2025
</t>
    </r>
  </si>
  <si>
    <r>
      <t xml:space="preserve">1. Functionality is not working as expected.
2. </t>
    </r>
    <r>
      <rPr>
        <b/>
        <sz val="11"/>
        <color theme="1"/>
        <rFont val="Calibri"/>
        <family val="2"/>
        <scheme val="minor"/>
      </rPr>
      <t xml:space="preserve">ETD </t>
    </r>
    <r>
      <rPr>
        <sz val="11"/>
        <color theme="1"/>
        <rFont val="Calibri"/>
        <family val="2"/>
        <scheme val="minor"/>
      </rPr>
      <t xml:space="preserve">textbox accepts invalid date formats, such as:
 -&gt; 111111
 -&gt; 456456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ETD</t>
    </r>
    <r>
      <rPr>
        <sz val="11"/>
        <color theme="1"/>
        <rFont val="Calibri"/>
        <family val="2"/>
        <scheme val="minor"/>
      </rPr>
      <t xml:space="preserve"> textbox is accepting more than 10 character value.</t>
    </r>
  </si>
  <si>
    <t>Schedule_Master_42</t>
  </si>
  <si>
    <r>
      <t>Validate the functionality of ‘</t>
    </r>
    <r>
      <rPr>
        <b/>
        <sz val="11"/>
        <color theme="1"/>
        <rFont val="Calibri"/>
        <family val="2"/>
        <scheme val="minor"/>
      </rPr>
      <t>ETA</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</si>
  <si>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1. </t>
    </r>
    <r>
      <rPr>
        <b/>
        <sz val="11"/>
        <color theme="1"/>
        <rFont val="Calibri"/>
        <family val="2"/>
        <scheme val="minor"/>
      </rPr>
      <t xml:space="preserve">ETA </t>
    </r>
    <r>
      <rPr>
        <sz val="11"/>
        <color theme="1"/>
        <rFont val="Calibri"/>
        <family val="2"/>
        <scheme val="minor"/>
      </rPr>
      <t xml:space="preserve">textbox functionality is not working as expected.
2. </t>
    </r>
    <r>
      <rPr>
        <b/>
        <sz val="11"/>
        <color theme="1"/>
        <rFont val="Calibri"/>
        <family val="2"/>
        <scheme val="minor"/>
      </rPr>
      <t xml:space="preserve">ETA </t>
    </r>
    <r>
      <rPr>
        <sz val="11"/>
        <color theme="1"/>
        <rFont val="Calibri"/>
        <family val="2"/>
        <scheme val="minor"/>
      </rPr>
      <t>textbox accepts invalid numeric inputs such as:
 -&gt; 643756347856
 -&gt; 68946787849347
3. Manual typing is allowed instead of restricting input to the calendar.
4. Date format validation (</t>
    </r>
    <r>
      <rPr>
        <b/>
        <sz val="11"/>
        <color theme="1"/>
        <rFont val="Calibri"/>
        <family val="2"/>
        <scheme val="minor"/>
      </rPr>
      <t>DD-MM-YYYY</t>
    </r>
    <r>
      <rPr>
        <sz val="11"/>
        <color theme="1"/>
        <rFont val="Calibri"/>
        <family val="2"/>
        <scheme val="minor"/>
      </rPr>
      <t xml:space="preserve">) is not enforced.
5. </t>
    </r>
    <r>
      <rPr>
        <b/>
        <sz val="11"/>
        <color theme="1"/>
        <rFont val="Calibri"/>
        <family val="2"/>
        <scheme val="minor"/>
      </rPr>
      <t>Record is not added when ETA date is less than to ETD date (works correctly).</t>
    </r>
    <r>
      <rPr>
        <sz val="11"/>
        <color theme="1"/>
        <rFont val="Calibri"/>
        <family val="2"/>
        <scheme val="minor"/>
      </rPr>
      <t xml:space="preserve">
6. </t>
    </r>
    <r>
      <rPr>
        <b/>
        <sz val="11"/>
        <color theme="1"/>
        <rFont val="Calibri"/>
        <family val="2"/>
        <scheme val="minor"/>
      </rPr>
      <t>ETA</t>
    </r>
    <r>
      <rPr>
        <sz val="11"/>
        <color theme="1"/>
        <rFont val="Calibri"/>
        <family val="2"/>
        <scheme val="minor"/>
      </rPr>
      <t xml:space="preserve"> textbox accepts more than 10 characters.</t>
    </r>
  </si>
  <si>
    <r>
      <t xml:space="preserve">Textbox - </t>
    </r>
    <r>
      <rPr>
        <b/>
        <sz val="11"/>
        <color theme="1"/>
        <rFont val="Calibri"/>
        <family val="2"/>
        <scheme val="minor"/>
      </rPr>
      <t>ETA
Manual Inputs:</t>
    </r>
    <r>
      <rPr>
        <sz val="11"/>
        <color theme="1"/>
        <rFont val="Calibri"/>
        <family val="2"/>
        <scheme val="minor"/>
      </rPr>
      <t xml:space="preserve">
 -&gt; 643756347856
 -&gt; 68946787849347
</t>
    </r>
    <r>
      <rPr>
        <b/>
        <sz val="11"/>
        <color theme="1"/>
        <rFont val="Calibri"/>
        <family val="2"/>
        <scheme val="minor"/>
      </rPr>
      <t>Autosuggest Value:</t>
    </r>
    <r>
      <rPr>
        <sz val="11"/>
        <color theme="1"/>
        <rFont val="Calibri"/>
        <family val="2"/>
        <scheme val="minor"/>
      </rPr>
      <t xml:space="preserve">
 -&gt; 30/12/2025</t>
    </r>
  </si>
  <si>
    <r>
      <t xml:space="preserve">1. Manual input should not be allowed in the </t>
    </r>
    <r>
      <rPr>
        <b/>
        <sz val="11"/>
        <color theme="1"/>
        <rFont val="Calibri"/>
        <family val="2"/>
        <scheme val="minor"/>
      </rPr>
      <t>ETA</t>
    </r>
    <r>
      <rPr>
        <sz val="11"/>
        <color theme="1"/>
        <rFont val="Calibri"/>
        <family val="2"/>
        <scheme val="minor"/>
      </rPr>
      <t xml:space="preserve"> textbox.
2. User should be able to select</t>
    </r>
    <r>
      <rPr>
        <b/>
        <sz val="11"/>
        <color theme="1"/>
        <rFont val="Calibri"/>
        <family val="2"/>
        <scheme val="minor"/>
      </rPr>
      <t xml:space="preserve"> ETA</t>
    </r>
    <r>
      <rPr>
        <sz val="11"/>
        <color theme="1"/>
        <rFont val="Calibri"/>
        <family val="2"/>
        <scheme val="minor"/>
      </rPr>
      <t xml:space="preserve"> only via the calendar autosuggest.
3. If an invalid date format is typed, the textbox should</t>
    </r>
    <r>
      <rPr>
        <b/>
        <sz val="11"/>
        <color theme="1"/>
        <rFont val="Calibri"/>
        <family val="2"/>
        <scheme val="minor"/>
      </rPr>
      <t xml:space="preserve"> auto-clear or display a validation message</t>
    </r>
    <r>
      <rPr>
        <sz val="11"/>
        <color theme="1"/>
        <rFont val="Calibri"/>
        <family val="2"/>
        <scheme val="minor"/>
      </rPr>
      <t>.
4. Selected ETA date should be displayed in</t>
    </r>
    <r>
      <rPr>
        <b/>
        <sz val="11"/>
        <color theme="1"/>
        <rFont val="Calibri"/>
        <family val="2"/>
        <scheme val="minor"/>
      </rPr>
      <t xml:space="preserve"> DD-MM-YYYY</t>
    </r>
    <r>
      <rPr>
        <sz val="11"/>
        <color theme="1"/>
        <rFont val="Calibri"/>
        <family val="2"/>
        <scheme val="minor"/>
      </rPr>
      <t xml:space="preserve"> format.
5. </t>
    </r>
    <r>
      <rPr>
        <b/>
        <sz val="11"/>
        <color theme="1"/>
        <rFont val="Calibri"/>
        <family val="2"/>
        <scheme val="minor"/>
      </rPr>
      <t xml:space="preserve">ETA </t>
    </r>
    <r>
      <rPr>
        <sz val="11"/>
        <color theme="1"/>
        <rFont val="Calibri"/>
        <family val="2"/>
        <scheme val="minor"/>
      </rPr>
      <t xml:space="preserve">date must be greater than </t>
    </r>
    <r>
      <rPr>
        <b/>
        <sz val="11"/>
        <color theme="1"/>
        <rFont val="Calibri"/>
        <family val="2"/>
        <scheme val="minor"/>
      </rPr>
      <t>ETD date</t>
    </r>
    <r>
      <rPr>
        <sz val="11"/>
        <color theme="1"/>
        <rFont val="Calibri"/>
        <family val="2"/>
        <scheme val="minor"/>
      </rPr>
      <t xml:space="preserve"> (Connection Details section).
 -&gt; </t>
    </r>
    <r>
      <rPr>
        <b/>
        <sz val="11"/>
        <color theme="1"/>
        <rFont val="Calibri"/>
        <family val="2"/>
        <scheme val="minor"/>
      </rPr>
      <t>If ETA is less then ETD</t>
    </r>
    <r>
      <rPr>
        <sz val="11"/>
        <color theme="1"/>
        <rFont val="Calibri"/>
        <family val="2"/>
        <scheme val="minor"/>
      </rPr>
      <t xml:space="preserve">, the record should not be added and a validation message should be displayed.
6. </t>
    </r>
    <r>
      <rPr>
        <b/>
        <sz val="11"/>
        <color theme="1"/>
        <rFont val="Calibri"/>
        <family val="2"/>
        <scheme val="minor"/>
      </rPr>
      <t xml:space="preserve">ETA </t>
    </r>
    <r>
      <rPr>
        <sz val="11"/>
        <color theme="1"/>
        <rFont val="Calibri"/>
        <family val="2"/>
        <scheme val="minor"/>
      </rPr>
      <t>textbox should accept a maximum of 10 characters.</t>
    </r>
  </si>
  <si>
    <t>Schedule_Master_43</t>
  </si>
  <si>
    <r>
      <t>Validate the functionality of ‘</t>
    </r>
    <r>
      <rPr>
        <b/>
        <sz val="11"/>
        <color theme="1"/>
        <rFont val="Calibri"/>
        <family val="2"/>
        <scheme val="minor"/>
      </rPr>
      <t>Vessel Name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</si>
  <si>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&amp; Invalid Data in </t>
    </r>
    <r>
      <rPr>
        <b/>
        <sz val="11"/>
        <color theme="1"/>
        <rFont val="Calibri"/>
        <family val="2"/>
        <scheme val="minor"/>
      </rPr>
      <t xml:space="preserve">Vessel Name </t>
    </r>
    <r>
      <rPr>
        <sz val="11"/>
        <color theme="1"/>
        <rFont val="Calibri"/>
        <family val="2"/>
        <scheme val="minor"/>
      </rPr>
      <t>textbox and observe the system behaviour.</t>
    </r>
  </si>
  <si>
    <r>
      <t xml:space="preserve">1. As per the Use case, </t>
    </r>
    <r>
      <rPr>
        <b/>
        <sz val="11"/>
        <color theme="1"/>
        <rFont val="Calibri"/>
        <family val="2"/>
        <scheme val="minor"/>
      </rPr>
      <t>Vessel Name</t>
    </r>
    <r>
      <rPr>
        <sz val="11"/>
        <color theme="1"/>
        <rFont val="Calibri"/>
        <family val="2"/>
        <scheme val="minor"/>
      </rPr>
      <t xml:space="preserve"> textbox should accept alphanumeric values.
2. </t>
    </r>
    <r>
      <rPr>
        <b/>
        <sz val="11"/>
        <color theme="1"/>
        <rFont val="Calibri"/>
        <family val="2"/>
        <scheme val="minor"/>
      </rPr>
      <t>Vessel Name</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</si>
  <si>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Vessel Name</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Vessel Name textbox should accept alphanumeric value and following special characters: Dot (.), Comma (,), Percentage (%), Ampersand (&amp;), Hyphen (-),  Underscore (_), Forward slash (/), Backward slash (\)</t>
    </r>
  </si>
  <si>
    <t>Schedule_Master_44</t>
  </si>
  <si>
    <r>
      <t>Validate the functionality of ‘</t>
    </r>
    <r>
      <rPr>
        <b/>
        <sz val="11"/>
        <color theme="1"/>
        <rFont val="Calibri"/>
        <family val="2"/>
        <scheme val="minor"/>
      </rPr>
      <t>Voyage No</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</si>
  <si>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t>Schedule_Master_45</t>
  </si>
  <si>
    <r>
      <t>Validate the functionality of ‘</t>
    </r>
    <r>
      <rPr>
        <b/>
        <sz val="11"/>
        <color theme="1"/>
        <rFont val="Calibri"/>
        <family val="2"/>
        <scheme val="minor"/>
      </rPr>
      <t>Movement Details</t>
    </r>
    <r>
      <rPr>
        <sz val="11"/>
        <color theme="1"/>
        <rFont val="Calibri"/>
        <family val="2"/>
        <scheme val="minor"/>
      </rPr>
      <t xml:space="preserve">’ Dropdown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</si>
  <si>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Textbox - </t>
    </r>
    <r>
      <rPr>
        <b/>
        <sz val="11"/>
        <color theme="1"/>
        <rFont val="Calibri"/>
        <family val="2"/>
        <scheme val="minor"/>
      </rPr>
      <t>Movement Details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CFS To POL
 -&gt; POL To POD</t>
    </r>
  </si>
  <si>
    <t>Schedule_Master_46</t>
  </si>
  <si>
    <r>
      <t>Validate the functionality of ‘</t>
    </r>
    <r>
      <rPr>
        <b/>
        <sz val="11"/>
        <color theme="1"/>
        <rFont val="Calibri"/>
        <family val="2"/>
        <scheme val="minor"/>
      </rPr>
      <t>Transport Mode</t>
    </r>
    <r>
      <rPr>
        <sz val="11"/>
        <color theme="1"/>
        <rFont val="Calibri"/>
        <family val="2"/>
        <scheme val="minor"/>
      </rPr>
      <t xml:space="preserve">’ Dropdown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(Connection Details Section)</t>
    </r>
  </si>
  <si>
    <r>
      <t xml:space="preserve">Textbox - </t>
    </r>
    <r>
      <rPr>
        <b/>
        <sz val="11"/>
        <color theme="1"/>
        <rFont val="Calibri"/>
        <family val="2"/>
        <scheme val="minor"/>
      </rPr>
      <t>Transport Mode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Road
 -&gt; Rail etc.</t>
    </r>
  </si>
  <si>
    <t>Schedule_Master_47</t>
  </si>
  <si>
    <t>Schedule_Master_48</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</si>
  <si>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Connection Details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t>
    </r>
    <r>
      <rPr>
        <b/>
        <sz val="11"/>
        <color theme="1"/>
        <rFont val="Calibri"/>
        <family val="2"/>
        <scheme val="minor"/>
      </rPr>
      <t>mandatory &amp; non-mandatory)</t>
    </r>
    <r>
      <rPr>
        <sz val="11"/>
        <color theme="1"/>
        <rFont val="Calibri"/>
        <family val="2"/>
        <scheme val="minor"/>
      </rPr>
      <t xml:space="preserve"> fields are filled.</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</si>
  <si>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Enter valid data in all textboxes of the</t>
    </r>
    <r>
      <rPr>
        <b/>
        <sz val="11"/>
        <color theme="1"/>
        <rFont val="Calibri"/>
        <family val="2"/>
        <scheme val="minor"/>
      </rPr>
      <t xml:space="preserve"> Schedule Master section</t>
    </r>
    <r>
      <rPr>
        <sz val="11"/>
        <color theme="1"/>
        <rFont val="Calibri"/>
        <family val="2"/>
        <scheme val="minor"/>
      </rPr>
      <t xml:space="preserve">.
5. Enter valid data in all textboxes of the </t>
    </r>
    <r>
      <rPr>
        <b/>
        <sz val="11"/>
        <color theme="1"/>
        <rFont val="Calibri"/>
        <family val="2"/>
        <scheme val="minor"/>
      </rPr>
      <t>Connection Details Section</t>
    </r>
    <r>
      <rPr>
        <sz val="11"/>
        <color theme="1"/>
        <rFont val="Calibri"/>
        <family val="2"/>
        <scheme val="minor"/>
      </rPr>
      <t xml:space="preserve">.
6. Click the </t>
    </r>
    <r>
      <rPr>
        <b/>
        <sz val="11"/>
        <color theme="1"/>
        <rFont val="Calibri"/>
        <family val="2"/>
        <scheme val="minor"/>
      </rPr>
      <t>Add</t>
    </r>
    <r>
      <rPr>
        <sz val="11"/>
        <color theme="1"/>
        <rFont val="Calibri"/>
        <family val="2"/>
        <scheme val="minor"/>
      </rPr>
      <t xml:space="preserve"> button and observe the system behavior.
7. Click the </t>
    </r>
    <r>
      <rPr>
        <b/>
        <sz val="11"/>
        <color theme="1"/>
        <rFont val="Calibri"/>
        <family val="2"/>
        <scheme val="minor"/>
      </rPr>
      <t>Save</t>
    </r>
    <r>
      <rPr>
        <sz val="11"/>
        <color theme="1"/>
        <rFont val="Calibri"/>
        <family val="2"/>
        <scheme val="minor"/>
      </rPr>
      <t xml:space="preserve"> button and observe the system behavior.</t>
    </r>
  </si>
  <si>
    <r>
      <t xml:space="preserve">1. Valid data in all textboxes of the </t>
    </r>
    <r>
      <rPr>
        <b/>
        <sz val="11"/>
        <color theme="1"/>
        <rFont val="Calibri"/>
        <family val="2"/>
        <scheme val="minor"/>
      </rPr>
      <t>Schedule Master section</t>
    </r>
    <r>
      <rPr>
        <sz val="11"/>
        <color theme="1"/>
        <rFont val="Calibri"/>
        <family val="2"/>
        <scheme val="minor"/>
      </rPr>
      <t xml:space="preserve">.
2. Valid data in all textboxes of the </t>
    </r>
    <r>
      <rPr>
        <b/>
        <sz val="11"/>
        <color theme="1"/>
        <rFont val="Calibri"/>
        <family val="2"/>
        <scheme val="minor"/>
      </rPr>
      <t>Connection Details Section.</t>
    </r>
    <r>
      <rPr>
        <sz val="11"/>
        <color theme="1"/>
        <rFont val="Calibri"/>
        <family val="2"/>
        <scheme val="minor"/>
      </rPr>
      <t xml:space="preserve">
</t>
    </r>
  </si>
  <si>
    <t>Schedule_Master_49</t>
  </si>
  <si>
    <r>
      <t xml:space="preserve">1. After filling all fields in the </t>
    </r>
    <r>
      <rPr>
        <b/>
        <sz val="11"/>
        <color theme="1"/>
        <rFont val="Calibri"/>
        <family val="2"/>
        <scheme val="minor"/>
      </rPr>
      <t>Schedule Master</t>
    </r>
    <r>
      <rPr>
        <sz val="11"/>
        <color theme="1"/>
        <rFont val="Calibri"/>
        <family val="2"/>
        <scheme val="minor"/>
      </rPr>
      <t xml:space="preserve"> &amp;</t>
    </r>
    <r>
      <rPr>
        <b/>
        <sz val="11"/>
        <color theme="1"/>
        <rFont val="Calibri"/>
        <family val="2"/>
        <scheme val="minor"/>
      </rPr>
      <t xml:space="preserve"> Connection Details section</t>
    </r>
    <r>
      <rPr>
        <sz val="11"/>
        <color theme="1"/>
        <rFont val="Calibri"/>
        <family val="2"/>
        <scheme val="minor"/>
      </rPr>
      <t xml:space="preserve">, clicking Add should successfully add a record to the </t>
    </r>
    <r>
      <rPr>
        <b/>
        <sz val="11"/>
        <color theme="1"/>
        <rFont val="Calibri"/>
        <family val="2"/>
        <scheme val="minor"/>
      </rPr>
      <t>Connection grid</t>
    </r>
    <r>
      <rPr>
        <sz val="11"/>
        <color theme="1"/>
        <rFont val="Calibri"/>
        <family val="2"/>
        <scheme val="minor"/>
      </rPr>
      <t xml:space="preserve">.
2. Values should be displayed under the correct column headers in the </t>
    </r>
    <r>
      <rPr>
        <b/>
        <sz val="11"/>
        <color theme="1"/>
        <rFont val="Calibri"/>
        <family val="2"/>
        <scheme val="minor"/>
      </rPr>
      <t>Connection grid</t>
    </r>
    <r>
      <rPr>
        <sz val="11"/>
        <color theme="1"/>
        <rFont val="Calibri"/>
        <family val="2"/>
        <scheme val="minor"/>
      </rPr>
      <t xml:space="preserve">.
3. On selecting the added </t>
    </r>
    <r>
      <rPr>
        <b/>
        <sz val="11"/>
        <color theme="1"/>
        <rFont val="Calibri"/>
        <family val="2"/>
        <scheme val="minor"/>
      </rPr>
      <t>Connection</t>
    </r>
    <r>
      <rPr>
        <sz val="11"/>
        <color theme="1"/>
        <rFont val="Calibri"/>
        <family val="2"/>
        <scheme val="minor"/>
      </rPr>
      <t xml:space="preserve"> </t>
    </r>
    <r>
      <rPr>
        <b/>
        <sz val="11"/>
        <color theme="1"/>
        <rFont val="Calibri"/>
        <family val="2"/>
        <scheme val="minor"/>
      </rPr>
      <t>grid record</t>
    </r>
    <r>
      <rPr>
        <sz val="11"/>
        <color theme="1"/>
        <rFont val="Calibri"/>
        <family val="2"/>
        <scheme val="minor"/>
      </rPr>
      <t>, the corresponding data should populate the Connection Details textboxes correctly.
4. After adding a record:
 -&gt; All textboxes in the</t>
    </r>
    <r>
      <rPr>
        <b/>
        <sz val="11"/>
        <color theme="1"/>
        <rFont val="Calibri"/>
        <family val="2"/>
        <scheme val="minor"/>
      </rPr>
      <t xml:space="preserve"> Connection Details section</t>
    </r>
    <r>
      <rPr>
        <sz val="11"/>
        <color theme="1"/>
        <rFont val="Calibri"/>
        <family val="2"/>
        <scheme val="minor"/>
      </rPr>
      <t xml:space="preserve"> should be cleared for a new entry.
5. After clicking </t>
    </r>
    <r>
      <rPr>
        <b/>
        <sz val="11"/>
        <color theme="1"/>
        <rFont val="Calibri"/>
        <family val="2"/>
        <scheme val="minor"/>
      </rPr>
      <t>Save,</t>
    </r>
    <r>
      <rPr>
        <sz val="11"/>
        <color theme="1"/>
        <rFont val="Calibri"/>
        <family val="2"/>
        <scheme val="minor"/>
      </rPr>
      <t xml:space="preserve"> the record should be</t>
    </r>
    <r>
      <rPr>
        <b/>
        <sz val="11"/>
        <color theme="1"/>
        <rFont val="Calibri"/>
        <family val="2"/>
        <scheme val="minor"/>
      </rPr>
      <t xml:space="preserve"> saved successfully and a success validation message should be displayed.</t>
    </r>
    <r>
      <rPr>
        <sz val="11"/>
        <color theme="1"/>
        <rFont val="Calibri"/>
        <family val="2"/>
        <scheme val="minor"/>
      </rPr>
      <t xml:space="preserve">
6. Using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
    </r>
    <r>
      <rPr>
        <b/>
        <sz val="11"/>
        <color theme="1"/>
        <rFont val="Calibri"/>
        <family val="2"/>
        <scheme val="minor"/>
      </rPr>
      <t>Search</t>
    </r>
    <r>
      <rPr>
        <sz val="11"/>
        <color theme="1"/>
        <rFont val="Calibri"/>
        <family val="2"/>
        <scheme val="minor"/>
      </rPr>
      <t xml:space="preserve"> and </t>
    </r>
    <r>
      <rPr>
        <b/>
        <sz val="11"/>
        <color theme="1"/>
        <rFont val="Calibri"/>
        <family val="2"/>
        <scheme val="minor"/>
      </rPr>
      <t>select</t>
    </r>
    <r>
      <rPr>
        <sz val="11"/>
        <color theme="1"/>
        <rFont val="Calibri"/>
        <family val="2"/>
        <scheme val="minor"/>
      </rPr>
      <t xml:space="preserve"> the newly saved record
 -&gt; </t>
    </r>
    <r>
      <rPr>
        <b/>
        <sz val="11"/>
        <color theme="1"/>
        <rFont val="Calibri"/>
        <family val="2"/>
        <scheme val="minor"/>
      </rPr>
      <t>Vessel UID</t>
    </r>
    <r>
      <rPr>
        <sz val="11"/>
        <color theme="1"/>
        <rFont val="Calibri"/>
        <family val="2"/>
        <scheme val="minor"/>
      </rPr>
      <t xml:space="preserve"> should be </t>
    </r>
    <r>
      <rPr>
        <b/>
        <sz val="11"/>
        <color theme="1"/>
        <rFont val="Calibri"/>
        <family val="2"/>
        <scheme val="minor"/>
      </rPr>
      <t>auto-populated</t>
    </r>
  </si>
  <si>
    <t>1. After filling all fields in the Schedule Master and Connection Details section, clicking Add successfully adds a record to the Connection grid.
2. Values are displayed under the correct column headers in the Connection grid.
3. On selecting the added Connection grid record, the data populates the corresponding textboxes correctly.
4. After adding a record:
 -&gt; All textboxes in the Connection Details section are cleared for a new entry.
5. On clicking Save, the record is not saved successfully and a popup message is displayed:
“Cannot Add, Form is already loaded with another record.”
6. Using the Search tab:
 -&gt; The record is searchable but not selectable
 -&gt; On selecting the Connection record, it does not load in the Connection grid
Note: This issue occurs when a Selling Schedule record is first selected using the Search box and the page is then cleared. When attempting to save a Connection Details record, the page continues to behave as if the previously selected Selling Schedule record is still loaded.
As a result, the Connection record does not save successfully.
The Connection record is saved only after refreshing the page, indicating that the Selling Schedule state is not properly cleared.</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</si>
  <si>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Connection Details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only Mandatory fields are filled and non-Mandatory fields are left blank.</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</si>
  <si>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data in all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Schedule Master section</t>
    </r>
    <r>
      <rPr>
        <sz val="11"/>
        <color theme="1"/>
        <rFont val="Calibri"/>
        <family val="2"/>
        <scheme val="minor"/>
      </rPr>
      <t xml:space="preserve">, leaving all Non-Mandatory fields blank.
5. Enter valid data in all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Connection Details section</t>
    </r>
    <r>
      <rPr>
        <sz val="11"/>
        <color theme="1"/>
        <rFont val="Calibri"/>
        <family val="2"/>
        <scheme val="minor"/>
      </rPr>
      <t xml:space="preserve">, leaving all Non-Mandatory fields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Connection Details section.</t>
    </r>
    <r>
      <rPr>
        <sz val="11"/>
        <color theme="1"/>
        <rFont val="Calibri"/>
        <family val="2"/>
        <scheme val="minor"/>
      </rPr>
      <t xml:space="preserve">
7. Click the</t>
    </r>
    <r>
      <rPr>
        <b/>
        <sz val="11"/>
        <color theme="1"/>
        <rFont val="Calibri"/>
        <family val="2"/>
        <scheme val="minor"/>
      </rPr>
      <t xml:space="preserve"> Save button </t>
    </r>
    <r>
      <rPr>
        <sz val="11"/>
        <color theme="1"/>
        <rFont val="Calibri"/>
        <family val="2"/>
        <scheme val="minor"/>
      </rPr>
      <t>and observe the system behavior.</t>
    </r>
  </si>
  <si>
    <r>
      <t xml:space="preserve">Valid values in </t>
    </r>
    <r>
      <rPr>
        <b/>
        <sz val="11"/>
        <color theme="1"/>
        <rFont val="Calibri"/>
        <family val="2"/>
        <scheme val="minor"/>
      </rPr>
      <t>Mandatory fields</t>
    </r>
    <r>
      <rPr>
        <sz val="11"/>
        <color theme="1"/>
        <rFont val="Calibri"/>
        <family val="2"/>
        <scheme val="minor"/>
      </rPr>
      <t xml:space="preserve"> only of:
 -&gt; Schedule Master section
 -&gt; Connection Details section
All Non-Mandatory fields left blank</t>
    </r>
  </si>
  <si>
    <r>
      <t xml:space="preserve">1. After filling all Mandatory fields in the </t>
    </r>
    <r>
      <rPr>
        <b/>
        <sz val="11"/>
        <color theme="1"/>
        <rFont val="Calibri"/>
        <family val="2"/>
        <scheme val="minor"/>
      </rPr>
      <t>Schedule Master</t>
    </r>
    <r>
      <rPr>
        <sz val="11"/>
        <color theme="1"/>
        <rFont val="Calibri"/>
        <family val="2"/>
        <scheme val="minor"/>
      </rPr>
      <t xml:space="preserve"> &amp;</t>
    </r>
    <r>
      <rPr>
        <b/>
        <sz val="11"/>
        <color theme="1"/>
        <rFont val="Calibri"/>
        <family val="2"/>
        <scheme val="minor"/>
      </rPr>
      <t xml:space="preserve"> Connection Details section</t>
    </r>
    <r>
      <rPr>
        <sz val="11"/>
        <color theme="1"/>
        <rFont val="Calibri"/>
        <family val="2"/>
        <scheme val="minor"/>
      </rPr>
      <t xml:space="preserve">, clicking Add should successfully add a record to the </t>
    </r>
    <r>
      <rPr>
        <b/>
        <sz val="11"/>
        <color theme="1"/>
        <rFont val="Calibri"/>
        <family val="2"/>
        <scheme val="minor"/>
      </rPr>
      <t>Connection grid</t>
    </r>
    <r>
      <rPr>
        <sz val="11"/>
        <color theme="1"/>
        <rFont val="Calibri"/>
        <family val="2"/>
        <scheme val="minor"/>
      </rPr>
      <t xml:space="preserve">.
2. Values should be displayed under the correct column headers in the </t>
    </r>
    <r>
      <rPr>
        <b/>
        <sz val="11"/>
        <color theme="1"/>
        <rFont val="Calibri"/>
        <family val="2"/>
        <scheme val="minor"/>
      </rPr>
      <t>Connection grid</t>
    </r>
    <r>
      <rPr>
        <sz val="11"/>
        <color theme="1"/>
        <rFont val="Calibri"/>
        <family val="2"/>
        <scheme val="minor"/>
      </rPr>
      <t xml:space="preserve">.
3. On selecting the added </t>
    </r>
    <r>
      <rPr>
        <b/>
        <sz val="11"/>
        <color theme="1"/>
        <rFont val="Calibri"/>
        <family val="2"/>
        <scheme val="minor"/>
      </rPr>
      <t>Connection</t>
    </r>
    <r>
      <rPr>
        <sz val="11"/>
        <color theme="1"/>
        <rFont val="Calibri"/>
        <family val="2"/>
        <scheme val="minor"/>
      </rPr>
      <t xml:space="preserve"> </t>
    </r>
    <r>
      <rPr>
        <b/>
        <sz val="11"/>
        <color theme="1"/>
        <rFont val="Calibri"/>
        <family val="2"/>
        <scheme val="minor"/>
      </rPr>
      <t>grid record</t>
    </r>
    <r>
      <rPr>
        <sz val="11"/>
        <color theme="1"/>
        <rFont val="Calibri"/>
        <family val="2"/>
        <scheme val="minor"/>
      </rPr>
      <t>, the corresponding data should populate the Connection Details textboxes correctly.
4. After adding a record:
 -&gt; All textboxes in the</t>
    </r>
    <r>
      <rPr>
        <b/>
        <sz val="11"/>
        <color theme="1"/>
        <rFont val="Calibri"/>
        <family val="2"/>
        <scheme val="minor"/>
      </rPr>
      <t xml:space="preserve"> Connection Details section</t>
    </r>
    <r>
      <rPr>
        <sz val="11"/>
        <color theme="1"/>
        <rFont val="Calibri"/>
        <family val="2"/>
        <scheme val="minor"/>
      </rPr>
      <t xml:space="preserve"> should be cleared for a new entry.
5. After clicking </t>
    </r>
    <r>
      <rPr>
        <b/>
        <sz val="11"/>
        <color theme="1"/>
        <rFont val="Calibri"/>
        <family val="2"/>
        <scheme val="minor"/>
      </rPr>
      <t>Save,</t>
    </r>
    <r>
      <rPr>
        <sz val="11"/>
        <color theme="1"/>
        <rFont val="Calibri"/>
        <family val="2"/>
        <scheme val="minor"/>
      </rPr>
      <t xml:space="preserve"> the record should be</t>
    </r>
    <r>
      <rPr>
        <b/>
        <sz val="11"/>
        <color theme="1"/>
        <rFont val="Calibri"/>
        <family val="2"/>
        <scheme val="minor"/>
      </rPr>
      <t xml:space="preserve"> saved successfully and a success validation message should be displayed.</t>
    </r>
    <r>
      <rPr>
        <sz val="11"/>
        <color theme="1"/>
        <rFont val="Calibri"/>
        <family val="2"/>
        <scheme val="minor"/>
      </rPr>
      <t xml:space="preserve">
6. Using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
    </r>
    <r>
      <rPr>
        <b/>
        <sz val="11"/>
        <color theme="1"/>
        <rFont val="Calibri"/>
        <family val="2"/>
        <scheme val="minor"/>
      </rPr>
      <t>Search</t>
    </r>
    <r>
      <rPr>
        <sz val="11"/>
        <color theme="1"/>
        <rFont val="Calibri"/>
        <family val="2"/>
        <scheme val="minor"/>
      </rPr>
      <t xml:space="preserve"> and </t>
    </r>
    <r>
      <rPr>
        <b/>
        <sz val="11"/>
        <color theme="1"/>
        <rFont val="Calibri"/>
        <family val="2"/>
        <scheme val="minor"/>
      </rPr>
      <t>select</t>
    </r>
    <r>
      <rPr>
        <sz val="11"/>
        <color theme="1"/>
        <rFont val="Calibri"/>
        <family val="2"/>
        <scheme val="minor"/>
      </rPr>
      <t xml:space="preserve"> the newly saved record
 -&gt; </t>
    </r>
    <r>
      <rPr>
        <b/>
        <sz val="11"/>
        <color theme="1"/>
        <rFont val="Calibri"/>
        <family val="2"/>
        <scheme val="minor"/>
      </rPr>
      <t>Vessel UID</t>
    </r>
    <r>
      <rPr>
        <sz val="11"/>
        <color theme="1"/>
        <rFont val="Calibri"/>
        <family val="2"/>
        <scheme val="minor"/>
      </rPr>
      <t xml:space="preserve"> should be </t>
    </r>
    <r>
      <rPr>
        <b/>
        <sz val="11"/>
        <color theme="1"/>
        <rFont val="Calibri"/>
        <family val="2"/>
        <scheme val="minor"/>
      </rPr>
      <t>auto-populated</t>
    </r>
  </si>
  <si>
    <t>Schedule_Master_50</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</si>
  <si>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data in all </t>
    </r>
    <r>
      <rPr>
        <b/>
        <sz val="11"/>
        <color theme="1"/>
        <rFont val="Calibri"/>
        <family val="2"/>
        <scheme val="minor"/>
      </rPr>
      <t>Non -</t>
    </r>
    <r>
      <rPr>
        <sz val="11"/>
        <color theme="1"/>
        <rFont val="Calibri"/>
        <family val="2"/>
        <scheme val="minor"/>
      </rPr>
      <t xml:space="preserve">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Schedule Master section</t>
    </r>
    <r>
      <rPr>
        <sz val="11"/>
        <color theme="1"/>
        <rFont val="Calibri"/>
        <family val="2"/>
        <scheme val="minor"/>
      </rPr>
      <t xml:space="preserve">, leaving all Mandatory fields blank.
5. Enter valid data in all </t>
    </r>
    <r>
      <rPr>
        <b/>
        <sz val="11"/>
        <color theme="1"/>
        <rFont val="Calibri"/>
        <family val="2"/>
        <scheme val="minor"/>
      </rPr>
      <t>Non -</t>
    </r>
    <r>
      <rPr>
        <sz val="11"/>
        <color theme="1"/>
        <rFont val="Calibri"/>
        <family val="2"/>
        <scheme val="minor"/>
      </rPr>
      <t xml:space="preserve">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Connection Details section</t>
    </r>
    <r>
      <rPr>
        <sz val="11"/>
        <color theme="1"/>
        <rFont val="Calibri"/>
        <family val="2"/>
        <scheme val="minor"/>
      </rPr>
      <t xml:space="preserve">, leaving all Mandatory fields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Connection Details section.</t>
    </r>
    <r>
      <rPr>
        <sz val="11"/>
        <color theme="1"/>
        <rFont val="Calibri"/>
        <family val="2"/>
        <scheme val="minor"/>
      </rPr>
      <t xml:space="preserve">
7. Click the</t>
    </r>
    <r>
      <rPr>
        <b/>
        <sz val="11"/>
        <color theme="1"/>
        <rFont val="Calibri"/>
        <family val="2"/>
        <scheme val="minor"/>
      </rPr>
      <t xml:space="preserve"> Save button </t>
    </r>
    <r>
      <rPr>
        <sz val="11"/>
        <color theme="1"/>
        <rFont val="Calibri"/>
        <family val="2"/>
        <scheme val="minor"/>
      </rPr>
      <t>and observe the system behavior.</t>
    </r>
  </si>
  <si>
    <r>
      <t xml:space="preserve">1. Enter Valid data in all </t>
    </r>
    <r>
      <rPr>
        <b/>
        <sz val="11"/>
        <color theme="1"/>
        <rFont val="Calibri"/>
        <family val="2"/>
        <scheme val="minor"/>
      </rPr>
      <t>Non-Mandatory textboxes of the Schedule Master section.</t>
    </r>
    <r>
      <rPr>
        <sz val="11"/>
        <color theme="1"/>
        <rFont val="Calibri"/>
        <family val="2"/>
        <scheme val="minor"/>
      </rPr>
      <t xml:space="preserve">
2. Enter Valid data in all </t>
    </r>
    <r>
      <rPr>
        <b/>
        <sz val="11"/>
        <color theme="1"/>
        <rFont val="Calibri"/>
        <family val="2"/>
        <scheme val="minor"/>
      </rPr>
      <t xml:space="preserve">Non-Mandatory textboxes of the Connection Details section
</t>
    </r>
  </si>
  <si>
    <r>
      <t>1. After filling only Mandatory fields in the Schedule Master and Connection Details sections, clicking Add successfully adds a record to the Connection grid.
2. Values are displayed under the correct column headers in the Connection grid.
3. On selecting the added Connection grid record, the data populates the corresponding textboxes correctly.
4. After adding a record:
 -&gt; All textboxes in the Connection Details section are cleared for a new entry.
5. On clicking Save, the record is saved successfully (</t>
    </r>
    <r>
      <rPr>
        <b/>
        <sz val="11"/>
        <color rgb="FF9C0006"/>
        <rFont val="Calibri"/>
        <family val="2"/>
        <scheme val="minor"/>
      </rPr>
      <t>only after reopening the page.)</t>
    </r>
    <r>
      <rPr>
        <sz val="11"/>
        <color rgb="FF9C0006"/>
        <rFont val="Calibri"/>
        <family val="2"/>
        <scheme val="minor"/>
      </rPr>
      <t xml:space="preserve">
6. Using the Search tab:
 -&gt; The record is searchable but not selectable
 -&gt; On selecting the Connection record, it does not load in the Connection grid</t>
    </r>
    <r>
      <rPr>
        <b/>
        <sz val="11"/>
        <color rgb="FF9C0006"/>
        <rFont val="Calibri"/>
        <family val="2"/>
        <scheme val="minor"/>
      </rPr>
      <t xml:space="preserve"> (This issue updated in Test Cases 48)</t>
    </r>
  </si>
  <si>
    <r>
      <t xml:space="preserve">Validate the functionality of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Connection Details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t>
    </r>
    <r>
      <rPr>
        <b/>
        <sz val="11"/>
        <color theme="1"/>
        <rFont val="Calibri"/>
        <family val="2"/>
        <scheme val="minor"/>
      </rPr>
      <t>only Non-Mandatory fields are filled and Mandatory fields are left blank.</t>
    </r>
  </si>
  <si>
    <r>
      <t xml:space="preserve">1. After filling only </t>
    </r>
    <r>
      <rPr>
        <b/>
        <sz val="11"/>
        <color theme="1"/>
        <rFont val="Calibri"/>
        <family val="2"/>
        <scheme val="minor"/>
      </rPr>
      <t>Non-Mandatory fields</t>
    </r>
    <r>
      <rPr>
        <sz val="11"/>
        <color theme="1"/>
        <rFont val="Calibri"/>
        <family val="2"/>
        <scheme val="minor"/>
      </rPr>
      <t xml:space="preserve">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Connection Details sections</t>
    </r>
    <r>
      <rPr>
        <sz val="11"/>
        <color theme="1"/>
        <rFont val="Calibri"/>
        <family val="2"/>
        <scheme val="minor"/>
      </rPr>
      <t xml:space="preserve">, clicking </t>
    </r>
    <r>
      <rPr>
        <b/>
        <sz val="11"/>
        <color theme="1"/>
        <rFont val="Calibri"/>
        <family val="2"/>
        <scheme val="minor"/>
      </rPr>
      <t xml:space="preserve">Add </t>
    </r>
    <r>
      <rPr>
        <sz val="11"/>
        <color theme="1"/>
        <rFont val="Calibri"/>
        <family val="2"/>
        <scheme val="minor"/>
      </rPr>
      <t xml:space="preserve">should not add any record to the </t>
    </r>
    <r>
      <rPr>
        <b/>
        <sz val="11"/>
        <color theme="1"/>
        <rFont val="Calibri"/>
        <family val="2"/>
        <scheme val="minor"/>
      </rPr>
      <t>Connection grid.</t>
    </r>
    <r>
      <rPr>
        <sz val="11"/>
        <color theme="1"/>
        <rFont val="Calibri"/>
        <family val="2"/>
        <scheme val="minor"/>
      </rPr>
      <t xml:space="preserve">
2. </t>
    </r>
    <r>
      <rPr>
        <b/>
        <sz val="11"/>
        <color theme="1"/>
        <rFont val="Calibri"/>
        <family val="2"/>
        <scheme val="minor"/>
      </rPr>
      <t xml:space="preserve">Appropriate validation messages </t>
    </r>
    <r>
      <rPr>
        <sz val="11"/>
        <color theme="1"/>
        <rFont val="Calibri"/>
        <family val="2"/>
        <scheme val="minor"/>
      </rPr>
      <t xml:space="preserve">should be displayed for all </t>
    </r>
    <r>
      <rPr>
        <b/>
        <sz val="11"/>
        <color theme="1"/>
        <rFont val="Calibri"/>
        <family val="2"/>
        <scheme val="minor"/>
      </rPr>
      <t>Mandatory fields</t>
    </r>
    <r>
      <rPr>
        <sz val="11"/>
        <color theme="1"/>
        <rFont val="Calibri"/>
        <family val="2"/>
        <scheme val="minor"/>
      </rPr>
      <t xml:space="preserve">, with:
 -&gt; Correct validation text
 -&gt; Validation label matching the textbox label
 -&gt; Validation message sequence matching the textbox order on the page
3. A record should be added to the </t>
    </r>
    <r>
      <rPr>
        <b/>
        <sz val="11"/>
        <color theme="1"/>
        <rFont val="Calibri"/>
        <family val="2"/>
        <scheme val="minor"/>
      </rPr>
      <t>Connection grid</t>
    </r>
    <r>
      <rPr>
        <sz val="11"/>
        <color theme="1"/>
        <rFont val="Calibri"/>
        <family val="2"/>
        <scheme val="minor"/>
      </rPr>
      <t xml:space="preserve"> </t>
    </r>
    <r>
      <rPr>
        <b/>
        <sz val="11"/>
        <color theme="1"/>
        <rFont val="Calibri"/>
        <family val="2"/>
        <scheme val="minor"/>
      </rPr>
      <t>only after all Mandatory fields are filled.</t>
    </r>
    <r>
      <rPr>
        <sz val="11"/>
        <color theme="1"/>
        <rFont val="Calibri"/>
        <family val="2"/>
        <scheme val="minor"/>
      </rPr>
      <t xml:space="preserve">
4. On clicking </t>
    </r>
    <r>
      <rPr>
        <b/>
        <sz val="11"/>
        <color theme="1"/>
        <rFont val="Calibri"/>
        <family val="2"/>
        <scheme val="minor"/>
      </rPr>
      <t>Save,</t>
    </r>
    <r>
      <rPr>
        <sz val="11"/>
        <color theme="1"/>
        <rFont val="Calibri"/>
        <family val="2"/>
        <scheme val="minor"/>
      </rPr>
      <t xml:space="preserve"> the record should not be saved until </t>
    </r>
    <r>
      <rPr>
        <b/>
        <sz val="11"/>
        <color theme="1"/>
        <rFont val="Calibri"/>
        <family val="2"/>
        <scheme val="minor"/>
      </rPr>
      <t>all Mandatory fields in the Schedule Master and Connection Details sections are completed.</t>
    </r>
    <r>
      <rPr>
        <sz val="11"/>
        <color theme="1"/>
        <rFont val="Calibri"/>
        <family val="2"/>
        <scheme val="minor"/>
      </rPr>
      <t xml:space="preserve">
5. After successful save:
 -&gt; A success validation message should be displayed.
6. Using the</t>
    </r>
    <r>
      <rPr>
        <b/>
        <sz val="11"/>
        <color theme="1"/>
        <rFont val="Calibri"/>
        <family val="2"/>
        <scheme val="minor"/>
      </rPr>
      <t xml:space="preserve"> 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The </t>
    </r>
    <r>
      <rPr>
        <b/>
        <sz val="11"/>
        <color theme="1"/>
        <rFont val="Calibri"/>
        <family val="2"/>
        <scheme val="minor"/>
      </rPr>
      <t>newly saved record should be searchable and selectable</t>
    </r>
    <r>
      <rPr>
        <sz val="11"/>
        <color theme="1"/>
        <rFont val="Calibri"/>
        <family val="2"/>
        <scheme val="minor"/>
      </rPr>
      <t xml:space="preserve">
 -&gt; </t>
    </r>
    <r>
      <rPr>
        <b/>
        <sz val="11"/>
        <color theme="1"/>
        <rFont val="Calibri"/>
        <family val="2"/>
        <scheme val="minor"/>
      </rPr>
      <t>Vessel UID</t>
    </r>
    <r>
      <rPr>
        <sz val="11"/>
        <color theme="1"/>
        <rFont val="Calibri"/>
        <family val="2"/>
        <scheme val="minor"/>
      </rPr>
      <t xml:space="preserve"> should be auto-populated</t>
    </r>
  </si>
  <si>
    <r>
      <t xml:space="preserve">1. After filling </t>
    </r>
    <r>
      <rPr>
        <b/>
        <sz val="11"/>
        <color theme="1"/>
        <rFont val="Calibri"/>
        <family val="2"/>
        <scheme val="minor"/>
      </rPr>
      <t>only Non-Mandatory</t>
    </r>
    <r>
      <rPr>
        <sz val="11"/>
        <color theme="1"/>
        <rFont val="Calibri"/>
        <family val="2"/>
        <scheme val="minor"/>
      </rPr>
      <t xml:space="preserve"> fields in the</t>
    </r>
    <r>
      <rPr>
        <b/>
        <sz val="11"/>
        <color theme="1"/>
        <rFont val="Calibri"/>
        <family val="2"/>
        <scheme val="minor"/>
      </rPr>
      <t xml:space="preserve"> Schedule Master and Connection Details sections</t>
    </r>
    <r>
      <rPr>
        <sz val="11"/>
        <color theme="1"/>
        <rFont val="Calibri"/>
        <family val="2"/>
        <scheme val="minor"/>
      </rPr>
      <t xml:space="preserve">, clicking </t>
    </r>
    <r>
      <rPr>
        <b/>
        <sz val="11"/>
        <color theme="1"/>
        <rFont val="Calibri"/>
        <family val="2"/>
        <scheme val="minor"/>
      </rPr>
      <t>Add</t>
    </r>
    <r>
      <rPr>
        <sz val="11"/>
        <color theme="1"/>
        <rFont val="Calibri"/>
        <family val="2"/>
        <scheme val="minor"/>
      </rPr>
      <t xml:space="preserve"> does not add a record to the Connection grid.
2. Validation messages are displayed for </t>
    </r>
    <r>
      <rPr>
        <b/>
        <sz val="11"/>
        <color theme="1"/>
        <rFont val="Calibri"/>
        <family val="2"/>
        <scheme val="minor"/>
      </rPr>
      <t>all Mandatory fields with:</t>
    </r>
    <r>
      <rPr>
        <sz val="11"/>
        <color theme="1"/>
        <rFont val="Calibri"/>
        <family val="2"/>
        <scheme val="minor"/>
      </rPr>
      <t xml:space="preserve">
 -&gt; Proper validation text
 -&gt; Correct label mapping
 -&gt; Correct validation sequence
3. Records are added to the grid only after Mandatory fields are filled.
4. On clicking Save, the record is saved successfully.</t>
    </r>
    <r>
      <rPr>
        <b/>
        <sz val="11"/>
        <color theme="1"/>
        <rFont val="Calibri"/>
        <family val="2"/>
        <scheme val="minor"/>
      </rPr>
      <t xml:space="preserve"> (only after reopening the page)</t>
    </r>
    <r>
      <rPr>
        <sz val="11"/>
        <color theme="1"/>
        <rFont val="Calibri"/>
        <family val="2"/>
        <scheme val="minor"/>
      </rPr>
      <t xml:space="preserve">
5. A success message is displayed after save.
6. Using the Search tab:
 -&gt; The record is searchable but not selectable
 -&gt; On selecting the Connection record, it does not load in the Connection grid
</t>
    </r>
    <r>
      <rPr>
        <b/>
        <sz val="11"/>
        <color theme="1"/>
        <rFont val="Calibri"/>
        <family val="2"/>
        <scheme val="minor"/>
      </rPr>
      <t>(This issue is already captured in Schedule_Master_48.)</t>
    </r>
  </si>
  <si>
    <t>Schedule_Master_51</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</si>
  <si>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Connection Details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fields are (Mandatory &amp; Non-Mandatory) are left blank.</t>
    </r>
  </si>
  <si>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Selling Schedule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fields are (Mandatory &amp; Non-Mandatory) are left blank.</t>
    </r>
  </si>
  <si>
    <r>
      <t xml:space="preserve">1. Open the application and log in 
2. Select Branch: AHMEDABAD, Export Type: Export Sea, FY 2025–2026, click OK.
3. Navigate to </t>
    </r>
    <r>
      <rPr>
        <b/>
        <sz val="11"/>
        <color theme="1"/>
        <rFont val="Calibri"/>
        <family val="2"/>
        <scheme val="minor"/>
      </rPr>
      <t>Masters -&gt; Vessel Info -&gt; Schedule</t>
    </r>
    <r>
      <rPr>
        <sz val="11"/>
        <color theme="1"/>
        <rFont val="Calibri"/>
        <family val="2"/>
        <scheme val="minor"/>
      </rPr>
      <t xml:space="preserve">
4. Ensure all textboxes in the </t>
    </r>
    <r>
      <rPr>
        <b/>
        <sz val="11"/>
        <color theme="1"/>
        <rFont val="Calibri"/>
        <family val="2"/>
        <scheme val="minor"/>
      </rPr>
      <t>Schedule Master section</t>
    </r>
    <r>
      <rPr>
        <sz val="11"/>
        <color theme="1"/>
        <rFont val="Calibri"/>
        <family val="2"/>
        <scheme val="minor"/>
      </rPr>
      <t xml:space="preserve"> are left blank.
5. Ensure all textboxes in the </t>
    </r>
    <r>
      <rPr>
        <b/>
        <sz val="11"/>
        <color theme="1"/>
        <rFont val="Calibri"/>
        <family val="2"/>
        <scheme val="minor"/>
      </rPr>
      <t xml:space="preserve">Connection Details section </t>
    </r>
    <r>
      <rPr>
        <sz val="11"/>
        <color theme="1"/>
        <rFont val="Calibri"/>
        <family val="2"/>
        <scheme val="minor"/>
      </rPr>
      <t xml:space="preserve">are left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 xml:space="preserve">Connection Details section </t>
    </r>
    <r>
      <rPr>
        <sz val="11"/>
        <color theme="1"/>
        <rFont val="Calibri"/>
        <family val="2"/>
        <scheme val="minor"/>
      </rPr>
      <t xml:space="preserve">.
7. Click the </t>
    </r>
    <r>
      <rPr>
        <b/>
        <sz val="11"/>
        <color theme="1"/>
        <rFont val="Calibri"/>
        <family val="2"/>
        <scheme val="minor"/>
      </rPr>
      <t>Save button</t>
    </r>
    <r>
      <rPr>
        <sz val="11"/>
        <color theme="1"/>
        <rFont val="Calibri"/>
        <family val="2"/>
        <scheme val="minor"/>
      </rPr>
      <t xml:space="preserve"> and observe the system behavior.</t>
    </r>
  </si>
  <si>
    <r>
      <t xml:space="preserve">1. Clicking the </t>
    </r>
    <r>
      <rPr>
        <b/>
        <sz val="11"/>
        <color theme="1"/>
        <rFont val="Calibri"/>
        <family val="2"/>
        <scheme val="minor"/>
      </rPr>
      <t>Add button</t>
    </r>
    <r>
      <rPr>
        <sz val="11"/>
        <color theme="1"/>
        <rFont val="Calibri"/>
        <family val="2"/>
        <scheme val="minor"/>
      </rPr>
      <t xml:space="preserve"> with all fields left blank should not add any record to the </t>
    </r>
    <r>
      <rPr>
        <b/>
        <sz val="11"/>
        <color theme="1"/>
        <rFont val="Calibri"/>
        <family val="2"/>
        <scheme val="minor"/>
      </rPr>
      <t>Connection Details section</t>
    </r>
    <r>
      <rPr>
        <sz val="11"/>
        <color theme="1"/>
        <rFont val="Calibri"/>
        <family val="2"/>
        <scheme val="minor"/>
      </rPr>
      <t xml:space="preserve">.
2. Mandatory field validation messages should be displayed for all mandatory fields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Connection Details section</t>
    </r>
    <r>
      <rPr>
        <sz val="11"/>
        <color theme="1"/>
        <rFont val="Calibri"/>
        <family val="2"/>
        <scheme val="minor"/>
      </rPr>
      <t xml:space="preserve">.
3. Validation messages should:
 -&gt; Display correct validation text
 -&gt; Match the respective textbox labels
 -&gt; Appear in the same sequence as the textbox order on the page
4. On clicking Save, the record should not be saved until all Mandatory fields in the Schedule Master and Connection Details sections are completed.
</t>
    </r>
  </si>
  <si>
    <t>1. Clicking the Add button with all fields blank does not add any record to the Connection grid.
2. Mandatory field validation messages are displayed for all required fields with correct labels and sequence.
3. The record is not saved until all mandatory fields in the Schedule Master and Connection Details sections are filled.</t>
  </si>
  <si>
    <t>Schedule_Master_52</t>
  </si>
  <si>
    <r>
      <t xml:space="preserve">Validate the functionality of the </t>
    </r>
    <r>
      <rPr>
        <b/>
        <sz val="11"/>
        <color theme="1"/>
        <rFont val="Calibri"/>
        <family val="2"/>
        <scheme val="minor"/>
      </rPr>
      <t>Container</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(Estimation Section)</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</si>
  <si>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 xml:space="preserve">4. In the </t>
    </r>
    <r>
      <rPr>
        <b/>
        <sz val="11"/>
        <color theme="1"/>
        <rFont val="Calibri"/>
        <family val="2"/>
        <scheme val="minor"/>
      </rPr>
      <t xml:space="preserve">Container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</si>
  <si>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Container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20 STANDARD DRY
-&gt; 40 STANDARD DRY etc.</t>
    </r>
  </si>
  <si>
    <r>
      <t xml:space="preserve">1. Manual input should not be allowed in the </t>
    </r>
    <r>
      <rPr>
        <b/>
        <sz val="11"/>
        <color theme="1"/>
        <rFont val="Calibri"/>
        <family val="2"/>
        <scheme val="minor"/>
      </rPr>
      <t>Container</t>
    </r>
    <r>
      <rPr>
        <sz val="11"/>
        <color theme="1"/>
        <rFont val="Calibri"/>
        <family val="2"/>
        <scheme val="minor"/>
      </rPr>
      <t xml:space="preserve"> textbox.
2. The user should be able to select a </t>
    </r>
    <r>
      <rPr>
        <b/>
        <sz val="11"/>
        <color theme="1"/>
        <rFont val="Calibri"/>
        <family val="2"/>
        <scheme val="minor"/>
      </rPr>
      <t xml:space="preserve">Container </t>
    </r>
    <r>
      <rPr>
        <sz val="11"/>
        <color theme="1"/>
        <rFont val="Calibri"/>
        <family val="2"/>
        <scheme val="minor"/>
      </rPr>
      <t>value</t>
    </r>
    <r>
      <rPr>
        <b/>
        <sz val="11"/>
        <color theme="1"/>
        <rFont val="Calibri"/>
        <family val="2"/>
        <scheme val="minor"/>
      </rPr>
      <t xml:space="preserv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</si>
  <si>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Container</t>
    </r>
    <r>
      <rPr>
        <sz val="11"/>
        <color theme="1"/>
        <rFont val="Calibri"/>
        <family val="2"/>
        <scheme val="minor"/>
      </rPr>
      <t xml:space="preserve"> can be selected only from the autosuggest list.</t>
    </r>
  </si>
  <si>
    <t>Schedule_Master_53</t>
  </si>
  <si>
    <r>
      <t xml:space="preserve">Validate the functionality of the </t>
    </r>
    <r>
      <rPr>
        <b/>
        <sz val="11"/>
        <color theme="1"/>
        <rFont val="Calibri"/>
        <family val="2"/>
        <scheme val="minor"/>
      </rPr>
      <t>Container</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(Estimation Section)</t>
    </r>
  </si>
  <si>
    <r>
      <t xml:space="preserve">Textbox - </t>
    </r>
    <r>
      <rPr>
        <b/>
        <sz val="11"/>
        <color theme="1"/>
        <rFont val="Calibri"/>
        <family val="2"/>
        <scheme val="minor"/>
      </rPr>
      <t>Container Code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20 STANDARD DRY
-&gt; 40 STANDARD DRY etc.</t>
    </r>
  </si>
  <si>
    <r>
      <t xml:space="preserve">1. </t>
    </r>
    <r>
      <rPr>
        <b/>
        <sz val="11"/>
        <color theme="1"/>
        <rFont val="Calibri"/>
        <family val="2"/>
        <scheme val="minor"/>
      </rPr>
      <t>Container Code</t>
    </r>
    <r>
      <rPr>
        <sz val="11"/>
        <color theme="1"/>
        <rFont val="Calibri"/>
        <family val="2"/>
        <scheme val="minor"/>
      </rPr>
      <t xml:space="preserve"> textbox should be disabled and non-editable.
2. </t>
    </r>
    <r>
      <rPr>
        <b/>
        <sz val="11"/>
        <color theme="1"/>
        <rFont val="Calibri"/>
        <family val="2"/>
        <scheme val="minor"/>
      </rPr>
      <t xml:space="preserve">Container Code </t>
    </r>
    <r>
      <rPr>
        <sz val="11"/>
        <color theme="1"/>
        <rFont val="Calibri"/>
        <family val="2"/>
        <scheme val="minor"/>
      </rPr>
      <t xml:space="preserve">value should be auto-populated based on the value selected in the </t>
    </r>
    <r>
      <rPr>
        <b/>
        <sz val="11"/>
        <color theme="1"/>
        <rFont val="Calibri"/>
        <family val="2"/>
        <scheme val="minor"/>
      </rPr>
      <t>Container</t>
    </r>
    <r>
      <rPr>
        <sz val="11"/>
        <color theme="1"/>
        <rFont val="Calibri"/>
        <family val="2"/>
        <scheme val="minor"/>
      </rPr>
      <t xml:space="preserve"> textbox.</t>
    </r>
  </si>
  <si>
    <r>
      <t xml:space="preserve">1. </t>
    </r>
    <r>
      <rPr>
        <b/>
        <sz val="11"/>
        <color theme="1"/>
        <rFont val="Calibri"/>
        <family val="2"/>
        <scheme val="minor"/>
      </rPr>
      <t xml:space="preserve">Container Code </t>
    </r>
    <r>
      <rPr>
        <sz val="11"/>
        <color theme="1"/>
        <rFont val="Calibri"/>
        <family val="2"/>
        <scheme val="minor"/>
      </rPr>
      <t xml:space="preserve">textbox is disabled and not editable.
2. </t>
    </r>
    <r>
      <rPr>
        <b/>
        <sz val="11"/>
        <color theme="1"/>
        <rFont val="Calibri"/>
        <family val="2"/>
        <scheme val="minor"/>
      </rPr>
      <t xml:space="preserve">Container Code </t>
    </r>
    <r>
      <rPr>
        <sz val="11"/>
        <color theme="1"/>
        <rFont val="Calibri"/>
        <family val="2"/>
        <scheme val="minor"/>
      </rPr>
      <t>value is auto-populated correctly based on the selected Container value.</t>
    </r>
  </si>
  <si>
    <t>Schedule_Master_54</t>
  </si>
  <si>
    <r>
      <t xml:space="preserve">Validate the functionality of the </t>
    </r>
    <r>
      <rPr>
        <b/>
        <sz val="11"/>
        <color theme="1"/>
        <rFont val="Calibri"/>
        <family val="2"/>
        <scheme val="minor"/>
      </rPr>
      <t>Per Container Weight</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(Estimation Section)</t>
    </r>
  </si>
  <si>
    <r>
      <rPr>
        <b/>
        <sz val="11"/>
        <color theme="1"/>
        <rFont val="Calibri"/>
        <family val="2"/>
        <scheme val="minor"/>
      </rPr>
      <t xml:space="preserve">Textbox </t>
    </r>
    <r>
      <rPr>
        <sz val="11"/>
        <color theme="1"/>
        <rFont val="Calibri"/>
        <family val="2"/>
        <scheme val="minor"/>
      </rPr>
      <t xml:space="preserve">- </t>
    </r>
    <r>
      <rPr>
        <b/>
        <sz val="11"/>
        <color theme="1"/>
        <rFont val="Calibri"/>
        <family val="2"/>
        <scheme val="minor"/>
      </rPr>
      <t>Per Container Weight</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 Numeric Value with decimal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</si>
  <si>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t>
    </r>
    <r>
      <rPr>
        <b/>
        <sz val="11"/>
        <color theme="1"/>
        <rFont val="Calibri"/>
        <family val="2"/>
        <scheme val="minor"/>
      </rPr>
      <t xml:space="preserve">Per Container Weight </t>
    </r>
    <r>
      <rPr>
        <sz val="11"/>
        <color theme="1"/>
        <rFont val="Calibri"/>
        <family val="2"/>
        <scheme val="minor"/>
      </rPr>
      <t xml:space="preserve">textbox should accept only </t>
    </r>
    <r>
      <rPr>
        <b/>
        <sz val="11"/>
        <color theme="1"/>
        <rFont val="Calibri"/>
        <family val="2"/>
        <scheme val="minor"/>
      </rPr>
      <t>numeric values with a decimal point.</t>
    </r>
    <r>
      <rPr>
        <sz val="11"/>
        <color theme="1"/>
        <rFont val="Calibri"/>
        <family val="2"/>
        <scheme val="minor"/>
      </rPr>
      <t xml:space="preserve">
2. The textbox should not accept:
 -&gt; Only space values
 -&gt; Alphabetic values
 -&gt; Special characters (except .)
 -&gt; Alphanumeric values containing special characters or spaces
3. </t>
    </r>
    <r>
      <rPr>
        <b/>
        <sz val="11"/>
        <color theme="1"/>
        <rFont val="Calibri"/>
        <family val="2"/>
        <scheme val="minor"/>
      </rPr>
      <t>Decimal point (.)</t>
    </r>
    <r>
      <rPr>
        <sz val="11"/>
        <color theme="1"/>
        <rFont val="Calibri"/>
        <family val="2"/>
        <scheme val="minor"/>
      </rPr>
      <t xml:space="preserve"> should be allowed.
4. The maximum</t>
    </r>
    <r>
      <rPr>
        <b/>
        <sz val="11"/>
        <color theme="1"/>
        <rFont val="Calibri"/>
        <family val="2"/>
        <scheme val="minor"/>
      </rPr>
      <t xml:space="preserve"> character limit</t>
    </r>
    <r>
      <rPr>
        <sz val="11"/>
        <color theme="1"/>
        <rFont val="Calibri"/>
        <family val="2"/>
        <scheme val="minor"/>
      </rPr>
      <t xml:space="preserve"> for the textbox should be</t>
    </r>
    <r>
      <rPr>
        <b/>
        <sz val="11"/>
        <color theme="1"/>
        <rFont val="Calibri"/>
        <family val="2"/>
        <scheme val="minor"/>
      </rPr>
      <t xml:space="preserve"> 7 characters.</t>
    </r>
    <r>
      <rPr>
        <sz val="11"/>
        <color theme="1"/>
        <rFont val="Calibri"/>
        <family val="2"/>
        <scheme val="minor"/>
      </rPr>
      <t xml:space="preserve">
5. If a </t>
    </r>
    <r>
      <rPr>
        <b/>
        <sz val="11"/>
        <color theme="1"/>
        <rFont val="Calibri"/>
        <family val="2"/>
        <scheme val="minor"/>
      </rPr>
      <t>Decimal point</t>
    </r>
    <r>
      <rPr>
        <sz val="11"/>
        <color theme="1"/>
        <rFont val="Calibri"/>
        <family val="2"/>
        <scheme val="minor"/>
      </rPr>
      <t xml:space="preserve"> is entered without any value after it:
 -&gt; The decimal should be automatically cleared, or
 -&gt; A validation message should be displayed prompting the user to enter a value, or
 -&gt; The system should save 00 after the decimal point (as per business rule).</t>
    </r>
  </si>
  <si>
    <r>
      <t xml:space="preserve">1. The </t>
    </r>
    <r>
      <rPr>
        <b/>
        <sz val="11"/>
        <color theme="1"/>
        <rFont val="Calibri"/>
        <family val="2"/>
        <scheme val="minor"/>
      </rPr>
      <t>Per Container Weight</t>
    </r>
    <r>
      <rPr>
        <sz val="11"/>
        <color theme="1"/>
        <rFont val="Calibri"/>
        <family val="2"/>
        <scheme val="minor"/>
      </rPr>
      <t xml:space="preserve"> textbox accepts only </t>
    </r>
    <r>
      <rPr>
        <b/>
        <sz val="11"/>
        <color theme="1"/>
        <rFont val="Calibri"/>
        <family val="2"/>
        <scheme val="minor"/>
      </rPr>
      <t xml:space="preserve">numeric values and a decimal point (.).
2. </t>
    </r>
    <r>
      <rPr>
        <sz val="11"/>
        <color theme="1"/>
        <rFont val="Calibri"/>
        <family val="2"/>
        <scheme val="minor"/>
      </rPr>
      <t xml:space="preserve">Invalid inputs such as spaces, alphabets, and special characters are correctly restricted.
3. Textbox character limit is not implemented correctly:
 -&gt; Without decimal: accepts 7-digit numeric values
 -&gt; With decimal: accepts up to 10 characters (e.g., 1234567.12)
4. If a decimal point is entered without any value after it, the system automatically saves </t>
    </r>
    <r>
      <rPr>
        <b/>
        <sz val="11"/>
        <color theme="1"/>
        <rFont val="Calibri"/>
        <family val="2"/>
        <scheme val="minor"/>
      </rPr>
      <t>00 after the decimal point in the grid.</t>
    </r>
  </si>
  <si>
    <t>Schedule_Master_55</t>
  </si>
  <si>
    <r>
      <t xml:space="preserve">Validate the functionality of the </t>
    </r>
    <r>
      <rPr>
        <b/>
        <sz val="11"/>
        <color theme="1"/>
        <rFont val="Calibri"/>
        <family val="2"/>
        <scheme val="minor"/>
      </rPr>
      <t>Per Container Volume</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(Estimation Section)</t>
    </r>
  </si>
  <si>
    <r>
      <rPr>
        <b/>
        <sz val="11"/>
        <color theme="1"/>
        <rFont val="Calibri"/>
        <family val="2"/>
        <scheme val="minor"/>
      </rPr>
      <t xml:space="preserve">Textbox </t>
    </r>
    <r>
      <rPr>
        <sz val="11"/>
        <color theme="1"/>
        <rFont val="Calibri"/>
        <family val="2"/>
        <scheme val="minor"/>
      </rPr>
      <t xml:space="preserve">- </t>
    </r>
    <r>
      <rPr>
        <b/>
        <sz val="11"/>
        <color theme="1"/>
        <rFont val="Calibri"/>
        <family val="2"/>
        <scheme val="minor"/>
      </rPr>
      <t>Per Container Volume
Valid Data</t>
    </r>
    <r>
      <rPr>
        <sz val="11"/>
        <color theme="1"/>
        <rFont val="Calibri"/>
        <family val="2"/>
        <scheme val="minor"/>
      </rPr>
      <t xml:space="preserve"> - Numeric Value with decimal
</t>
    </r>
    <r>
      <rPr>
        <b/>
        <sz val="11"/>
        <color theme="1"/>
        <rFont val="Calibri"/>
        <family val="2"/>
        <scheme val="minor"/>
      </rPr>
      <t xml:space="preserve">Invalid data - </t>
    </r>
    <r>
      <rPr>
        <sz val="11"/>
        <color theme="1"/>
        <rFont val="Calibri"/>
        <family val="2"/>
        <scheme val="minor"/>
      </rPr>
      <t>Only space value, special character value, Alphabetic Value</t>
    </r>
  </si>
  <si>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Enter valid </t>
    </r>
    <r>
      <rPr>
        <b/>
        <sz val="11"/>
        <color theme="1"/>
        <rFont val="Calibri"/>
        <family val="2"/>
        <scheme val="minor"/>
      </rPr>
      <t>numeric values with decimals</t>
    </r>
    <r>
      <rPr>
        <sz val="11"/>
        <color theme="1"/>
        <rFont val="Calibri"/>
        <family val="2"/>
        <scheme val="minor"/>
      </rPr>
      <t xml:space="preserve"> and observe the system behavior.
5. Enter invalid values such as spaces, alphabets, and special characters, and observe validation behavior.</t>
    </r>
  </si>
  <si>
    <r>
      <t xml:space="preserve">1. </t>
    </r>
    <r>
      <rPr>
        <b/>
        <sz val="11"/>
        <color theme="1"/>
        <rFont val="Calibri"/>
        <family val="2"/>
        <scheme val="minor"/>
      </rPr>
      <t xml:space="preserve">Per Container Volume </t>
    </r>
    <r>
      <rPr>
        <sz val="11"/>
        <color theme="1"/>
        <rFont val="Calibri"/>
        <family val="2"/>
        <scheme val="minor"/>
      </rPr>
      <t xml:space="preserve">textbox should accept only </t>
    </r>
    <r>
      <rPr>
        <b/>
        <sz val="11"/>
        <color theme="1"/>
        <rFont val="Calibri"/>
        <family val="2"/>
        <scheme val="minor"/>
      </rPr>
      <t>numeric values with a decimal point.</t>
    </r>
    <r>
      <rPr>
        <sz val="11"/>
        <color theme="1"/>
        <rFont val="Calibri"/>
        <family val="2"/>
        <scheme val="minor"/>
      </rPr>
      <t xml:space="preserve">
2. The textbox should not accept:
 -&gt; Only space values
 -&gt; Alphabetic values
 -&gt; Special characters (except .)
 -&gt; Alphanumeric values containing special characters or spaces
3. </t>
    </r>
    <r>
      <rPr>
        <b/>
        <sz val="11"/>
        <color theme="1"/>
        <rFont val="Calibri"/>
        <family val="2"/>
        <scheme val="minor"/>
      </rPr>
      <t>Decimal point (.)</t>
    </r>
    <r>
      <rPr>
        <sz val="11"/>
        <color theme="1"/>
        <rFont val="Calibri"/>
        <family val="2"/>
        <scheme val="minor"/>
      </rPr>
      <t xml:space="preserve"> should be allowed.
4. The maximum</t>
    </r>
    <r>
      <rPr>
        <b/>
        <sz val="11"/>
        <color theme="1"/>
        <rFont val="Calibri"/>
        <family val="2"/>
        <scheme val="minor"/>
      </rPr>
      <t xml:space="preserve"> character limit</t>
    </r>
    <r>
      <rPr>
        <sz val="11"/>
        <color theme="1"/>
        <rFont val="Calibri"/>
        <family val="2"/>
        <scheme val="minor"/>
      </rPr>
      <t xml:space="preserve"> for the textbox should be</t>
    </r>
    <r>
      <rPr>
        <b/>
        <sz val="11"/>
        <color theme="1"/>
        <rFont val="Calibri"/>
        <family val="2"/>
        <scheme val="minor"/>
      </rPr>
      <t xml:space="preserve"> 7 characters.</t>
    </r>
    <r>
      <rPr>
        <sz val="11"/>
        <color theme="1"/>
        <rFont val="Calibri"/>
        <family val="2"/>
        <scheme val="minor"/>
      </rPr>
      <t xml:space="preserve">
5. If a </t>
    </r>
    <r>
      <rPr>
        <b/>
        <sz val="11"/>
        <color theme="1"/>
        <rFont val="Calibri"/>
        <family val="2"/>
        <scheme val="minor"/>
      </rPr>
      <t>Decimal point</t>
    </r>
    <r>
      <rPr>
        <sz val="11"/>
        <color theme="1"/>
        <rFont val="Calibri"/>
        <family val="2"/>
        <scheme val="minor"/>
      </rPr>
      <t xml:space="preserve"> is entered without any value after it:
 -&gt; The decimal should be automatically cleared, or
 -&gt; A validation message should be displayed prompting the user to enter a value, or
 -&gt; The system should save 00 after the decimal point (as per business rule).</t>
    </r>
  </si>
  <si>
    <r>
      <t xml:space="preserve">1. The </t>
    </r>
    <r>
      <rPr>
        <b/>
        <sz val="11"/>
        <color theme="1"/>
        <rFont val="Calibri"/>
        <family val="2"/>
        <scheme val="minor"/>
      </rPr>
      <t>Per Container Volume</t>
    </r>
    <r>
      <rPr>
        <sz val="11"/>
        <color theme="1"/>
        <rFont val="Calibri"/>
        <family val="2"/>
        <scheme val="minor"/>
      </rPr>
      <t xml:space="preserve"> textbox accepts only </t>
    </r>
    <r>
      <rPr>
        <b/>
        <sz val="11"/>
        <color theme="1"/>
        <rFont val="Calibri"/>
        <family val="2"/>
        <scheme val="minor"/>
      </rPr>
      <t xml:space="preserve">numeric values and a decimal point (.).
2. </t>
    </r>
    <r>
      <rPr>
        <sz val="11"/>
        <color theme="1"/>
        <rFont val="Calibri"/>
        <family val="2"/>
        <scheme val="minor"/>
      </rPr>
      <t xml:space="preserve">Invalid inputs such as spaces, alphabets, and special characters are correctly restricted.
3. Textbox character limit is not implemented correctly:
 -&gt; Without decimal: accepts 7-digit numeric values
 -&gt; With decimal: accepts up to 10 characters (e.g., 1234567.12)
4. If a decimal point is entered without any value after it, the system automatically saves </t>
    </r>
    <r>
      <rPr>
        <b/>
        <sz val="11"/>
        <color theme="1"/>
        <rFont val="Calibri"/>
        <family val="2"/>
        <scheme val="minor"/>
      </rPr>
      <t>00 after the decimal point in the grid.</t>
    </r>
  </si>
  <si>
    <t>Schedule_Master_56</t>
  </si>
  <si>
    <r>
      <t xml:space="preserve">Validate the functionality of the </t>
    </r>
    <r>
      <rPr>
        <b/>
        <sz val="11"/>
        <color theme="1"/>
        <rFont val="Calibri"/>
        <family val="2"/>
        <scheme val="minor"/>
      </rPr>
      <t>NOS</t>
    </r>
    <r>
      <rPr>
        <sz val="11"/>
        <color theme="1"/>
        <rFont val="Calibri"/>
        <family val="2"/>
        <scheme val="minor"/>
      </rPr>
      <t xml:space="preserve"> textbox in the </t>
    </r>
    <r>
      <rPr>
        <b/>
        <sz val="11"/>
        <color theme="1"/>
        <rFont val="Calibri"/>
        <family val="2"/>
        <scheme val="minor"/>
      </rPr>
      <t>Schedule</t>
    </r>
    <r>
      <rPr>
        <sz val="11"/>
        <color theme="1"/>
        <rFont val="Calibri"/>
        <family val="2"/>
        <scheme val="minor"/>
      </rPr>
      <t xml:space="preserve"> tab of the </t>
    </r>
    <r>
      <rPr>
        <b/>
        <sz val="11"/>
        <color theme="1"/>
        <rFont val="Calibri"/>
        <family val="2"/>
        <scheme val="minor"/>
      </rPr>
      <t>Schedule Master</t>
    </r>
    <r>
      <rPr>
        <sz val="11"/>
        <color theme="1"/>
        <rFont val="Calibri"/>
        <family val="2"/>
        <scheme val="minor"/>
      </rPr>
      <t xml:space="preserve"> page. (Estimation Section)</t>
    </r>
  </si>
  <si>
    <r>
      <t xml:space="preserve">1. Open the application and log in 
2. Select Branch: AHMEDABAD, Export Type: Export Sea, FY 2025–2026, click OK.
3. Navigate to </t>
    </r>
    <r>
      <rPr>
        <b/>
        <sz val="11"/>
        <color theme="1"/>
        <rFont val="Calibri"/>
        <family val="2"/>
        <scheme val="minor"/>
      </rPr>
      <t>Masters -&gt;  Vessel Info-&gt; Schedule</t>
    </r>
    <r>
      <rPr>
        <sz val="11"/>
        <color theme="1"/>
        <rFont val="Calibri"/>
        <family val="2"/>
        <scheme val="minor"/>
      </rPr>
      <t xml:space="preserve">
4. Enter valid &amp; invalid values in </t>
    </r>
    <r>
      <rPr>
        <b/>
        <sz val="11"/>
        <color theme="1"/>
        <rFont val="Calibri"/>
        <family val="2"/>
        <scheme val="minor"/>
      </rPr>
      <t xml:space="preserve">NOS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</si>
  <si>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NOS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</si>
  <si>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NOS</t>
    </r>
    <r>
      <rPr>
        <sz val="11"/>
        <color theme="1"/>
        <rFont val="Calibri"/>
        <family val="2"/>
        <scheme val="minor"/>
      </rPr>
      <t xml:space="preserve"> textbox should accept alphanumeric values.
2. </t>
    </r>
    <r>
      <rPr>
        <b/>
        <sz val="11"/>
        <color theme="1"/>
        <rFont val="Calibri"/>
        <family val="2"/>
        <scheme val="minor"/>
      </rPr>
      <t>NOS</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</si>
  <si>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NOS</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NOS textbox should accept alphanumeric value and following special characters: Dot (.), Comma (,), Percentage (%), Ampersand (&amp;), Hyphen (-),  Underscore (_), Forward slash (/), Backward slash (\)</t>
    </r>
  </si>
  <si>
    <t>Schedule_Master_57</t>
  </si>
  <si>
    <r>
      <t xml:space="preserve">Validate that the </t>
    </r>
    <r>
      <rPr>
        <b/>
        <sz val="11"/>
        <color theme="1"/>
        <rFont val="Calibri"/>
        <family val="2"/>
        <scheme val="minor"/>
      </rPr>
      <t>Vessel ID</t>
    </r>
    <r>
      <rPr>
        <sz val="11"/>
        <color theme="1"/>
        <rFont val="Calibri"/>
        <family val="2"/>
        <scheme val="minor"/>
      </rPr>
      <t xml:space="preserve"> textbox functions correctly in the </t>
    </r>
    <r>
      <rPr>
        <b/>
        <sz val="11"/>
        <color theme="1"/>
        <rFont val="Calibri"/>
        <family val="2"/>
        <scheme val="minor"/>
      </rPr>
      <t>Schedule tab</t>
    </r>
    <r>
      <rPr>
        <sz val="11"/>
        <color theme="1"/>
        <rFont val="Calibri"/>
        <family val="2"/>
        <scheme val="minor"/>
      </rPr>
      <t xml:space="preserve"> of the </t>
    </r>
    <r>
      <rPr>
        <b/>
        <sz val="11"/>
        <color theme="1"/>
        <rFont val="Calibri"/>
        <family val="2"/>
        <scheme val="minor"/>
      </rPr>
      <t xml:space="preserve">Schedule Master </t>
    </r>
    <r>
      <rPr>
        <sz val="11"/>
        <color theme="1"/>
        <rFont val="Calibri"/>
        <family val="2"/>
        <scheme val="minor"/>
      </rPr>
      <t>page. (Connection Details Section)</t>
    </r>
  </si>
  <si>
    <r>
      <t xml:space="preserve">1. As per the use case, the </t>
    </r>
    <r>
      <rPr>
        <b/>
        <sz val="11"/>
        <color theme="1"/>
        <rFont val="Calibri"/>
        <family val="2"/>
        <scheme val="minor"/>
      </rPr>
      <t>Vessel ID</t>
    </r>
    <r>
      <rPr>
        <sz val="11"/>
        <color theme="1"/>
        <rFont val="Calibri"/>
        <family val="2"/>
        <scheme val="minor"/>
      </rPr>
      <t xml:space="preserve"> textbox should be disabled, non-editable, and its value should be auto-populated.</t>
    </r>
  </si>
  <si>
    <r>
      <t xml:space="preserve">Validate that the </t>
    </r>
    <r>
      <rPr>
        <b/>
        <sz val="11"/>
        <color theme="1"/>
        <rFont val="Calibri"/>
        <family val="2"/>
        <scheme val="minor"/>
      </rPr>
      <t>Vessel ID</t>
    </r>
    <r>
      <rPr>
        <sz val="11"/>
        <color theme="1"/>
        <rFont val="Calibri"/>
        <family val="2"/>
        <scheme val="minor"/>
      </rPr>
      <t xml:space="preserve"> textbox functions correctly in the </t>
    </r>
    <r>
      <rPr>
        <b/>
        <sz val="11"/>
        <color theme="1"/>
        <rFont val="Calibri"/>
        <family val="2"/>
        <scheme val="minor"/>
      </rPr>
      <t>Schedule tab</t>
    </r>
    <r>
      <rPr>
        <sz val="11"/>
        <color theme="1"/>
        <rFont val="Calibri"/>
        <family val="2"/>
        <scheme val="minor"/>
      </rPr>
      <t xml:space="preserve"> of the </t>
    </r>
    <r>
      <rPr>
        <b/>
        <sz val="11"/>
        <color theme="1"/>
        <rFont val="Calibri"/>
        <family val="2"/>
        <scheme val="minor"/>
      </rPr>
      <t xml:space="preserve">Schedule Master </t>
    </r>
    <r>
      <rPr>
        <sz val="11"/>
        <color theme="1"/>
        <rFont val="Calibri"/>
        <family val="2"/>
        <scheme val="minor"/>
      </rPr>
      <t>page. (Estimation Section)</t>
    </r>
  </si>
  <si>
    <t>Schedule_Master_58</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</si>
  <si>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Estimation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t>
    </r>
    <r>
      <rPr>
        <b/>
        <sz val="11"/>
        <color theme="1"/>
        <rFont val="Calibri"/>
        <family val="2"/>
        <scheme val="minor"/>
      </rPr>
      <t>mandatory &amp; non-mandatory)</t>
    </r>
    <r>
      <rPr>
        <sz val="11"/>
        <color theme="1"/>
        <rFont val="Calibri"/>
        <family val="2"/>
        <scheme val="minor"/>
      </rPr>
      <t xml:space="preserve"> fields are filled.</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</si>
  <si>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Enter valid data in all textboxes of the</t>
    </r>
    <r>
      <rPr>
        <b/>
        <sz val="11"/>
        <color theme="1"/>
        <rFont val="Calibri"/>
        <family val="2"/>
        <scheme val="minor"/>
      </rPr>
      <t xml:space="preserve"> Schedule Master section</t>
    </r>
    <r>
      <rPr>
        <sz val="11"/>
        <color theme="1"/>
        <rFont val="Calibri"/>
        <family val="2"/>
        <scheme val="minor"/>
      </rPr>
      <t xml:space="preserve">.
5. Enter valid data in all textboxes of the </t>
    </r>
    <r>
      <rPr>
        <b/>
        <sz val="11"/>
        <color theme="1"/>
        <rFont val="Calibri"/>
        <family val="2"/>
        <scheme val="minor"/>
      </rPr>
      <t>Estimation Section</t>
    </r>
    <r>
      <rPr>
        <sz val="11"/>
        <color theme="1"/>
        <rFont val="Calibri"/>
        <family val="2"/>
        <scheme val="minor"/>
      </rPr>
      <t xml:space="preserve">.
6. Click the </t>
    </r>
    <r>
      <rPr>
        <b/>
        <sz val="11"/>
        <color theme="1"/>
        <rFont val="Calibri"/>
        <family val="2"/>
        <scheme val="minor"/>
      </rPr>
      <t>Add</t>
    </r>
    <r>
      <rPr>
        <sz val="11"/>
        <color theme="1"/>
        <rFont val="Calibri"/>
        <family val="2"/>
        <scheme val="minor"/>
      </rPr>
      <t xml:space="preserve"> button and observe the system behavior.
7. Click the </t>
    </r>
    <r>
      <rPr>
        <b/>
        <sz val="11"/>
        <color theme="1"/>
        <rFont val="Calibri"/>
        <family val="2"/>
        <scheme val="minor"/>
      </rPr>
      <t>Save</t>
    </r>
    <r>
      <rPr>
        <sz val="11"/>
        <color theme="1"/>
        <rFont val="Calibri"/>
        <family val="2"/>
        <scheme val="minor"/>
      </rPr>
      <t xml:space="preserve"> button and observe the system behavior.</t>
    </r>
  </si>
  <si>
    <r>
      <t xml:space="preserve">1. Valid data in all textboxes of the </t>
    </r>
    <r>
      <rPr>
        <b/>
        <sz val="11"/>
        <color theme="1"/>
        <rFont val="Calibri"/>
        <family val="2"/>
        <scheme val="minor"/>
      </rPr>
      <t>Schedule Master section</t>
    </r>
    <r>
      <rPr>
        <sz val="11"/>
        <color theme="1"/>
        <rFont val="Calibri"/>
        <family val="2"/>
        <scheme val="minor"/>
      </rPr>
      <t xml:space="preserve">.
2. Valid data in all textboxes of the </t>
    </r>
    <r>
      <rPr>
        <b/>
        <sz val="11"/>
        <color theme="1"/>
        <rFont val="Calibri"/>
        <family val="2"/>
        <scheme val="minor"/>
      </rPr>
      <t>Estimation Section.</t>
    </r>
    <r>
      <rPr>
        <sz val="11"/>
        <color theme="1"/>
        <rFont val="Calibri"/>
        <family val="2"/>
        <scheme val="minor"/>
      </rPr>
      <t xml:space="preserve">
</t>
    </r>
  </si>
  <si>
    <r>
      <t xml:space="preserve">1. After filling all fields in the </t>
    </r>
    <r>
      <rPr>
        <b/>
        <sz val="11"/>
        <color theme="1"/>
        <rFont val="Calibri"/>
        <family val="2"/>
        <scheme val="minor"/>
      </rPr>
      <t>Schedule Master</t>
    </r>
    <r>
      <rPr>
        <sz val="11"/>
        <color theme="1"/>
        <rFont val="Calibri"/>
        <family val="2"/>
        <scheme val="minor"/>
      </rPr>
      <t xml:space="preserve"> &amp;</t>
    </r>
    <r>
      <rPr>
        <b/>
        <sz val="11"/>
        <color theme="1"/>
        <rFont val="Calibri"/>
        <family val="2"/>
        <scheme val="minor"/>
      </rPr>
      <t xml:space="preserve"> Estimation Section</t>
    </r>
    <r>
      <rPr>
        <sz val="11"/>
        <color theme="1"/>
        <rFont val="Calibri"/>
        <family val="2"/>
        <scheme val="minor"/>
      </rPr>
      <t xml:space="preserve">, clicking Add should successfully add a record to the </t>
    </r>
    <r>
      <rPr>
        <b/>
        <sz val="11"/>
        <color theme="1"/>
        <rFont val="Calibri"/>
        <family val="2"/>
        <scheme val="minor"/>
      </rPr>
      <t>Estimated Container grid</t>
    </r>
    <r>
      <rPr>
        <sz val="11"/>
        <color theme="1"/>
        <rFont val="Calibri"/>
        <family val="2"/>
        <scheme val="minor"/>
      </rPr>
      <t xml:space="preserve">.
2. Values should be displayed under the correct column headers in the </t>
    </r>
    <r>
      <rPr>
        <b/>
        <sz val="11"/>
        <color theme="1"/>
        <rFont val="Calibri"/>
        <family val="2"/>
        <scheme val="minor"/>
      </rPr>
      <t>Estimated Container grid</t>
    </r>
    <r>
      <rPr>
        <sz val="11"/>
        <color theme="1"/>
        <rFont val="Calibri"/>
        <family val="2"/>
        <scheme val="minor"/>
      </rPr>
      <t xml:space="preserve">.
3. On selecting the added </t>
    </r>
    <r>
      <rPr>
        <b/>
        <sz val="11"/>
        <color theme="1"/>
        <rFont val="Calibri"/>
        <family val="2"/>
        <scheme val="minor"/>
      </rPr>
      <t>Estimated Container grid record</t>
    </r>
    <r>
      <rPr>
        <sz val="11"/>
        <color theme="1"/>
        <rFont val="Calibri"/>
        <family val="2"/>
        <scheme val="minor"/>
      </rPr>
      <t>, the corresponding data should populate the Connection Details textboxes correctly.
4. After adding a record:
 -&gt; All textboxes in the</t>
    </r>
    <r>
      <rPr>
        <b/>
        <sz val="11"/>
        <color theme="1"/>
        <rFont val="Calibri"/>
        <family val="2"/>
        <scheme val="minor"/>
      </rPr>
      <t xml:space="preserve"> Estimated Section</t>
    </r>
    <r>
      <rPr>
        <sz val="11"/>
        <color theme="1"/>
        <rFont val="Calibri"/>
        <family val="2"/>
        <scheme val="minor"/>
      </rPr>
      <t xml:space="preserve">, should be cleared for a new entry.
5. After clicking </t>
    </r>
    <r>
      <rPr>
        <b/>
        <sz val="11"/>
        <color theme="1"/>
        <rFont val="Calibri"/>
        <family val="2"/>
        <scheme val="minor"/>
      </rPr>
      <t>Save,</t>
    </r>
    <r>
      <rPr>
        <sz val="11"/>
        <color theme="1"/>
        <rFont val="Calibri"/>
        <family val="2"/>
        <scheme val="minor"/>
      </rPr>
      <t xml:space="preserve"> the record should be</t>
    </r>
    <r>
      <rPr>
        <b/>
        <sz val="11"/>
        <color theme="1"/>
        <rFont val="Calibri"/>
        <family val="2"/>
        <scheme val="minor"/>
      </rPr>
      <t xml:space="preserve"> saved successfully and a success validation message should be displayed.</t>
    </r>
    <r>
      <rPr>
        <sz val="11"/>
        <color theme="1"/>
        <rFont val="Calibri"/>
        <family val="2"/>
        <scheme val="minor"/>
      </rPr>
      <t xml:space="preserve">
6. Using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
    </r>
    <r>
      <rPr>
        <b/>
        <sz val="11"/>
        <color theme="1"/>
        <rFont val="Calibri"/>
        <family val="2"/>
        <scheme val="minor"/>
      </rPr>
      <t>Search</t>
    </r>
    <r>
      <rPr>
        <sz val="11"/>
        <color theme="1"/>
        <rFont val="Calibri"/>
        <family val="2"/>
        <scheme val="minor"/>
      </rPr>
      <t xml:space="preserve"> and </t>
    </r>
    <r>
      <rPr>
        <b/>
        <sz val="11"/>
        <color theme="1"/>
        <rFont val="Calibri"/>
        <family val="2"/>
        <scheme val="minor"/>
      </rPr>
      <t>select</t>
    </r>
    <r>
      <rPr>
        <sz val="11"/>
        <color theme="1"/>
        <rFont val="Calibri"/>
        <family val="2"/>
        <scheme val="minor"/>
      </rPr>
      <t xml:space="preserve"> the newly saved record
 -&gt; </t>
    </r>
    <r>
      <rPr>
        <b/>
        <sz val="11"/>
        <color theme="1"/>
        <rFont val="Calibri"/>
        <family val="2"/>
        <scheme val="minor"/>
      </rPr>
      <t>Vessel ID</t>
    </r>
    <r>
      <rPr>
        <sz val="11"/>
        <color theme="1"/>
        <rFont val="Calibri"/>
        <family val="2"/>
        <scheme val="minor"/>
      </rPr>
      <t xml:space="preserve"> should be </t>
    </r>
    <r>
      <rPr>
        <b/>
        <sz val="11"/>
        <color theme="1"/>
        <rFont val="Calibri"/>
        <family val="2"/>
        <scheme val="minor"/>
      </rPr>
      <t>auto-populated</t>
    </r>
  </si>
  <si>
    <t>Schedule_Master_59</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</si>
  <si>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Estimation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t>
    </r>
    <r>
      <rPr>
        <b/>
        <sz val="11"/>
        <color theme="1"/>
        <rFont val="Calibri"/>
        <family val="2"/>
        <scheme val="minor"/>
      </rPr>
      <t>only Mandatory fields are filled</t>
    </r>
    <r>
      <rPr>
        <sz val="11"/>
        <color theme="1"/>
        <rFont val="Calibri"/>
        <family val="2"/>
        <scheme val="minor"/>
      </rPr>
      <t xml:space="preserve"> and </t>
    </r>
    <r>
      <rPr>
        <b/>
        <sz val="11"/>
        <color theme="1"/>
        <rFont val="Calibri"/>
        <family val="2"/>
        <scheme val="minor"/>
      </rPr>
      <t>non-Mandatory fields are left blank</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</si>
  <si>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data in all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Schedule Master section</t>
    </r>
    <r>
      <rPr>
        <sz val="11"/>
        <color theme="1"/>
        <rFont val="Calibri"/>
        <family val="2"/>
        <scheme val="minor"/>
      </rPr>
      <t xml:space="preserve">, leaving all Non-Mandatory fields blank.
5. Enter valid data in all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Estimation Section</t>
    </r>
    <r>
      <rPr>
        <sz val="11"/>
        <color theme="1"/>
        <rFont val="Calibri"/>
        <family val="2"/>
        <scheme val="minor"/>
      </rPr>
      <t xml:space="preserve">, leaving all Non-Mandatory fields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Estimation Section.</t>
    </r>
    <r>
      <rPr>
        <sz val="11"/>
        <color theme="1"/>
        <rFont val="Calibri"/>
        <family val="2"/>
        <scheme val="minor"/>
      </rPr>
      <t xml:space="preserve">
7. Click the</t>
    </r>
    <r>
      <rPr>
        <b/>
        <sz val="11"/>
        <color theme="1"/>
        <rFont val="Calibri"/>
        <family val="2"/>
        <scheme val="minor"/>
      </rPr>
      <t xml:space="preserve"> Save button </t>
    </r>
    <r>
      <rPr>
        <sz val="11"/>
        <color theme="1"/>
        <rFont val="Calibri"/>
        <family val="2"/>
        <scheme val="minor"/>
      </rPr>
      <t>and observe the system behavior.</t>
    </r>
  </si>
  <si>
    <t>1. Mandatory Fields of Schedule Master section.:
 -&gt; Vessel
 -&gt; Voyage No
2. Mandatory Fields of Estimation Section:
 -&gt; Container Code</t>
  </si>
  <si>
    <r>
      <t xml:space="preserve">1. After filling all Mandatory fields in the </t>
    </r>
    <r>
      <rPr>
        <b/>
        <sz val="11"/>
        <color theme="1"/>
        <rFont val="Calibri"/>
        <family val="2"/>
        <scheme val="minor"/>
      </rPr>
      <t>Schedule Master</t>
    </r>
    <r>
      <rPr>
        <sz val="11"/>
        <color theme="1"/>
        <rFont val="Calibri"/>
        <family val="2"/>
        <scheme val="minor"/>
      </rPr>
      <t xml:space="preserve"> &amp;</t>
    </r>
    <r>
      <rPr>
        <b/>
        <sz val="11"/>
        <color theme="1"/>
        <rFont val="Calibri"/>
        <family val="2"/>
        <scheme val="minor"/>
      </rPr>
      <t xml:space="preserve"> Estimation Section</t>
    </r>
    <r>
      <rPr>
        <sz val="11"/>
        <color theme="1"/>
        <rFont val="Calibri"/>
        <family val="2"/>
        <scheme val="minor"/>
      </rPr>
      <t xml:space="preserve">, clicking Add should successfully add a record to the </t>
    </r>
    <r>
      <rPr>
        <b/>
        <sz val="11"/>
        <color theme="1"/>
        <rFont val="Calibri"/>
        <family val="2"/>
        <scheme val="minor"/>
      </rPr>
      <t>Estimated Container grid</t>
    </r>
    <r>
      <rPr>
        <sz val="11"/>
        <color theme="1"/>
        <rFont val="Calibri"/>
        <family val="2"/>
        <scheme val="minor"/>
      </rPr>
      <t xml:space="preserve">.
2. Values should be displayed under the correct column headers in the </t>
    </r>
    <r>
      <rPr>
        <b/>
        <sz val="11"/>
        <color theme="1"/>
        <rFont val="Calibri"/>
        <family val="2"/>
        <scheme val="minor"/>
      </rPr>
      <t>Estimated Container grid</t>
    </r>
    <r>
      <rPr>
        <sz val="11"/>
        <color theme="1"/>
        <rFont val="Calibri"/>
        <family val="2"/>
        <scheme val="minor"/>
      </rPr>
      <t xml:space="preserve">.
3. On selecting the added </t>
    </r>
    <r>
      <rPr>
        <b/>
        <sz val="11"/>
        <color theme="1"/>
        <rFont val="Calibri"/>
        <family val="2"/>
        <scheme val="minor"/>
      </rPr>
      <t>Estimated Container grid record</t>
    </r>
    <r>
      <rPr>
        <sz val="11"/>
        <color theme="1"/>
        <rFont val="Calibri"/>
        <family val="2"/>
        <scheme val="minor"/>
      </rPr>
      <t>, the corresponding data should populate in the textboxes correctly.
4. After adding a record:
 -&gt; All textboxes in the</t>
    </r>
    <r>
      <rPr>
        <b/>
        <sz val="11"/>
        <color theme="1"/>
        <rFont val="Calibri"/>
        <family val="2"/>
        <scheme val="minor"/>
      </rPr>
      <t xml:space="preserve"> Estimated section</t>
    </r>
    <r>
      <rPr>
        <sz val="11"/>
        <color theme="1"/>
        <rFont val="Calibri"/>
        <family val="2"/>
        <scheme val="minor"/>
      </rPr>
      <t xml:space="preserve"> should be cleared for a new entry.
5. After clicking </t>
    </r>
    <r>
      <rPr>
        <b/>
        <sz val="11"/>
        <color theme="1"/>
        <rFont val="Calibri"/>
        <family val="2"/>
        <scheme val="minor"/>
      </rPr>
      <t>Save,</t>
    </r>
    <r>
      <rPr>
        <sz val="11"/>
        <color theme="1"/>
        <rFont val="Calibri"/>
        <family val="2"/>
        <scheme val="minor"/>
      </rPr>
      <t xml:space="preserve"> the record should be</t>
    </r>
    <r>
      <rPr>
        <b/>
        <sz val="11"/>
        <color theme="1"/>
        <rFont val="Calibri"/>
        <family val="2"/>
        <scheme val="minor"/>
      </rPr>
      <t xml:space="preserve"> saved successfully and a success validation message should be displayed.</t>
    </r>
    <r>
      <rPr>
        <sz val="11"/>
        <color theme="1"/>
        <rFont val="Calibri"/>
        <family val="2"/>
        <scheme val="minor"/>
      </rPr>
      <t xml:space="preserve">
6. Using the </t>
    </r>
    <r>
      <rPr>
        <b/>
        <sz val="11"/>
        <color theme="1"/>
        <rFont val="Calibri"/>
        <family val="2"/>
        <scheme val="minor"/>
      </rPr>
      <t>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
    </r>
    <r>
      <rPr>
        <b/>
        <sz val="11"/>
        <color theme="1"/>
        <rFont val="Calibri"/>
        <family val="2"/>
        <scheme val="minor"/>
      </rPr>
      <t>Search</t>
    </r>
    <r>
      <rPr>
        <sz val="11"/>
        <color theme="1"/>
        <rFont val="Calibri"/>
        <family val="2"/>
        <scheme val="minor"/>
      </rPr>
      <t xml:space="preserve"> and </t>
    </r>
    <r>
      <rPr>
        <b/>
        <sz val="11"/>
        <color theme="1"/>
        <rFont val="Calibri"/>
        <family val="2"/>
        <scheme val="minor"/>
      </rPr>
      <t>select</t>
    </r>
    <r>
      <rPr>
        <sz val="11"/>
        <color theme="1"/>
        <rFont val="Calibri"/>
        <family val="2"/>
        <scheme val="minor"/>
      </rPr>
      <t xml:space="preserve"> the newly saved record
 -&gt; </t>
    </r>
    <r>
      <rPr>
        <b/>
        <sz val="11"/>
        <color theme="1"/>
        <rFont val="Calibri"/>
        <family val="2"/>
        <scheme val="minor"/>
      </rPr>
      <t>Vessel ID</t>
    </r>
    <r>
      <rPr>
        <sz val="11"/>
        <color theme="1"/>
        <rFont val="Calibri"/>
        <family val="2"/>
        <scheme val="minor"/>
      </rPr>
      <t xml:space="preserve"> should be </t>
    </r>
    <r>
      <rPr>
        <b/>
        <sz val="11"/>
        <color theme="1"/>
        <rFont val="Calibri"/>
        <family val="2"/>
        <scheme val="minor"/>
      </rPr>
      <t>auto-populated</t>
    </r>
  </si>
  <si>
    <r>
      <t xml:space="preserve">1. After filling all fields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Estimation Section</t>
    </r>
    <r>
      <rPr>
        <sz val="11"/>
        <color theme="1"/>
        <rFont val="Calibri"/>
        <family val="2"/>
        <scheme val="minor"/>
      </rPr>
      <t xml:space="preserve">, clicking </t>
    </r>
    <r>
      <rPr>
        <b/>
        <sz val="11"/>
        <color theme="1"/>
        <rFont val="Calibri"/>
        <family val="2"/>
        <scheme val="minor"/>
      </rPr>
      <t xml:space="preserve">Add </t>
    </r>
    <r>
      <rPr>
        <sz val="11"/>
        <color theme="1"/>
        <rFont val="Calibri"/>
        <family val="2"/>
        <scheme val="minor"/>
      </rPr>
      <t xml:space="preserve">successfully adds a record to the </t>
    </r>
    <r>
      <rPr>
        <b/>
        <sz val="11"/>
        <color theme="1"/>
        <rFont val="Calibri"/>
        <family val="2"/>
        <scheme val="minor"/>
      </rPr>
      <t>Estimated Container grid</t>
    </r>
    <r>
      <rPr>
        <sz val="11"/>
        <color theme="1"/>
        <rFont val="Calibri"/>
        <family val="2"/>
        <scheme val="minor"/>
      </rPr>
      <t xml:space="preserve">.
2. Values are displayed under the correct column headers in the </t>
    </r>
    <r>
      <rPr>
        <b/>
        <sz val="11"/>
        <color theme="1"/>
        <rFont val="Calibri"/>
        <family val="2"/>
        <scheme val="minor"/>
      </rPr>
      <t>Estimated Container grid</t>
    </r>
    <r>
      <rPr>
        <sz val="11"/>
        <color theme="1"/>
        <rFont val="Calibri"/>
        <family val="2"/>
        <scheme val="minor"/>
      </rPr>
      <t xml:space="preserve">.
3. On selecting the added </t>
    </r>
    <r>
      <rPr>
        <b/>
        <sz val="11"/>
        <color theme="1"/>
        <rFont val="Calibri"/>
        <family val="2"/>
        <scheme val="minor"/>
      </rPr>
      <t>Estimated Container grid</t>
    </r>
    <r>
      <rPr>
        <sz val="11"/>
        <color theme="1"/>
        <rFont val="Calibri"/>
        <family val="2"/>
        <scheme val="minor"/>
      </rPr>
      <t xml:space="preserve"> record, the data populates the corresponding textboxes correctly.
4. After adding a record:
 -&gt; All textboxes in the </t>
    </r>
    <r>
      <rPr>
        <b/>
        <sz val="11"/>
        <color theme="1"/>
        <rFont val="Calibri"/>
        <family val="2"/>
        <scheme val="minor"/>
      </rPr>
      <t>Estimated section</t>
    </r>
    <r>
      <rPr>
        <sz val="11"/>
        <color theme="1"/>
        <rFont val="Calibri"/>
        <family val="2"/>
        <scheme val="minor"/>
      </rPr>
      <t xml:space="preserve"> are cleared for a new entry.
5. On clicking </t>
    </r>
    <r>
      <rPr>
        <b/>
        <sz val="11"/>
        <color theme="1"/>
        <rFont val="Calibri"/>
        <family val="2"/>
        <scheme val="minor"/>
      </rPr>
      <t>Save</t>
    </r>
    <r>
      <rPr>
        <sz val="11"/>
        <color theme="1"/>
        <rFont val="Calibri"/>
        <family val="2"/>
        <scheme val="minor"/>
      </rPr>
      <t xml:space="preserve">, the record is </t>
    </r>
    <r>
      <rPr>
        <b/>
        <sz val="11"/>
        <color theme="1"/>
        <rFont val="Calibri"/>
        <family val="2"/>
        <scheme val="minor"/>
      </rPr>
      <t>saved</t>
    </r>
    <r>
      <rPr>
        <sz val="11"/>
        <color theme="1"/>
        <rFont val="Calibri"/>
        <family val="2"/>
        <scheme val="minor"/>
      </rPr>
      <t xml:space="preserve"> successfully </t>
    </r>
    <r>
      <rPr>
        <b/>
        <sz val="11"/>
        <color theme="1"/>
        <rFont val="Calibri"/>
        <family val="2"/>
        <scheme val="minor"/>
      </rPr>
      <t>(Only after reopening the page)</t>
    </r>
    <r>
      <rPr>
        <sz val="11"/>
        <color theme="1"/>
        <rFont val="Calibri"/>
        <family val="2"/>
        <scheme val="minor"/>
      </rPr>
      <t xml:space="preserve">
6.</t>
    </r>
    <r>
      <rPr>
        <b/>
        <sz val="11"/>
        <color theme="1"/>
        <rFont val="Calibri"/>
        <family val="2"/>
        <scheme val="minor"/>
      </rPr>
      <t xml:space="preserve"> Using the Search tab:
 -&gt; The record is searchable but not selectable
 -&gt; On selecting the Estimated record, it does not load in the Estimated Container grid.</t>
    </r>
  </si>
  <si>
    <r>
      <t xml:space="preserve">1. In the </t>
    </r>
    <r>
      <rPr>
        <b/>
        <sz val="11"/>
        <color theme="1"/>
        <rFont val="Calibri"/>
        <family val="2"/>
        <scheme val="minor"/>
      </rPr>
      <t>Estimation section</t>
    </r>
    <r>
      <rPr>
        <sz val="11"/>
        <color theme="1"/>
        <rFont val="Calibri"/>
        <family val="2"/>
        <scheme val="minor"/>
      </rPr>
      <t xml:space="preserve">, </t>
    </r>
    <r>
      <rPr>
        <b/>
        <sz val="11"/>
        <color theme="1"/>
        <rFont val="Calibri"/>
        <family val="2"/>
        <scheme val="minor"/>
      </rPr>
      <t>Container Code</t>
    </r>
    <r>
      <rPr>
        <sz val="11"/>
        <color theme="1"/>
        <rFont val="Calibri"/>
        <family val="2"/>
        <scheme val="minor"/>
      </rPr>
      <t xml:space="preserve"> is the only Mandatory field.
 -&gt; The </t>
    </r>
    <r>
      <rPr>
        <b/>
        <sz val="11"/>
        <color theme="1"/>
        <rFont val="Calibri"/>
        <family val="2"/>
        <scheme val="minor"/>
      </rPr>
      <t xml:space="preserve">Container Code </t>
    </r>
    <r>
      <rPr>
        <sz val="11"/>
        <color theme="1"/>
        <rFont val="Calibri"/>
        <family val="2"/>
        <scheme val="minor"/>
      </rPr>
      <t xml:space="preserve">value auto-populates based on the value selected in the </t>
    </r>
    <r>
      <rPr>
        <b/>
        <sz val="11"/>
        <color theme="1"/>
        <rFont val="Calibri"/>
        <family val="2"/>
        <scheme val="minor"/>
      </rPr>
      <t>Container</t>
    </r>
    <r>
      <rPr>
        <sz val="11"/>
        <color theme="1"/>
        <rFont val="Calibri"/>
        <family val="2"/>
        <scheme val="minor"/>
      </rPr>
      <t xml:space="preserve"> textbox.
 -&gt; The </t>
    </r>
    <r>
      <rPr>
        <b/>
        <sz val="11"/>
        <color theme="1"/>
        <rFont val="Calibri"/>
        <family val="2"/>
        <scheme val="minor"/>
      </rPr>
      <t>Container textbox is not marked as Mandatory in the UI</t>
    </r>
    <r>
      <rPr>
        <sz val="11"/>
        <color theme="1"/>
        <rFont val="Calibri"/>
        <family val="2"/>
        <scheme val="minor"/>
      </rPr>
      <t xml:space="preserve">, though it is functionally required.
2. After selecting a value in the </t>
    </r>
    <r>
      <rPr>
        <b/>
        <sz val="11"/>
        <color theme="1"/>
        <rFont val="Calibri"/>
        <family val="2"/>
        <scheme val="minor"/>
      </rPr>
      <t>Container</t>
    </r>
    <r>
      <rPr>
        <sz val="11"/>
        <color theme="1"/>
        <rFont val="Calibri"/>
        <family val="2"/>
        <scheme val="minor"/>
      </rPr>
      <t xml:space="preserve"> textbox and auto-population of </t>
    </r>
    <r>
      <rPr>
        <b/>
        <sz val="11"/>
        <color theme="1"/>
        <rFont val="Calibri"/>
        <family val="2"/>
        <scheme val="minor"/>
      </rPr>
      <t>Container Code</t>
    </r>
    <r>
      <rPr>
        <sz val="11"/>
        <color theme="1"/>
        <rFont val="Calibri"/>
        <family val="2"/>
        <scheme val="minor"/>
      </rPr>
      <t xml:space="preserve">, clicking </t>
    </r>
    <r>
      <rPr>
        <b/>
        <sz val="11"/>
        <color theme="1"/>
        <rFont val="Calibri"/>
        <family val="2"/>
        <scheme val="minor"/>
      </rPr>
      <t>Add</t>
    </r>
    <r>
      <rPr>
        <sz val="11"/>
        <color theme="1"/>
        <rFont val="Calibri"/>
        <family val="2"/>
        <scheme val="minor"/>
      </rPr>
      <t xml:space="preserve"> successfully adds a record to the </t>
    </r>
    <r>
      <rPr>
        <b/>
        <sz val="11"/>
        <color theme="1"/>
        <rFont val="Calibri"/>
        <family val="2"/>
        <scheme val="minor"/>
      </rPr>
      <t>Estimated Container grid</t>
    </r>
    <r>
      <rPr>
        <sz val="11"/>
        <color theme="1"/>
        <rFont val="Calibri"/>
        <family val="2"/>
        <scheme val="minor"/>
      </rPr>
      <t xml:space="preserve">.
3. Values are displayed under the correct column headers in the </t>
    </r>
    <r>
      <rPr>
        <b/>
        <sz val="11"/>
        <color theme="1"/>
        <rFont val="Calibri"/>
        <family val="2"/>
        <scheme val="minor"/>
      </rPr>
      <t>Estimated Container grid</t>
    </r>
    <r>
      <rPr>
        <sz val="11"/>
        <color theme="1"/>
        <rFont val="Calibri"/>
        <family val="2"/>
        <scheme val="minor"/>
      </rPr>
      <t xml:space="preserve">.
4. On selecting the added </t>
    </r>
    <r>
      <rPr>
        <b/>
        <sz val="11"/>
        <color theme="1"/>
        <rFont val="Calibri"/>
        <family val="2"/>
        <scheme val="minor"/>
      </rPr>
      <t>Estimated Container grid</t>
    </r>
    <r>
      <rPr>
        <sz val="11"/>
        <color theme="1"/>
        <rFont val="Calibri"/>
        <family val="2"/>
        <scheme val="minor"/>
      </rPr>
      <t xml:space="preserve"> record, the data populates the corresponding textboxes correctly.
5. After adding a record:
 -&gt; All textboxes in the </t>
    </r>
    <r>
      <rPr>
        <b/>
        <sz val="11"/>
        <color theme="1"/>
        <rFont val="Calibri"/>
        <family val="2"/>
        <scheme val="minor"/>
      </rPr>
      <t>Estimation section</t>
    </r>
    <r>
      <rPr>
        <sz val="11"/>
        <color theme="1"/>
        <rFont val="Calibri"/>
        <family val="2"/>
        <scheme val="minor"/>
      </rPr>
      <t xml:space="preserve"> are cleared for a new entry.
6. On clicking </t>
    </r>
    <r>
      <rPr>
        <b/>
        <sz val="11"/>
        <color theme="1"/>
        <rFont val="Calibri"/>
        <family val="2"/>
        <scheme val="minor"/>
      </rPr>
      <t>Save</t>
    </r>
    <r>
      <rPr>
        <sz val="11"/>
        <color theme="1"/>
        <rFont val="Calibri"/>
        <family val="2"/>
        <scheme val="minor"/>
      </rPr>
      <t xml:space="preserve">, the record is saved successfully. </t>
    </r>
    <r>
      <rPr>
        <b/>
        <sz val="11"/>
        <color theme="1"/>
        <rFont val="Calibri"/>
        <family val="2"/>
        <scheme val="minor"/>
      </rPr>
      <t xml:space="preserve">(Only after reopening the page)
7. </t>
    </r>
    <r>
      <rPr>
        <sz val="11"/>
        <color theme="1"/>
        <rFont val="Calibri"/>
        <family val="2"/>
        <scheme val="minor"/>
      </rPr>
      <t>Using the</t>
    </r>
    <r>
      <rPr>
        <b/>
        <sz val="11"/>
        <color theme="1"/>
        <rFont val="Calibri"/>
        <family val="2"/>
        <scheme val="minor"/>
      </rPr>
      <t xml:space="preserve"> Search </t>
    </r>
    <r>
      <rPr>
        <sz val="11"/>
        <color theme="1"/>
        <rFont val="Calibri"/>
        <family val="2"/>
        <scheme val="minor"/>
      </rPr>
      <t xml:space="preserve">tab:
 -&gt; The record is </t>
    </r>
    <r>
      <rPr>
        <b/>
        <sz val="11"/>
        <color theme="1"/>
        <rFont val="Calibri"/>
        <family val="2"/>
        <scheme val="minor"/>
      </rPr>
      <t>searchable</t>
    </r>
    <r>
      <rPr>
        <sz val="11"/>
        <color theme="1"/>
        <rFont val="Calibri"/>
        <family val="2"/>
        <scheme val="minor"/>
      </rPr>
      <t xml:space="preserve"> but </t>
    </r>
    <r>
      <rPr>
        <b/>
        <sz val="11"/>
        <color theme="1"/>
        <rFont val="Calibri"/>
        <family val="2"/>
        <scheme val="minor"/>
      </rPr>
      <t>not selectable</t>
    </r>
    <r>
      <rPr>
        <sz val="11"/>
        <color theme="1"/>
        <rFont val="Calibri"/>
        <family val="2"/>
        <scheme val="minor"/>
      </rPr>
      <t xml:space="preserve">
 -&gt; On selecting the </t>
    </r>
    <r>
      <rPr>
        <b/>
        <sz val="11"/>
        <color theme="1"/>
        <rFont val="Calibri"/>
        <family val="2"/>
        <scheme val="minor"/>
      </rPr>
      <t>Estimated record</t>
    </r>
    <r>
      <rPr>
        <sz val="11"/>
        <color theme="1"/>
        <rFont val="Calibri"/>
        <family val="2"/>
        <scheme val="minor"/>
      </rPr>
      <t xml:space="preserve">, </t>
    </r>
    <r>
      <rPr>
        <b/>
        <sz val="11"/>
        <color theme="1"/>
        <rFont val="Calibri"/>
        <family val="2"/>
        <scheme val="minor"/>
      </rPr>
      <t>it does not load in the Estimated Container grid</t>
    </r>
    <r>
      <rPr>
        <sz val="11"/>
        <color theme="1"/>
        <rFont val="Calibri"/>
        <family val="2"/>
        <scheme val="minor"/>
      </rPr>
      <t xml:space="preserve">
</t>
    </r>
    <r>
      <rPr>
        <b/>
        <sz val="11"/>
        <color theme="1"/>
        <rFont val="Calibri"/>
        <family val="2"/>
        <scheme val="minor"/>
      </rPr>
      <t>(This issue is already reported in Schedule_Master_58.)</t>
    </r>
  </si>
  <si>
    <t>Schedule_Master_60</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</si>
  <si>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Estimation Section</t>
    </r>
    <r>
      <rPr>
        <sz val="11"/>
        <color theme="1"/>
        <rFont val="Calibri"/>
        <family val="2"/>
        <scheme val="minor"/>
      </rPr>
      <t xml:space="preserve"> 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t>
    </r>
    <r>
      <rPr>
        <b/>
        <sz val="11"/>
        <color theme="1"/>
        <rFont val="Calibri"/>
        <family val="2"/>
        <scheme val="minor"/>
      </rPr>
      <t>only 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</si>
  <si>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Enter valid data in all </t>
    </r>
    <r>
      <rPr>
        <b/>
        <sz val="11"/>
        <color theme="1"/>
        <rFont val="Calibri"/>
        <family val="2"/>
        <scheme val="minor"/>
      </rPr>
      <t>Non -</t>
    </r>
    <r>
      <rPr>
        <sz val="11"/>
        <color theme="1"/>
        <rFont val="Calibri"/>
        <family val="2"/>
        <scheme val="minor"/>
      </rPr>
      <t xml:space="preserve">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Schedule Master section</t>
    </r>
    <r>
      <rPr>
        <sz val="11"/>
        <color theme="1"/>
        <rFont val="Calibri"/>
        <family val="2"/>
        <scheme val="minor"/>
      </rPr>
      <t xml:space="preserve">, leaving all Mandatory fields blank.
5. Enter valid data in all </t>
    </r>
    <r>
      <rPr>
        <b/>
        <sz val="11"/>
        <color theme="1"/>
        <rFont val="Calibri"/>
        <family val="2"/>
        <scheme val="minor"/>
      </rPr>
      <t>Non -</t>
    </r>
    <r>
      <rPr>
        <sz val="11"/>
        <color theme="1"/>
        <rFont val="Calibri"/>
        <family val="2"/>
        <scheme val="minor"/>
      </rPr>
      <t xml:space="preserve"> </t>
    </r>
    <r>
      <rPr>
        <b/>
        <sz val="11"/>
        <color theme="1"/>
        <rFont val="Calibri"/>
        <family val="2"/>
        <scheme val="minor"/>
      </rPr>
      <t>Mandatory fields</t>
    </r>
    <r>
      <rPr>
        <sz val="11"/>
        <color theme="1"/>
        <rFont val="Calibri"/>
        <family val="2"/>
        <scheme val="minor"/>
      </rPr>
      <t xml:space="preserve"> of the </t>
    </r>
    <r>
      <rPr>
        <b/>
        <sz val="11"/>
        <color theme="1"/>
        <rFont val="Calibri"/>
        <family val="2"/>
        <scheme val="minor"/>
      </rPr>
      <t>Estimation Section</t>
    </r>
    <r>
      <rPr>
        <sz val="11"/>
        <color theme="1"/>
        <rFont val="Calibri"/>
        <family val="2"/>
        <scheme val="minor"/>
      </rPr>
      <t xml:space="preserve">, leaving all Mandatory fields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Estimation Section.</t>
    </r>
    <r>
      <rPr>
        <sz val="11"/>
        <color theme="1"/>
        <rFont val="Calibri"/>
        <family val="2"/>
        <scheme val="minor"/>
      </rPr>
      <t xml:space="preserve">
7. Click the</t>
    </r>
    <r>
      <rPr>
        <b/>
        <sz val="11"/>
        <color theme="1"/>
        <rFont val="Calibri"/>
        <family val="2"/>
        <scheme val="minor"/>
      </rPr>
      <t xml:space="preserve"> Save button </t>
    </r>
    <r>
      <rPr>
        <sz val="11"/>
        <color theme="1"/>
        <rFont val="Calibri"/>
        <family val="2"/>
        <scheme val="minor"/>
      </rPr>
      <t>and observe the system behavior.</t>
    </r>
  </si>
  <si>
    <t>1. Non - Mandatory Fields of Schedule Master section.:
 -&gt; VIA Number
 -&gt; Rotation Number
2. Non - Mandatory Fields of Estimation Section:
 -&gt; Container
 -&gt; Per Container Weight
 -&gt; Per Container Volume
 -&gt; NOS</t>
  </si>
  <si>
    <r>
      <t xml:space="preserve">1. After filling only </t>
    </r>
    <r>
      <rPr>
        <b/>
        <sz val="11"/>
        <color theme="1"/>
        <rFont val="Calibri"/>
        <family val="2"/>
        <scheme val="minor"/>
      </rPr>
      <t>Non-Mandatory fields</t>
    </r>
    <r>
      <rPr>
        <sz val="11"/>
        <color theme="1"/>
        <rFont val="Calibri"/>
        <family val="2"/>
        <scheme val="minor"/>
      </rPr>
      <t xml:space="preserve">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Estimation Section</t>
    </r>
    <r>
      <rPr>
        <sz val="11"/>
        <color theme="1"/>
        <rFont val="Calibri"/>
        <family val="2"/>
        <scheme val="minor"/>
      </rPr>
      <t xml:space="preserve">, clicking </t>
    </r>
    <r>
      <rPr>
        <b/>
        <sz val="11"/>
        <color theme="1"/>
        <rFont val="Calibri"/>
        <family val="2"/>
        <scheme val="minor"/>
      </rPr>
      <t xml:space="preserve">Add </t>
    </r>
    <r>
      <rPr>
        <sz val="11"/>
        <color theme="1"/>
        <rFont val="Calibri"/>
        <family val="2"/>
        <scheme val="minor"/>
      </rPr>
      <t xml:space="preserve">should not add any record to the </t>
    </r>
    <r>
      <rPr>
        <b/>
        <sz val="11"/>
        <color theme="1"/>
        <rFont val="Calibri"/>
        <family val="2"/>
        <scheme val="minor"/>
      </rPr>
      <t>Estimation Container grid.</t>
    </r>
    <r>
      <rPr>
        <sz val="11"/>
        <color theme="1"/>
        <rFont val="Calibri"/>
        <family val="2"/>
        <scheme val="minor"/>
      </rPr>
      <t xml:space="preserve">
2. </t>
    </r>
    <r>
      <rPr>
        <b/>
        <sz val="11"/>
        <color theme="1"/>
        <rFont val="Calibri"/>
        <family val="2"/>
        <scheme val="minor"/>
      </rPr>
      <t xml:space="preserve">Appropriate validation messages </t>
    </r>
    <r>
      <rPr>
        <sz val="11"/>
        <color theme="1"/>
        <rFont val="Calibri"/>
        <family val="2"/>
        <scheme val="minor"/>
      </rPr>
      <t xml:space="preserve">should be displayed for all </t>
    </r>
    <r>
      <rPr>
        <b/>
        <sz val="11"/>
        <color theme="1"/>
        <rFont val="Calibri"/>
        <family val="2"/>
        <scheme val="minor"/>
      </rPr>
      <t>Mandatory fields</t>
    </r>
    <r>
      <rPr>
        <sz val="11"/>
        <color theme="1"/>
        <rFont val="Calibri"/>
        <family val="2"/>
        <scheme val="minor"/>
      </rPr>
      <t xml:space="preserve">, with:
 -&gt; Correct validation text
 -&gt; Validation label matching the textbox label
 -&gt; Validation message sequence matching the textbox order on the page
3. A record should be added to the </t>
    </r>
    <r>
      <rPr>
        <b/>
        <sz val="11"/>
        <color theme="1"/>
        <rFont val="Calibri"/>
        <family val="2"/>
        <scheme val="minor"/>
      </rPr>
      <t>Estimation Container grid</t>
    </r>
    <r>
      <rPr>
        <sz val="11"/>
        <color theme="1"/>
        <rFont val="Calibri"/>
        <family val="2"/>
        <scheme val="minor"/>
      </rPr>
      <t xml:space="preserve"> </t>
    </r>
    <r>
      <rPr>
        <b/>
        <sz val="11"/>
        <color theme="1"/>
        <rFont val="Calibri"/>
        <family val="2"/>
        <scheme val="minor"/>
      </rPr>
      <t>only after all Mandatory fields are filled.</t>
    </r>
    <r>
      <rPr>
        <sz val="11"/>
        <color theme="1"/>
        <rFont val="Calibri"/>
        <family val="2"/>
        <scheme val="minor"/>
      </rPr>
      <t xml:space="preserve">
4. On clicking </t>
    </r>
    <r>
      <rPr>
        <b/>
        <sz val="11"/>
        <color theme="1"/>
        <rFont val="Calibri"/>
        <family val="2"/>
        <scheme val="minor"/>
      </rPr>
      <t>Save,</t>
    </r>
    <r>
      <rPr>
        <sz val="11"/>
        <color theme="1"/>
        <rFont val="Calibri"/>
        <family val="2"/>
        <scheme val="minor"/>
      </rPr>
      <t xml:space="preserve"> the record should not be saved until </t>
    </r>
    <r>
      <rPr>
        <b/>
        <sz val="11"/>
        <color theme="1"/>
        <rFont val="Calibri"/>
        <family val="2"/>
        <scheme val="minor"/>
      </rPr>
      <t>all Mandatory fields in the Schedule Master &amp; Estimation Section are completed.</t>
    </r>
    <r>
      <rPr>
        <sz val="11"/>
        <color theme="1"/>
        <rFont val="Calibri"/>
        <family val="2"/>
        <scheme val="minor"/>
      </rPr>
      <t xml:space="preserve">
5. After successful save:
 -&gt; A success validation message should be displayed.
6. Using the</t>
    </r>
    <r>
      <rPr>
        <b/>
        <sz val="11"/>
        <color theme="1"/>
        <rFont val="Calibri"/>
        <family val="2"/>
        <scheme val="minor"/>
      </rPr>
      <t xml:space="preserve"> Search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-&gt; The </t>
    </r>
    <r>
      <rPr>
        <b/>
        <sz val="11"/>
        <color theme="1"/>
        <rFont val="Calibri"/>
        <family val="2"/>
        <scheme val="minor"/>
      </rPr>
      <t>newly saved record should be searchable and selectable</t>
    </r>
    <r>
      <rPr>
        <sz val="11"/>
        <color theme="1"/>
        <rFont val="Calibri"/>
        <family val="2"/>
        <scheme val="minor"/>
      </rPr>
      <t xml:space="preserve">
 -&gt; </t>
    </r>
    <r>
      <rPr>
        <b/>
        <sz val="11"/>
        <color theme="1"/>
        <rFont val="Calibri"/>
        <family val="2"/>
        <scheme val="minor"/>
      </rPr>
      <t>Vessel UID</t>
    </r>
    <r>
      <rPr>
        <sz val="11"/>
        <color theme="1"/>
        <rFont val="Calibri"/>
        <family val="2"/>
        <scheme val="minor"/>
      </rPr>
      <t xml:space="preserve"> should be auto-populated</t>
    </r>
  </si>
  <si>
    <r>
      <t xml:space="preserve">1. After filling </t>
    </r>
    <r>
      <rPr>
        <b/>
        <sz val="11"/>
        <color theme="1"/>
        <rFont val="Calibri"/>
        <family val="2"/>
        <scheme val="minor"/>
      </rPr>
      <t>only Non-Mandatory</t>
    </r>
    <r>
      <rPr>
        <sz val="11"/>
        <color theme="1"/>
        <rFont val="Calibri"/>
        <family val="2"/>
        <scheme val="minor"/>
      </rPr>
      <t xml:space="preserve"> fields in the</t>
    </r>
    <r>
      <rPr>
        <b/>
        <sz val="11"/>
        <color theme="1"/>
        <rFont val="Calibri"/>
        <family val="2"/>
        <scheme val="minor"/>
      </rPr>
      <t xml:space="preserve"> Schedule Master &amp; Estimation Section</t>
    </r>
    <r>
      <rPr>
        <sz val="11"/>
        <color theme="1"/>
        <rFont val="Calibri"/>
        <family val="2"/>
        <scheme val="minor"/>
      </rPr>
      <t xml:space="preserve">, clicking </t>
    </r>
    <r>
      <rPr>
        <b/>
        <sz val="11"/>
        <color theme="1"/>
        <rFont val="Calibri"/>
        <family val="2"/>
        <scheme val="minor"/>
      </rPr>
      <t>Add</t>
    </r>
    <r>
      <rPr>
        <sz val="11"/>
        <color theme="1"/>
        <rFont val="Calibri"/>
        <family val="2"/>
        <scheme val="minor"/>
      </rPr>
      <t xml:space="preserve"> does not add a record to the Connection grid.
2. Validation messages are displayed for </t>
    </r>
    <r>
      <rPr>
        <b/>
        <sz val="11"/>
        <color theme="1"/>
        <rFont val="Calibri"/>
        <family val="2"/>
        <scheme val="minor"/>
      </rPr>
      <t>all Mandatory fields with:</t>
    </r>
    <r>
      <rPr>
        <sz val="11"/>
        <color theme="1"/>
        <rFont val="Calibri"/>
        <family val="2"/>
        <scheme val="minor"/>
      </rPr>
      <t xml:space="preserve">
 -&gt; Proper validation text
 -&gt; Correct label mapping
 -&gt; Correct validation sequence
3. Records are added to the </t>
    </r>
    <r>
      <rPr>
        <b/>
        <sz val="11"/>
        <color theme="1"/>
        <rFont val="Calibri"/>
        <family val="2"/>
        <scheme val="minor"/>
      </rPr>
      <t>Estimation Container Grid</t>
    </r>
    <r>
      <rPr>
        <sz val="11"/>
        <color theme="1"/>
        <rFont val="Calibri"/>
        <family val="2"/>
        <scheme val="minor"/>
      </rPr>
      <t xml:space="preserve"> only after </t>
    </r>
    <r>
      <rPr>
        <b/>
        <sz val="11"/>
        <color theme="1"/>
        <rFont val="Calibri"/>
        <family val="2"/>
        <scheme val="minor"/>
      </rPr>
      <t>Mandatory fields</t>
    </r>
    <r>
      <rPr>
        <sz val="11"/>
        <color theme="1"/>
        <rFont val="Calibri"/>
        <family val="2"/>
        <scheme val="minor"/>
      </rPr>
      <t xml:space="preserve"> are filled.
4. On clicking Save, the record is saved successfully.</t>
    </r>
    <r>
      <rPr>
        <b/>
        <sz val="11"/>
        <color theme="1"/>
        <rFont val="Calibri"/>
        <family val="2"/>
        <scheme val="minor"/>
      </rPr>
      <t xml:space="preserve"> (only after reopening the page)</t>
    </r>
    <r>
      <rPr>
        <sz val="11"/>
        <color theme="1"/>
        <rFont val="Calibri"/>
        <family val="2"/>
        <scheme val="minor"/>
      </rPr>
      <t xml:space="preserve">
5. A success message is displayed after save.
6. Using the </t>
    </r>
    <r>
      <rPr>
        <b/>
        <sz val="11"/>
        <color theme="1"/>
        <rFont val="Calibri"/>
        <family val="2"/>
        <scheme val="minor"/>
      </rPr>
      <t>Search tab</t>
    </r>
    <r>
      <rPr>
        <sz val="11"/>
        <color theme="1"/>
        <rFont val="Calibri"/>
        <family val="2"/>
        <scheme val="minor"/>
      </rPr>
      <t xml:space="preserve">:
 -&gt; The record is </t>
    </r>
    <r>
      <rPr>
        <b/>
        <sz val="11"/>
        <color theme="1"/>
        <rFont val="Calibri"/>
        <family val="2"/>
        <scheme val="minor"/>
      </rPr>
      <t xml:space="preserve">searchable </t>
    </r>
    <r>
      <rPr>
        <sz val="11"/>
        <color theme="1"/>
        <rFont val="Calibri"/>
        <family val="2"/>
        <scheme val="minor"/>
      </rPr>
      <t xml:space="preserve">but </t>
    </r>
    <r>
      <rPr>
        <b/>
        <sz val="11"/>
        <color theme="1"/>
        <rFont val="Calibri"/>
        <family val="2"/>
        <scheme val="minor"/>
      </rPr>
      <t xml:space="preserve">not selectable
</t>
    </r>
    <r>
      <rPr>
        <sz val="11"/>
        <color theme="1"/>
        <rFont val="Calibri"/>
        <family val="2"/>
        <scheme val="minor"/>
      </rPr>
      <t xml:space="preserve"> -&gt; On selecting the </t>
    </r>
    <r>
      <rPr>
        <b/>
        <sz val="11"/>
        <color theme="1"/>
        <rFont val="Calibri"/>
        <family val="2"/>
        <scheme val="minor"/>
      </rPr>
      <t>Estimation record</t>
    </r>
    <r>
      <rPr>
        <sz val="11"/>
        <color theme="1"/>
        <rFont val="Calibri"/>
        <family val="2"/>
        <scheme val="minor"/>
      </rPr>
      <t xml:space="preserve">, it does not load in the </t>
    </r>
    <r>
      <rPr>
        <b/>
        <sz val="11"/>
        <color theme="1"/>
        <rFont val="Calibri"/>
        <family val="2"/>
        <scheme val="minor"/>
      </rPr>
      <t>Estimation Container grid</t>
    </r>
    <r>
      <rPr>
        <sz val="11"/>
        <color theme="1"/>
        <rFont val="Calibri"/>
        <family val="2"/>
        <scheme val="minor"/>
      </rPr>
      <t xml:space="preserve">.
</t>
    </r>
    <r>
      <rPr>
        <b/>
        <sz val="11"/>
        <color theme="1"/>
        <rFont val="Calibri"/>
        <family val="2"/>
        <scheme val="minor"/>
      </rPr>
      <t>(This issue is already captured in Schedule_Master_58.)</t>
    </r>
  </si>
  <si>
    <t>Schedule_Master_61</t>
  </si>
  <si>
    <r>
      <t xml:space="preserve">Validate the functionality of the </t>
    </r>
    <r>
      <rPr>
        <b/>
        <sz val="11"/>
        <color theme="1"/>
        <rFont val="Calibri"/>
        <family val="2"/>
        <scheme val="minor"/>
      </rPr>
      <t xml:space="preserve">Add button </t>
    </r>
    <r>
      <rPr>
        <sz val="11"/>
        <color theme="1"/>
        <rFont val="Calibri"/>
        <family val="2"/>
        <scheme val="minor"/>
      </rPr>
      <t xml:space="preserve">in the </t>
    </r>
    <r>
      <rPr>
        <b/>
        <sz val="11"/>
        <color theme="1"/>
        <rFont val="Calibri"/>
        <family val="2"/>
        <scheme val="minor"/>
      </rPr>
      <t xml:space="preserve">Estimation Section </t>
    </r>
    <r>
      <rPr>
        <sz val="11"/>
        <color theme="1"/>
        <rFont val="Calibri"/>
        <family val="2"/>
        <scheme val="minor"/>
      </rPr>
      <t xml:space="preserve">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 page</t>
    </r>
    <r>
      <rPr>
        <sz val="11"/>
        <color theme="1"/>
        <rFont val="Calibri"/>
        <family val="2"/>
        <scheme val="minor"/>
      </rPr>
      <t xml:space="preserve"> when All fields are (Mandatory &amp; Non-Mandatory) are left blank.</t>
    </r>
  </si>
  <si>
    <r>
      <t xml:space="preserve">1. Open the application and log in 
2. Select Branch: AHMEDABAD, Export Type: Export Sea, FY 2025–2026, click OK.
3. Navigate to </t>
    </r>
    <r>
      <rPr>
        <b/>
        <sz val="11"/>
        <color theme="1"/>
        <rFont val="Calibri"/>
        <family val="2"/>
        <scheme val="minor"/>
      </rPr>
      <t>Masters -&gt; Vessel Info -&gt; Schedule</t>
    </r>
    <r>
      <rPr>
        <sz val="11"/>
        <color theme="1"/>
        <rFont val="Calibri"/>
        <family val="2"/>
        <scheme val="minor"/>
      </rPr>
      <t xml:space="preserve">
4. Ensure all textboxes in the </t>
    </r>
    <r>
      <rPr>
        <b/>
        <sz val="11"/>
        <color theme="1"/>
        <rFont val="Calibri"/>
        <family val="2"/>
        <scheme val="minor"/>
      </rPr>
      <t>Schedule Master section</t>
    </r>
    <r>
      <rPr>
        <sz val="11"/>
        <color theme="1"/>
        <rFont val="Calibri"/>
        <family val="2"/>
        <scheme val="minor"/>
      </rPr>
      <t xml:space="preserve"> are left blank.
5. Ensure all textboxes in the </t>
    </r>
    <r>
      <rPr>
        <b/>
        <sz val="11"/>
        <color theme="1"/>
        <rFont val="Calibri"/>
        <family val="2"/>
        <scheme val="minor"/>
      </rPr>
      <t xml:space="preserve">Estimation Section </t>
    </r>
    <r>
      <rPr>
        <sz val="11"/>
        <color theme="1"/>
        <rFont val="Calibri"/>
        <family val="2"/>
        <scheme val="minor"/>
      </rPr>
      <t xml:space="preserve">are left blank.
6. Click the </t>
    </r>
    <r>
      <rPr>
        <b/>
        <sz val="11"/>
        <color theme="1"/>
        <rFont val="Calibri"/>
        <family val="2"/>
        <scheme val="minor"/>
      </rPr>
      <t>Add button</t>
    </r>
    <r>
      <rPr>
        <sz val="11"/>
        <color theme="1"/>
        <rFont val="Calibri"/>
        <family val="2"/>
        <scheme val="minor"/>
      </rPr>
      <t xml:space="preserve"> in the </t>
    </r>
    <r>
      <rPr>
        <b/>
        <sz val="11"/>
        <color theme="1"/>
        <rFont val="Calibri"/>
        <family val="2"/>
        <scheme val="minor"/>
      </rPr>
      <t>Estimation Section</t>
    </r>
    <r>
      <rPr>
        <sz val="11"/>
        <color theme="1"/>
        <rFont val="Calibri"/>
        <family val="2"/>
        <scheme val="minor"/>
      </rPr>
      <t xml:space="preserve">.
7. Click the </t>
    </r>
    <r>
      <rPr>
        <b/>
        <sz val="11"/>
        <color theme="1"/>
        <rFont val="Calibri"/>
        <family val="2"/>
        <scheme val="minor"/>
      </rPr>
      <t>Save button</t>
    </r>
    <r>
      <rPr>
        <sz val="11"/>
        <color theme="1"/>
        <rFont val="Calibri"/>
        <family val="2"/>
        <scheme val="minor"/>
      </rPr>
      <t xml:space="preserve"> and observe the system behavior.</t>
    </r>
  </si>
  <si>
    <r>
      <t xml:space="preserve">1. Clicking the </t>
    </r>
    <r>
      <rPr>
        <b/>
        <sz val="11"/>
        <color theme="1"/>
        <rFont val="Calibri"/>
        <family val="2"/>
        <scheme val="minor"/>
      </rPr>
      <t>Add button</t>
    </r>
    <r>
      <rPr>
        <sz val="11"/>
        <color theme="1"/>
        <rFont val="Calibri"/>
        <family val="2"/>
        <scheme val="minor"/>
      </rPr>
      <t xml:space="preserve"> with all fields left blank should not add any record to the </t>
    </r>
    <r>
      <rPr>
        <b/>
        <sz val="11"/>
        <color theme="1"/>
        <rFont val="Calibri"/>
        <family val="2"/>
        <scheme val="minor"/>
      </rPr>
      <t>Estimation Section</t>
    </r>
    <r>
      <rPr>
        <sz val="11"/>
        <color theme="1"/>
        <rFont val="Calibri"/>
        <family val="2"/>
        <scheme val="minor"/>
      </rPr>
      <t xml:space="preserve">.
2. Mandatory field validation messages should be displayed for all mandatory fields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Estimation Section</t>
    </r>
    <r>
      <rPr>
        <sz val="11"/>
        <color theme="1"/>
        <rFont val="Calibri"/>
        <family val="2"/>
        <scheme val="minor"/>
      </rPr>
      <t xml:space="preserve">.
3. Validation messages should:
 -&gt; Display correct validation text
 -&gt; Match the respective textbox labels
 -&gt; Appear in the same sequence as the textbox order on the page
4. On clicking </t>
    </r>
    <r>
      <rPr>
        <b/>
        <sz val="11"/>
        <color theme="1"/>
        <rFont val="Calibri"/>
        <family val="2"/>
        <scheme val="minor"/>
      </rPr>
      <t>Save</t>
    </r>
    <r>
      <rPr>
        <sz val="11"/>
        <color theme="1"/>
        <rFont val="Calibri"/>
        <family val="2"/>
        <scheme val="minor"/>
      </rPr>
      <t xml:space="preserve">, the record should not be saved until all Mandatory fields in the </t>
    </r>
    <r>
      <rPr>
        <b/>
        <sz val="11"/>
        <color theme="1"/>
        <rFont val="Calibri"/>
        <family val="2"/>
        <scheme val="minor"/>
      </rPr>
      <t>Schedule Master</t>
    </r>
    <r>
      <rPr>
        <sz val="11"/>
        <color theme="1"/>
        <rFont val="Calibri"/>
        <family val="2"/>
        <scheme val="minor"/>
      </rPr>
      <t xml:space="preserve"> &amp; </t>
    </r>
    <r>
      <rPr>
        <b/>
        <sz val="11"/>
        <color theme="1"/>
        <rFont val="Calibri"/>
        <family val="2"/>
        <scheme val="minor"/>
      </rPr>
      <t>Estimation Section</t>
    </r>
    <r>
      <rPr>
        <sz val="11"/>
        <color theme="1"/>
        <rFont val="Calibri"/>
        <family val="2"/>
        <scheme val="minor"/>
      </rPr>
      <t xml:space="preserve"> are completed.
</t>
    </r>
  </si>
  <si>
    <r>
      <t xml:space="preserve">1. Clicking the </t>
    </r>
    <r>
      <rPr>
        <b/>
        <sz val="11"/>
        <color theme="1"/>
        <rFont val="Calibri"/>
        <family val="2"/>
        <scheme val="minor"/>
      </rPr>
      <t>Add</t>
    </r>
    <r>
      <rPr>
        <sz val="11"/>
        <color theme="1"/>
        <rFont val="Calibri"/>
        <family val="2"/>
        <scheme val="minor"/>
      </rPr>
      <t xml:space="preserve"> button with all fields blank does not add any record to the </t>
    </r>
    <r>
      <rPr>
        <b/>
        <sz val="11"/>
        <color theme="1"/>
        <rFont val="Calibri"/>
        <family val="2"/>
        <scheme val="minor"/>
      </rPr>
      <t>Estimation Container Grid</t>
    </r>
    <r>
      <rPr>
        <sz val="11"/>
        <color theme="1"/>
        <rFont val="Calibri"/>
        <family val="2"/>
        <scheme val="minor"/>
      </rPr>
      <t xml:space="preserve">.
2. Mandatory field validation messages are displayed for all required fields with correct labels and sequence.
3. The record is not saved until all mandatory fields in the </t>
    </r>
    <r>
      <rPr>
        <b/>
        <sz val="11"/>
        <color theme="1"/>
        <rFont val="Calibri"/>
        <family val="2"/>
        <scheme val="minor"/>
      </rPr>
      <t xml:space="preserve">Schedule Master </t>
    </r>
    <r>
      <rPr>
        <sz val="11"/>
        <color theme="1"/>
        <rFont val="Calibri"/>
        <family val="2"/>
        <scheme val="minor"/>
      </rPr>
      <t xml:space="preserve">&amp; </t>
    </r>
    <r>
      <rPr>
        <b/>
        <sz val="11"/>
        <color theme="1"/>
        <rFont val="Calibri"/>
        <family val="2"/>
        <scheme val="minor"/>
      </rPr>
      <t>Estimation Section</t>
    </r>
    <r>
      <rPr>
        <sz val="11"/>
        <color theme="1"/>
        <rFont val="Calibri"/>
        <family val="2"/>
        <scheme val="minor"/>
      </rPr>
      <t xml:space="preserve"> are filled.</t>
    </r>
  </si>
  <si>
    <t>Schedule_Master_62</t>
  </si>
  <si>
    <t>1. Existing records in:
 -&gt; Selling Schedule section
 -&gt; Connection Details section
 -&gt; Estimation section</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</si>
  <si>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In the </t>
    </r>
    <r>
      <rPr>
        <b/>
        <sz val="11"/>
        <color theme="1"/>
        <rFont val="Calibri"/>
        <family val="2"/>
        <scheme val="minor"/>
      </rPr>
      <t>Schedule Master Page</t>
    </r>
    <r>
      <rPr>
        <sz val="11"/>
        <color theme="1"/>
        <rFont val="Calibri"/>
        <family val="2"/>
        <scheme val="minor"/>
      </rPr>
      <t xml:space="preserve">, use the Search Tab to search for an existing record from:
 -&gt; </t>
    </r>
    <r>
      <rPr>
        <b/>
        <sz val="11"/>
        <color theme="1"/>
        <rFont val="Calibri"/>
        <family val="2"/>
        <scheme val="minor"/>
      </rPr>
      <t>Selling Schedule section</t>
    </r>
    <r>
      <rPr>
        <sz val="11"/>
        <color theme="1"/>
        <rFont val="Calibri"/>
        <family val="2"/>
        <scheme val="minor"/>
      </rPr>
      <t xml:space="preserve">
 -&gt; </t>
    </r>
    <r>
      <rPr>
        <b/>
        <sz val="11"/>
        <color theme="1"/>
        <rFont val="Calibri"/>
        <family val="2"/>
        <scheme val="minor"/>
      </rPr>
      <t>Connection Details section</t>
    </r>
    <r>
      <rPr>
        <sz val="11"/>
        <color theme="1"/>
        <rFont val="Calibri"/>
        <family val="2"/>
        <scheme val="minor"/>
      </rPr>
      <t xml:space="preserve">
 -&gt; </t>
    </r>
    <r>
      <rPr>
        <b/>
        <sz val="11"/>
        <color theme="1"/>
        <rFont val="Calibri"/>
        <family val="2"/>
        <scheme val="minor"/>
      </rPr>
      <t>Estimation section</t>
    </r>
    <r>
      <rPr>
        <sz val="11"/>
        <color theme="1"/>
        <rFont val="Calibri"/>
        <family val="2"/>
        <scheme val="minor"/>
      </rPr>
      <t xml:space="preserve">
5. Select a record from each corresponding grid.
6. Verify that the selected record details are populated in the corresponding textboxes.
7. </t>
    </r>
    <r>
      <rPr>
        <b/>
        <sz val="11"/>
        <color theme="1"/>
        <rFont val="Calibri"/>
        <family val="2"/>
        <scheme val="minor"/>
      </rPr>
      <t>Modify</t>
    </r>
    <r>
      <rPr>
        <sz val="11"/>
        <color theme="1"/>
        <rFont val="Calibri"/>
        <family val="2"/>
        <scheme val="minor"/>
      </rPr>
      <t xml:space="preserve"> one or more fields with valid new data.
8. Click on the </t>
    </r>
    <r>
      <rPr>
        <b/>
        <sz val="11"/>
        <color theme="1"/>
        <rFont val="Calibri"/>
        <family val="2"/>
        <scheme val="minor"/>
      </rPr>
      <t>Modify</t>
    </r>
    <r>
      <rPr>
        <sz val="11"/>
        <color theme="1"/>
        <rFont val="Calibri"/>
        <family val="2"/>
        <scheme val="minor"/>
      </rPr>
      <t xml:space="preserve"> button.
9. Use the </t>
    </r>
    <r>
      <rPr>
        <b/>
        <sz val="11"/>
        <color theme="1"/>
        <rFont val="Calibri"/>
        <family val="2"/>
        <scheme val="minor"/>
      </rPr>
      <t>Search Tab</t>
    </r>
    <r>
      <rPr>
        <sz val="11"/>
        <color theme="1"/>
        <rFont val="Calibri"/>
        <family val="2"/>
        <scheme val="minor"/>
      </rPr>
      <t xml:space="preserve"> to search for the modified record.
10. Select the modified record and verify the updated data.</t>
    </r>
  </si>
  <si>
    <r>
      <t xml:space="preserve">1. Records should be </t>
    </r>
    <r>
      <rPr>
        <b/>
        <sz val="11"/>
        <color theme="1"/>
        <rFont val="Calibri"/>
        <family val="2"/>
        <scheme val="minor"/>
      </rPr>
      <t>searchable and selectable using the Search Tab</t>
    </r>
    <r>
      <rPr>
        <sz val="11"/>
        <color theme="1"/>
        <rFont val="Calibri"/>
        <family val="2"/>
        <scheme val="minor"/>
      </rPr>
      <t xml:space="preserve">.
2. Selected records should be displayed in the </t>
    </r>
    <r>
      <rPr>
        <b/>
        <sz val="11"/>
        <color theme="1"/>
        <rFont val="Calibri"/>
        <family val="2"/>
        <scheme val="minor"/>
      </rPr>
      <t>corresponding grids</t>
    </r>
    <r>
      <rPr>
        <sz val="11"/>
        <color theme="1"/>
        <rFont val="Calibri"/>
        <family val="2"/>
        <scheme val="minor"/>
      </rPr>
      <t xml:space="preserve">.
3. Data from the selected grid records should populate the corresponding textboxes correctly.
4. User should be able to </t>
    </r>
    <r>
      <rPr>
        <b/>
        <sz val="11"/>
        <color theme="1"/>
        <rFont val="Calibri"/>
        <family val="2"/>
        <scheme val="minor"/>
      </rPr>
      <t>modify</t>
    </r>
    <r>
      <rPr>
        <sz val="11"/>
        <color theme="1"/>
        <rFont val="Calibri"/>
        <family val="2"/>
        <scheme val="minor"/>
      </rPr>
      <t xml:space="preserve"> fields with valid data.
5. </t>
    </r>
    <r>
      <rPr>
        <b/>
        <sz val="11"/>
        <color theme="1"/>
        <rFont val="Calibri"/>
        <family val="2"/>
        <scheme val="minor"/>
      </rPr>
      <t>On clicking the Modify button</t>
    </r>
    <r>
      <rPr>
        <sz val="11"/>
        <color theme="1"/>
        <rFont val="Calibri"/>
        <family val="2"/>
        <scheme val="minor"/>
      </rPr>
      <t>, the record should be updated successfully.
6. A proper confirmation message should be displayed after modification.
7. Modified records should be searchable and selectable via the Search Tab.
8. Updated values should be displayed correctly in the corresponding textboxes and grids.</t>
    </r>
  </si>
  <si>
    <r>
      <t xml:space="preserve">1. Using the </t>
    </r>
    <r>
      <rPr>
        <b/>
        <sz val="11"/>
        <color theme="1"/>
        <rFont val="Calibri"/>
        <family val="2"/>
        <scheme val="minor"/>
      </rPr>
      <t>Search Tab</t>
    </r>
    <r>
      <rPr>
        <sz val="11"/>
        <color theme="1"/>
        <rFont val="Calibri"/>
        <family val="2"/>
        <scheme val="minor"/>
      </rPr>
      <t xml:space="preserve">, records are </t>
    </r>
    <r>
      <rPr>
        <b/>
        <sz val="11"/>
        <color theme="1"/>
        <rFont val="Calibri"/>
        <family val="2"/>
        <scheme val="minor"/>
      </rPr>
      <t>searchable</t>
    </r>
    <r>
      <rPr>
        <sz val="11"/>
        <color theme="1"/>
        <rFont val="Calibri"/>
        <family val="2"/>
        <scheme val="minor"/>
      </rPr>
      <t xml:space="preserve">; however, only the </t>
    </r>
    <r>
      <rPr>
        <b/>
        <sz val="11"/>
        <color theme="1"/>
        <rFont val="Calibri"/>
        <family val="2"/>
        <scheme val="minor"/>
      </rPr>
      <t>Selling Schedule section record is selectable</t>
    </r>
    <r>
      <rPr>
        <sz val="11"/>
        <color theme="1"/>
        <rFont val="Calibri"/>
        <family val="2"/>
        <scheme val="minor"/>
      </rPr>
      <t xml:space="preserve">.
 -&gt; Records in the </t>
    </r>
    <r>
      <rPr>
        <b/>
        <sz val="11"/>
        <color theme="1"/>
        <rFont val="Calibri"/>
        <family val="2"/>
        <scheme val="minor"/>
      </rPr>
      <t>Connection Details section</t>
    </r>
    <r>
      <rPr>
        <sz val="11"/>
        <color theme="1"/>
        <rFont val="Calibri"/>
        <family val="2"/>
        <scheme val="minor"/>
      </rPr>
      <t xml:space="preserve"> and </t>
    </r>
    <r>
      <rPr>
        <b/>
        <sz val="11"/>
        <color theme="1"/>
        <rFont val="Calibri"/>
        <family val="2"/>
        <scheme val="minor"/>
      </rPr>
      <t>Estimation section are not selectable</t>
    </r>
    <r>
      <rPr>
        <sz val="11"/>
        <color theme="1"/>
        <rFont val="Calibri"/>
        <family val="2"/>
        <scheme val="minor"/>
      </rPr>
      <t xml:space="preserve">.
2. The </t>
    </r>
    <r>
      <rPr>
        <b/>
        <sz val="11"/>
        <color theme="1"/>
        <rFont val="Calibri"/>
        <family val="2"/>
        <scheme val="minor"/>
      </rPr>
      <t>Selling Schedule section</t>
    </r>
    <r>
      <rPr>
        <sz val="11"/>
        <color theme="1"/>
        <rFont val="Calibri"/>
        <family val="2"/>
        <scheme val="minor"/>
      </rPr>
      <t xml:space="preserve"> record is modified successfully, and a validation message is displayed after clicking the Modify button.
3. Using the </t>
    </r>
    <r>
      <rPr>
        <b/>
        <sz val="11"/>
        <color theme="1"/>
        <rFont val="Calibri"/>
        <family val="2"/>
        <scheme val="minor"/>
      </rPr>
      <t>Search Tab</t>
    </r>
    <r>
      <rPr>
        <sz val="11"/>
        <color theme="1"/>
        <rFont val="Calibri"/>
        <family val="2"/>
        <scheme val="minor"/>
      </rPr>
      <t xml:space="preserve">, the modified record is searchable but not selectable.
 -&gt; Only </t>
    </r>
    <r>
      <rPr>
        <b/>
        <sz val="11"/>
        <color theme="1"/>
        <rFont val="Calibri"/>
        <family val="2"/>
        <scheme val="minor"/>
      </rPr>
      <t>Schedule Master section</t>
    </r>
    <r>
      <rPr>
        <sz val="11"/>
        <color theme="1"/>
        <rFont val="Calibri"/>
        <family val="2"/>
        <scheme val="minor"/>
      </rPr>
      <t xml:space="preserve"> details are populated.
 -&gt;</t>
    </r>
    <r>
      <rPr>
        <b/>
        <sz val="11"/>
        <color theme="1"/>
        <rFont val="Calibri"/>
        <family val="2"/>
        <scheme val="minor"/>
      </rPr>
      <t xml:space="preserve"> Selling Schedule section grid</t>
    </r>
    <r>
      <rPr>
        <sz val="11"/>
        <color theme="1"/>
        <rFont val="Calibri"/>
        <family val="2"/>
        <scheme val="minor"/>
      </rPr>
      <t xml:space="preserve"> details are not populated.</t>
    </r>
  </si>
  <si>
    <t>Schedule_Master_63</t>
  </si>
  <si>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Enter valid or random data in:
 -&gt; Schedule Master section
 -&gt; Selling Schedule section
 -&gt; Connection Details section
 -&gt; Estimation section
5. Click on the Clear button and observe the system behavior.</t>
    </r>
  </si>
  <si>
    <r>
      <t xml:space="preserve">1. On clicking the </t>
    </r>
    <r>
      <rPr>
        <b/>
        <sz val="11"/>
        <color theme="1"/>
        <rFont val="Calibri"/>
        <family val="2"/>
        <scheme val="minor"/>
      </rPr>
      <t>Clear</t>
    </r>
    <r>
      <rPr>
        <sz val="11"/>
        <color theme="1"/>
        <rFont val="Calibri"/>
        <family val="2"/>
        <scheme val="minor"/>
      </rPr>
      <t xml:space="preserve"> button, a confirmation popup should be displayed:
</t>
    </r>
    <r>
      <rPr>
        <b/>
        <sz val="11"/>
        <color theme="1"/>
        <rFont val="Calibri"/>
        <family val="2"/>
        <scheme val="minor"/>
      </rPr>
      <t>“Are you sure you want to clear the data?”</t>
    </r>
    <r>
      <rPr>
        <sz val="11"/>
        <color theme="1"/>
        <rFont val="Calibri"/>
        <family val="2"/>
        <scheme val="minor"/>
      </rPr>
      <t xml:space="preserve">
2. If the user clicks </t>
    </r>
    <r>
      <rPr>
        <b/>
        <sz val="11"/>
        <color theme="1"/>
        <rFont val="Calibri"/>
        <family val="2"/>
        <scheme val="minor"/>
      </rPr>
      <t>Yes:</t>
    </r>
    <r>
      <rPr>
        <sz val="11"/>
        <color theme="1"/>
        <rFont val="Calibri"/>
        <family val="2"/>
        <scheme val="minor"/>
      </rPr>
      <t xml:space="preserve">
 -&gt; All input fields should be cleared.
 -&gt; All dropdowns should reset to “</t>
    </r>
    <r>
      <rPr>
        <b/>
        <sz val="11"/>
        <color theme="1"/>
        <rFont val="Calibri"/>
        <family val="2"/>
        <scheme val="minor"/>
      </rPr>
      <t>Select</t>
    </r>
    <r>
      <rPr>
        <sz val="11"/>
        <color theme="1"/>
        <rFont val="Calibri"/>
        <family val="2"/>
        <scheme val="minor"/>
      </rPr>
      <t xml:space="preserve">”.
 -&gt; All checkboxes should move to their default (unchecked) state.
 -&gt; All grid values should be cleared.
3.If the user clicks </t>
    </r>
    <r>
      <rPr>
        <b/>
        <sz val="11"/>
        <color theme="1"/>
        <rFont val="Calibri"/>
        <family val="2"/>
        <scheme val="minor"/>
      </rPr>
      <t>No</t>
    </r>
    <r>
      <rPr>
        <sz val="11"/>
        <color theme="1"/>
        <rFont val="Calibri"/>
        <family val="2"/>
        <scheme val="minor"/>
      </rPr>
      <t>:
 -&gt; All entered values should remain unchanged.</t>
    </r>
  </si>
  <si>
    <r>
      <t xml:space="preserve">1. </t>
    </r>
    <r>
      <rPr>
        <b/>
        <sz val="11"/>
        <color theme="1"/>
        <rFont val="Calibri"/>
        <family val="2"/>
        <scheme val="minor"/>
      </rPr>
      <t xml:space="preserve">Clear </t>
    </r>
    <r>
      <rPr>
        <sz val="11"/>
        <color theme="1"/>
        <rFont val="Calibri"/>
        <family val="2"/>
        <scheme val="minor"/>
      </rPr>
      <t xml:space="preserve">button functionality is not working as expected.
2. On clicking the </t>
    </r>
    <r>
      <rPr>
        <b/>
        <sz val="11"/>
        <color theme="1"/>
        <rFont val="Calibri"/>
        <family val="2"/>
        <scheme val="minor"/>
      </rPr>
      <t>Clear</t>
    </r>
    <r>
      <rPr>
        <sz val="11"/>
        <color theme="1"/>
        <rFont val="Calibri"/>
        <family val="2"/>
        <scheme val="minor"/>
      </rPr>
      <t xml:space="preserve"> button:
 -&gt; </t>
    </r>
    <r>
      <rPr>
        <b/>
        <sz val="11"/>
        <color theme="1"/>
        <rFont val="Calibri"/>
        <family val="2"/>
        <scheme val="minor"/>
      </rPr>
      <t>Checkboxes are not reset to their default position and remain selected.</t>
    </r>
    <r>
      <rPr>
        <sz val="11"/>
        <color theme="1"/>
        <rFont val="Calibri"/>
        <family val="2"/>
        <scheme val="minor"/>
      </rPr>
      <t xml:space="preserve">
3. </t>
    </r>
    <r>
      <rPr>
        <b/>
        <sz val="11"/>
        <color theme="1"/>
        <rFont val="Calibri"/>
        <family val="2"/>
        <scheme val="minor"/>
      </rPr>
      <t xml:space="preserve">Selling Schedule section grid disappears completely after clicking Clear.
4. </t>
    </r>
    <r>
      <rPr>
        <sz val="11"/>
        <color theme="1"/>
        <rFont val="Calibri"/>
        <family val="2"/>
        <scheme val="minor"/>
      </rPr>
      <t>The grid reappears only after a full page refresh, which is incorrect behavior.</t>
    </r>
  </si>
  <si>
    <t>Schedule_Master_64</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</si>
  <si>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Schedule tab </t>
    </r>
    <r>
      <rPr>
        <sz val="11"/>
        <color theme="1"/>
        <rFont val="Calibri"/>
        <family val="2"/>
        <scheme val="minor"/>
      </rPr>
      <t>on the</t>
    </r>
    <r>
      <rPr>
        <b/>
        <sz val="11"/>
        <color theme="1"/>
        <rFont val="Calibri"/>
        <family val="2"/>
        <scheme val="minor"/>
      </rPr>
      <t xml:space="preserve"> Schedule Master </t>
    </r>
    <r>
      <rPr>
        <sz val="11"/>
        <color theme="1"/>
        <rFont val="Calibri"/>
        <family val="2"/>
        <scheme val="minor"/>
      </rPr>
      <t>page.</t>
    </r>
  </si>
  <si>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</si>
  <si>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Resize the browser to multiple resolutions and observe the system behaviour.</t>
    </r>
  </si>
  <si>
    <r>
      <t xml:space="preserve">1. All elements on the </t>
    </r>
    <r>
      <rPr>
        <b/>
        <sz val="11"/>
        <color theme="1"/>
        <rFont val="Calibri"/>
        <family val="2"/>
        <scheme val="minor"/>
      </rPr>
      <t>Schedule tab</t>
    </r>
    <r>
      <rPr>
        <sz val="11"/>
        <color theme="1"/>
        <rFont val="Calibri"/>
        <family val="2"/>
        <scheme val="minor"/>
      </rPr>
      <t xml:space="preserve"> on the</t>
    </r>
    <r>
      <rPr>
        <b/>
        <sz val="11"/>
        <color theme="1"/>
        <rFont val="Calibri"/>
        <family val="2"/>
        <scheme val="minor"/>
      </rPr>
      <t xml:space="preserve"> Schedule Master </t>
    </r>
    <r>
      <rPr>
        <sz val="11"/>
        <color theme="1"/>
        <rFont val="Calibri"/>
        <family val="2"/>
        <scheme val="minor"/>
      </rPr>
      <t>page</t>
    </r>
    <r>
      <rPr>
        <b/>
        <sz val="11"/>
        <color theme="1"/>
        <rFont val="Calibri"/>
        <family val="2"/>
        <scheme val="minor"/>
      </rPr>
      <t xml:space="preserve"> </t>
    </r>
    <r>
      <rPr>
        <sz val="11"/>
        <color theme="1"/>
        <rFont val="Calibri"/>
        <family val="2"/>
        <scheme val="minor"/>
      </rPr>
      <t>should remain visible across all supported screen sizes.
2. The page must remain usable and properly readable on smaller screen resolutions.
3. The page must behave as a fully responsive interface.</t>
    </r>
  </si>
  <si>
    <t>Schedule_Master_65</t>
  </si>
  <si>
    <r>
      <t xml:space="preserve">Validate the </t>
    </r>
    <r>
      <rPr>
        <b/>
        <sz val="11"/>
        <color theme="1"/>
        <rFont val="Calibri"/>
        <family val="2"/>
        <scheme val="minor"/>
      </rPr>
      <t xml:space="preserve">page responsiveness </t>
    </r>
    <r>
      <rPr>
        <sz val="11"/>
        <color theme="1"/>
        <rFont val="Calibri"/>
        <family val="2"/>
        <scheme val="minor"/>
      </rPr>
      <t xml:space="preserve">of the </t>
    </r>
    <r>
      <rPr>
        <b/>
        <sz val="11"/>
        <color theme="1"/>
        <rFont val="Calibri"/>
        <family val="2"/>
        <scheme val="minor"/>
      </rPr>
      <t>Schedule tab</t>
    </r>
    <r>
      <rPr>
        <sz val="11"/>
        <color theme="1"/>
        <rFont val="Calibri"/>
        <family val="2"/>
        <scheme val="minor"/>
      </rPr>
      <t xml:space="preserve"> on the </t>
    </r>
    <r>
      <rPr>
        <b/>
        <sz val="11"/>
        <color theme="1"/>
        <rFont val="Calibri"/>
        <family val="2"/>
        <scheme val="minor"/>
      </rPr>
      <t>Schedule Master</t>
    </r>
    <r>
      <rPr>
        <sz val="11"/>
        <color theme="1"/>
        <rFont val="Calibri"/>
        <family val="2"/>
        <scheme val="minor"/>
      </rPr>
      <t xml:space="preserve"> page.</t>
    </r>
  </si>
  <si>
    <r>
      <t xml:space="preserve">Validate the functionality of </t>
    </r>
    <r>
      <rPr>
        <b/>
        <sz val="11"/>
        <color theme="1"/>
        <rFont val="Calibri"/>
        <family val="2"/>
        <scheme val="minor"/>
      </rPr>
      <t>Keyboard Action (TAB key)</t>
    </r>
    <r>
      <rPr>
        <sz val="11"/>
        <color theme="1"/>
        <rFont val="Calibri"/>
        <family val="2"/>
        <scheme val="minor"/>
      </rPr>
      <t xml:space="preserve"> on the </t>
    </r>
    <r>
      <rPr>
        <b/>
        <sz val="11"/>
        <color theme="1"/>
        <rFont val="Calibri"/>
        <family val="2"/>
        <scheme val="minor"/>
      </rPr>
      <t>Schedule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</si>
  <si>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4. Use the keyboard (TAB key) to navigate through and fill the form fields.
5. Observe the keyboard navigation behavior across different field types.</t>
    </r>
  </si>
  <si>
    <t xml:space="preserve">1. The TAB key navigation should function correctly across all field types:
 -&gt; Textboxes
 -&gt; Dropdowns
 -&gt; Autosuggest textboxes
 -&gt; Checkboxes
</t>
  </si>
  <si>
    <r>
      <t xml:space="preserve">1. Keyboard (TAB key) navigation is working as expected for:
 -&gt; Textboxes
 -&gt; Dropdowns
 -&gt; Autosuggest textboxes
</t>
    </r>
    <r>
      <rPr>
        <b/>
        <sz val="11"/>
        <color theme="1"/>
        <rFont val="Calibri"/>
        <family val="2"/>
        <scheme val="minor"/>
      </rPr>
      <t>2. TAB key navigation does not work for checkboxes.</t>
    </r>
    <r>
      <rPr>
        <sz val="11"/>
        <color theme="1"/>
        <rFont val="Calibri"/>
        <family val="2"/>
        <scheme val="minor"/>
      </rPr>
      <t xml:space="preserve">
</t>
    </r>
  </si>
  <si>
    <t>Schedule_Master_66</t>
  </si>
  <si>
    <r>
      <t xml:space="preserve">Validate the functionality of </t>
    </r>
    <r>
      <rPr>
        <b/>
        <sz val="11"/>
        <color theme="1"/>
        <rFont val="Calibri"/>
        <family val="2"/>
        <scheme val="minor"/>
      </rPr>
      <t>Session Timeout</t>
    </r>
    <r>
      <rPr>
        <sz val="11"/>
        <color theme="1"/>
        <rFont val="Calibri"/>
        <family val="2"/>
        <scheme val="minor"/>
      </rPr>
      <t xml:space="preserve"> on the </t>
    </r>
    <r>
      <rPr>
        <b/>
        <sz val="11"/>
        <color theme="1"/>
        <rFont val="Calibri"/>
        <family val="2"/>
        <scheme val="minor"/>
      </rPr>
      <t>Schedule tab</t>
    </r>
    <r>
      <rPr>
        <sz val="11"/>
        <color theme="1"/>
        <rFont val="Calibri"/>
        <family val="2"/>
        <scheme val="minor"/>
      </rPr>
      <t xml:space="preserve"> of the </t>
    </r>
    <r>
      <rPr>
        <b/>
        <sz val="11"/>
        <color theme="1"/>
        <rFont val="Calibri"/>
        <family val="2"/>
        <scheme val="minor"/>
      </rPr>
      <t xml:space="preserve">Schedule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</si>
  <si>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Leave the </t>
    </r>
    <r>
      <rPr>
        <b/>
        <sz val="11"/>
        <color theme="1"/>
        <rFont val="Calibri"/>
        <family val="2"/>
        <scheme val="minor"/>
      </rPr>
      <t xml:space="preserve">Schedule Master </t>
    </r>
    <r>
      <rPr>
        <sz val="11"/>
        <color theme="1"/>
        <rFont val="Calibri"/>
        <family val="2"/>
        <scheme val="minor"/>
      </rPr>
      <t>page idle for a long period (no mouse or keyboard activity).
5. Observe the system behavior.</t>
    </r>
  </si>
  <si>
    <r>
      <t xml:space="preserve">1. When the user remains idle beyond the configured </t>
    </r>
    <r>
      <rPr>
        <b/>
        <sz val="11"/>
        <color theme="1"/>
        <rFont val="Calibri"/>
        <family val="2"/>
        <scheme val="minor"/>
      </rPr>
      <t>session timeout duration</t>
    </r>
    <r>
      <rPr>
        <sz val="11"/>
        <color theme="1"/>
        <rFont val="Calibri"/>
        <family val="2"/>
        <scheme val="minor"/>
      </rPr>
      <t>:
 -&gt; The application should automatically log out the user.
 -&gt; The user should be redirected to the Login page.
 -&gt; A session timeout message (if designed) should be displayed.</t>
    </r>
  </si>
  <si>
    <t>Schedule_Master_67</t>
  </si>
  <si>
    <r>
      <t xml:space="preserve">Textbox - </t>
    </r>
    <r>
      <rPr>
        <b/>
        <sz val="11"/>
        <color theme="1"/>
        <rFont val="Calibri"/>
        <family val="2"/>
        <scheme val="minor"/>
      </rPr>
      <t>From Date
Manual Inputs:</t>
    </r>
    <r>
      <rPr>
        <sz val="11"/>
        <color theme="1"/>
        <rFont val="Calibri"/>
        <family val="2"/>
        <scheme val="minor"/>
      </rPr>
      <t xml:space="preserve">
 -&gt; 45645456456
 -&gt; 789789787987
</t>
    </r>
    <r>
      <rPr>
        <b/>
        <sz val="11"/>
        <color theme="1"/>
        <rFont val="Calibri"/>
        <family val="2"/>
        <scheme val="minor"/>
      </rPr>
      <t>Autosuggest Value:</t>
    </r>
    <r>
      <rPr>
        <sz val="11"/>
        <color theme="1"/>
        <rFont val="Calibri"/>
        <family val="2"/>
        <scheme val="minor"/>
      </rPr>
      <t xml:space="preserve">
 -&gt; 31/12/2025
</t>
    </r>
  </si>
  <si>
    <r>
      <t xml:space="preserve">1. Functionality is not working as expected.
2. </t>
    </r>
    <r>
      <rPr>
        <b/>
        <sz val="11"/>
        <color theme="1"/>
        <rFont val="Calibri"/>
        <family val="2"/>
        <scheme val="minor"/>
      </rPr>
      <t xml:space="preserve">From Date </t>
    </r>
    <r>
      <rPr>
        <sz val="11"/>
        <color theme="1"/>
        <rFont val="Calibri"/>
        <family val="2"/>
        <scheme val="minor"/>
      </rPr>
      <t xml:space="preserve">textbox accepts invalid date formats, such as:
 -&gt; 4548789789
 -&gt; 7897897879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From Date</t>
    </r>
    <r>
      <rPr>
        <sz val="11"/>
        <color theme="1"/>
        <rFont val="Calibri"/>
        <family val="2"/>
        <scheme val="minor"/>
      </rPr>
      <t xml:space="preserve"> textbox is accepting more than 10 character value.</t>
    </r>
  </si>
  <si>
    <r>
      <t xml:space="preserve">Validate the functionality of the </t>
    </r>
    <r>
      <rPr>
        <b/>
        <sz val="11"/>
        <color theme="1"/>
        <rFont val="Calibri"/>
        <family val="2"/>
        <scheme val="minor"/>
      </rPr>
      <t>From Date</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</si>
  <si>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
5. In the </t>
    </r>
    <r>
      <rPr>
        <b/>
        <sz val="11"/>
        <color theme="1"/>
        <rFont val="Calibri"/>
        <family val="2"/>
        <scheme val="minor"/>
      </rPr>
      <t>From Date</t>
    </r>
    <r>
      <rPr>
        <sz val="11"/>
        <color theme="1"/>
        <rFont val="Calibri"/>
        <family val="2"/>
        <scheme val="minor"/>
      </rPr>
      <t xml:space="preserve"> textbox, try entering manual numeric values.
6. Select a date using the calendar autosuggest.
7. Observe the system behavior.</t>
    </r>
  </si>
  <si>
    <r>
      <t xml:space="preserve">1. Manual typing should not be allowed in the </t>
    </r>
    <r>
      <rPr>
        <b/>
        <sz val="11"/>
        <color theme="1"/>
        <rFont val="Calibri"/>
        <family val="2"/>
        <scheme val="minor"/>
      </rPr>
      <t>From Date</t>
    </r>
    <r>
      <rPr>
        <sz val="11"/>
        <color theme="1"/>
        <rFont val="Calibri"/>
        <family val="2"/>
        <scheme val="minor"/>
      </rPr>
      <t xml:space="preserve"> textbox.
2. The user should be able to select the date only </t>
    </r>
    <r>
      <rPr>
        <b/>
        <sz val="11"/>
        <color theme="1"/>
        <rFont val="Calibri"/>
        <family val="2"/>
        <scheme val="minor"/>
      </rPr>
      <t>via the calendar autosuggest</t>
    </r>
    <r>
      <rPr>
        <sz val="11"/>
        <color theme="1"/>
        <rFont val="Calibri"/>
        <family val="2"/>
        <scheme val="minor"/>
      </rPr>
      <t xml:space="preserve">.
3. If an invalid date or format is entered:
 -&gt; The field should either clear automatically or
 -&gt; Display a validation message.
4. Selected date should be displayed in </t>
    </r>
    <r>
      <rPr>
        <b/>
        <sz val="11"/>
        <color theme="1"/>
        <rFont val="Calibri"/>
        <family val="2"/>
        <scheme val="minor"/>
      </rPr>
      <t>DD-MM-YYYY</t>
    </r>
    <r>
      <rPr>
        <sz val="11"/>
        <color theme="1"/>
        <rFont val="Calibri"/>
        <family val="2"/>
        <scheme val="minor"/>
      </rPr>
      <t xml:space="preserve"> format.
5. The </t>
    </r>
    <r>
      <rPr>
        <b/>
        <sz val="11"/>
        <color theme="1"/>
        <rFont val="Calibri"/>
        <family val="2"/>
        <scheme val="minor"/>
      </rPr>
      <t>From Date</t>
    </r>
    <r>
      <rPr>
        <sz val="11"/>
        <color theme="1"/>
        <rFont val="Calibri"/>
        <family val="2"/>
        <scheme val="minor"/>
      </rPr>
      <t xml:space="preserve"> textbox should accept a maximum of </t>
    </r>
    <r>
      <rPr>
        <b/>
        <sz val="11"/>
        <color theme="1"/>
        <rFont val="Calibri"/>
        <family val="2"/>
        <scheme val="minor"/>
      </rPr>
      <t>10 characters</t>
    </r>
    <r>
      <rPr>
        <sz val="11"/>
        <color theme="1"/>
        <rFont val="Calibri"/>
        <family val="2"/>
        <scheme val="minor"/>
      </rPr>
      <t xml:space="preserve">.
</t>
    </r>
  </si>
  <si>
    <t>Schedule_Master_68</t>
  </si>
  <si>
    <r>
      <t xml:space="preserve">Validate the functionality of the </t>
    </r>
    <r>
      <rPr>
        <b/>
        <sz val="11"/>
        <color theme="1"/>
        <rFont val="Calibri"/>
        <family val="2"/>
        <scheme val="minor"/>
      </rPr>
      <t>To Date</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</si>
  <si>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
5. In the </t>
    </r>
    <r>
      <rPr>
        <b/>
        <sz val="11"/>
        <color theme="1"/>
        <rFont val="Calibri"/>
        <family val="2"/>
        <scheme val="minor"/>
      </rPr>
      <t>To Date</t>
    </r>
    <r>
      <rPr>
        <sz val="11"/>
        <color theme="1"/>
        <rFont val="Calibri"/>
        <family val="2"/>
        <scheme val="minor"/>
      </rPr>
      <t xml:space="preserve"> textbox, try entering manual numeric values.
6. Select a date using the calendar autosuggest.
7. Observe the system behavior.</t>
    </r>
  </si>
  <si>
    <r>
      <t xml:space="preserve">Textbox - </t>
    </r>
    <r>
      <rPr>
        <b/>
        <sz val="11"/>
        <color theme="1"/>
        <rFont val="Calibri"/>
        <family val="2"/>
        <scheme val="minor"/>
      </rPr>
      <t>To Date
Manual Inputs:</t>
    </r>
    <r>
      <rPr>
        <sz val="11"/>
        <color theme="1"/>
        <rFont val="Calibri"/>
        <family val="2"/>
        <scheme val="minor"/>
      </rPr>
      <t xml:space="preserve">
 -&gt; 45645456456
 -&gt; 789789787987
</t>
    </r>
    <r>
      <rPr>
        <b/>
        <sz val="11"/>
        <color theme="1"/>
        <rFont val="Calibri"/>
        <family val="2"/>
        <scheme val="minor"/>
      </rPr>
      <t>Autosuggest Value:</t>
    </r>
    <r>
      <rPr>
        <sz val="11"/>
        <color theme="1"/>
        <rFont val="Calibri"/>
        <family val="2"/>
        <scheme val="minor"/>
      </rPr>
      <t xml:space="preserve">
 -&gt; 31/12/2025
</t>
    </r>
  </si>
  <si>
    <r>
      <t xml:space="preserve">1. Manual typing should not be allowed in the </t>
    </r>
    <r>
      <rPr>
        <b/>
        <sz val="11"/>
        <color theme="1"/>
        <rFont val="Calibri"/>
        <family val="2"/>
        <scheme val="minor"/>
      </rPr>
      <t>To Date</t>
    </r>
    <r>
      <rPr>
        <sz val="11"/>
        <color theme="1"/>
        <rFont val="Calibri"/>
        <family val="2"/>
        <scheme val="minor"/>
      </rPr>
      <t xml:space="preserve"> textbox.
2. The user should be able to select the date only </t>
    </r>
    <r>
      <rPr>
        <b/>
        <sz val="11"/>
        <color theme="1"/>
        <rFont val="Calibri"/>
        <family val="2"/>
        <scheme val="minor"/>
      </rPr>
      <t>via the calendar autosuggest</t>
    </r>
    <r>
      <rPr>
        <sz val="11"/>
        <color theme="1"/>
        <rFont val="Calibri"/>
        <family val="2"/>
        <scheme val="minor"/>
      </rPr>
      <t xml:space="preserve">.
3. If an invalid date or format is entered:
 -&gt; The field should either clear automatically or
 -&gt; Display a validation message.
4. Selected date should be displayed in </t>
    </r>
    <r>
      <rPr>
        <b/>
        <sz val="11"/>
        <color theme="1"/>
        <rFont val="Calibri"/>
        <family val="2"/>
        <scheme val="minor"/>
      </rPr>
      <t>DD-MM-YYYY</t>
    </r>
    <r>
      <rPr>
        <sz val="11"/>
        <color theme="1"/>
        <rFont val="Calibri"/>
        <family val="2"/>
        <scheme val="minor"/>
      </rPr>
      <t xml:space="preserve"> format.
5. The </t>
    </r>
    <r>
      <rPr>
        <b/>
        <sz val="11"/>
        <color theme="1"/>
        <rFont val="Calibri"/>
        <family val="2"/>
        <scheme val="minor"/>
      </rPr>
      <t>To Date</t>
    </r>
    <r>
      <rPr>
        <sz val="11"/>
        <color theme="1"/>
        <rFont val="Calibri"/>
        <family val="2"/>
        <scheme val="minor"/>
      </rPr>
      <t xml:space="preserve"> textbox should accept a maximum of </t>
    </r>
    <r>
      <rPr>
        <b/>
        <sz val="11"/>
        <color theme="1"/>
        <rFont val="Calibri"/>
        <family val="2"/>
        <scheme val="minor"/>
      </rPr>
      <t>10 characters</t>
    </r>
    <r>
      <rPr>
        <sz val="11"/>
        <color theme="1"/>
        <rFont val="Calibri"/>
        <family val="2"/>
        <scheme val="minor"/>
      </rPr>
      <t xml:space="preserve">.
</t>
    </r>
  </si>
  <si>
    <r>
      <t xml:space="preserve">1. Functionality is not working as expected.
2. </t>
    </r>
    <r>
      <rPr>
        <b/>
        <sz val="11"/>
        <color theme="1"/>
        <rFont val="Calibri"/>
        <family val="2"/>
        <scheme val="minor"/>
      </rPr>
      <t xml:space="preserve">To Date </t>
    </r>
    <r>
      <rPr>
        <sz val="11"/>
        <color theme="1"/>
        <rFont val="Calibri"/>
        <family val="2"/>
        <scheme val="minor"/>
      </rPr>
      <t xml:space="preserve">textbox accepts invalid date formats, such as:
 -&gt; 4548789789
 -&gt; 7897897879
3. Manual typing is allowed instead of restricting input to the calendar.
4. Date validation for </t>
    </r>
    <r>
      <rPr>
        <b/>
        <sz val="11"/>
        <color theme="1"/>
        <rFont val="Calibri"/>
        <family val="2"/>
        <scheme val="minor"/>
      </rPr>
      <t>DD-MM-YYYY</t>
    </r>
    <r>
      <rPr>
        <sz val="11"/>
        <color theme="1"/>
        <rFont val="Calibri"/>
        <family val="2"/>
        <scheme val="minor"/>
      </rPr>
      <t xml:space="preserve"> format is not enforced.
5. </t>
    </r>
    <r>
      <rPr>
        <b/>
        <sz val="11"/>
        <color theme="1"/>
        <rFont val="Calibri"/>
        <family val="2"/>
        <scheme val="minor"/>
      </rPr>
      <t>To Date</t>
    </r>
    <r>
      <rPr>
        <sz val="11"/>
        <color theme="1"/>
        <rFont val="Calibri"/>
        <family val="2"/>
        <scheme val="minor"/>
      </rPr>
      <t xml:space="preserve"> textbox is accepting more than 10 character value.</t>
    </r>
  </si>
  <si>
    <t>Schedule_Master_69</t>
  </si>
  <si>
    <r>
      <t xml:space="preserve">Validate the functionality of the </t>
    </r>
    <r>
      <rPr>
        <b/>
        <sz val="11"/>
        <color theme="1"/>
        <rFont val="Calibri"/>
        <family val="2"/>
        <scheme val="minor"/>
      </rPr>
      <t>VIA Number</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</si>
  <si>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t>Schedule_Master_70</t>
  </si>
  <si>
    <r>
      <t xml:space="preserve">Validate the functionality of the </t>
    </r>
    <r>
      <rPr>
        <b/>
        <sz val="11"/>
        <color theme="1"/>
        <rFont val="Calibri"/>
        <family val="2"/>
        <scheme val="minor"/>
      </rPr>
      <t>Rotation Number</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</si>
  <si>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5</t>
    </r>
    <r>
      <rPr>
        <sz val="11"/>
        <color theme="1"/>
        <rFont val="Calibri"/>
        <family val="2"/>
        <scheme val="minor"/>
      </rPr>
      <t xml:space="preserve">. Enter Valid &amp; Invalid Data in </t>
    </r>
    <r>
      <rPr>
        <b/>
        <sz val="11"/>
        <color theme="1"/>
        <rFont val="Calibri"/>
        <family val="2"/>
        <scheme val="minor"/>
      </rPr>
      <t xml:space="preserve">VIA Number </t>
    </r>
    <r>
      <rPr>
        <sz val="11"/>
        <color theme="1"/>
        <rFont val="Calibri"/>
        <family val="2"/>
        <scheme val="minor"/>
      </rPr>
      <t>textbox and observe the system behaviour.</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</si>
  <si>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5</t>
    </r>
    <r>
      <rPr>
        <sz val="11"/>
        <color theme="1"/>
        <rFont val="Calibri"/>
        <family val="2"/>
        <scheme val="minor"/>
      </rPr>
      <t xml:space="preserve">. Enter Valid &amp; Invalid Data in </t>
    </r>
    <r>
      <rPr>
        <b/>
        <sz val="11"/>
        <color theme="1"/>
        <rFont val="Calibri"/>
        <family val="2"/>
        <scheme val="minor"/>
      </rPr>
      <t xml:space="preserve">Rotation Number </t>
    </r>
    <r>
      <rPr>
        <sz val="11"/>
        <color theme="1"/>
        <rFont val="Calibri"/>
        <family val="2"/>
        <scheme val="minor"/>
      </rPr>
      <t>textbox and observe the system behaviour.</t>
    </r>
  </si>
  <si>
    <t>Schedule_Master_71</t>
  </si>
  <si>
    <r>
      <t xml:space="preserve">Validate the functionality of the </t>
    </r>
    <r>
      <rPr>
        <b/>
        <sz val="11"/>
        <color theme="1"/>
        <rFont val="Calibri"/>
        <family val="2"/>
        <scheme val="minor"/>
      </rPr>
      <t>Vessel ID</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</si>
  <si>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5</t>
    </r>
    <r>
      <rPr>
        <sz val="11"/>
        <color theme="1"/>
        <rFont val="Calibri"/>
        <family val="2"/>
        <scheme val="minor"/>
      </rPr>
      <t xml:space="preserve">. Enter Valid &amp; Invalid Data in </t>
    </r>
    <r>
      <rPr>
        <b/>
        <sz val="11"/>
        <color theme="1"/>
        <rFont val="Calibri"/>
        <family val="2"/>
        <scheme val="minor"/>
      </rPr>
      <t xml:space="preserve">Vessel ID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</si>
  <si>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Vessel ID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</si>
  <si>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Vessel ID</t>
    </r>
    <r>
      <rPr>
        <sz val="11"/>
        <color theme="1"/>
        <rFont val="Calibri"/>
        <family val="2"/>
        <scheme val="minor"/>
      </rPr>
      <t xml:space="preserve"> textbox should accept alphanumeric values.
2. </t>
    </r>
    <r>
      <rPr>
        <b/>
        <sz val="11"/>
        <color theme="1"/>
        <rFont val="Calibri"/>
        <family val="2"/>
        <scheme val="minor"/>
      </rPr>
      <t>Vessel ID</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</si>
  <si>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Vessel ID</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analysis, there is no standard or fixed format defined for the Vessel ID; therefore, the textbox allows all types of input including numeric, alphabetic, and special characters.</t>
    </r>
  </si>
  <si>
    <t>Schedule_Master_72</t>
  </si>
  <si>
    <r>
      <t xml:space="preserve">Validate the functionality of the </t>
    </r>
    <r>
      <rPr>
        <b/>
        <sz val="11"/>
        <color theme="1"/>
        <rFont val="Calibri"/>
        <family val="2"/>
        <scheme val="minor"/>
      </rPr>
      <t>Vessel Name</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</si>
  <si>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Info-&gt; Schedule
</t>
    </r>
    <r>
      <rPr>
        <sz val="11"/>
        <color theme="1"/>
        <rFont val="Calibri"/>
        <family val="2"/>
        <scheme val="minor"/>
      </rPr>
      <t>4. Move to the</t>
    </r>
    <r>
      <rPr>
        <b/>
        <sz val="11"/>
        <color theme="1"/>
        <rFont val="Calibri"/>
        <family val="2"/>
        <scheme val="minor"/>
      </rPr>
      <t xml:space="preserve"> Search </t>
    </r>
    <r>
      <rPr>
        <sz val="11"/>
        <color theme="1"/>
        <rFont val="Calibri"/>
        <family val="2"/>
        <scheme val="minor"/>
      </rPr>
      <t>Tab.</t>
    </r>
    <r>
      <rPr>
        <b/>
        <sz val="11"/>
        <color theme="1"/>
        <rFont val="Calibri"/>
        <family val="2"/>
        <scheme val="minor"/>
      </rPr>
      <t xml:space="preserve">
</t>
    </r>
    <r>
      <rPr>
        <sz val="11"/>
        <color theme="1"/>
        <rFont val="Calibri"/>
        <family val="2"/>
        <scheme val="minor"/>
      </rPr>
      <t xml:space="preserve">4. In the </t>
    </r>
    <r>
      <rPr>
        <b/>
        <sz val="11"/>
        <color theme="1"/>
        <rFont val="Calibri"/>
        <family val="2"/>
        <scheme val="minor"/>
      </rPr>
      <t xml:space="preserve">Container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</si>
  <si>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Vessel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ALS SUMIRE
-&gt; MOL GATEWAY etc.</t>
    </r>
  </si>
  <si>
    <r>
      <t xml:space="preserve">1. Manual input should not be allowed in the </t>
    </r>
    <r>
      <rPr>
        <b/>
        <sz val="11"/>
        <color theme="1"/>
        <rFont val="Calibri"/>
        <family val="2"/>
        <scheme val="minor"/>
      </rPr>
      <t>Vessel Name</t>
    </r>
    <r>
      <rPr>
        <sz val="11"/>
        <color theme="1"/>
        <rFont val="Calibri"/>
        <family val="2"/>
        <scheme val="minor"/>
      </rPr>
      <t xml:space="preserve"> textbox.
2. The user should be able to select a </t>
    </r>
    <r>
      <rPr>
        <b/>
        <sz val="11"/>
        <color theme="1"/>
        <rFont val="Calibri"/>
        <family val="2"/>
        <scheme val="minor"/>
      </rPr>
      <t xml:space="preserve">Vessel Name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</si>
  <si>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Vessel Name</t>
    </r>
    <r>
      <rPr>
        <sz val="11"/>
        <color theme="1"/>
        <rFont val="Calibri"/>
        <family val="2"/>
        <scheme val="minor"/>
      </rPr>
      <t xml:space="preserve"> can be selected only from the autosuggest list.</t>
    </r>
  </si>
  <si>
    <t>Schedule_Master_73</t>
  </si>
  <si>
    <r>
      <t xml:space="preserve">Validate the functionality of the </t>
    </r>
    <r>
      <rPr>
        <b/>
        <sz val="11"/>
        <color theme="1"/>
        <rFont val="Calibri"/>
        <family val="2"/>
        <scheme val="minor"/>
      </rPr>
      <t>Voyage No</t>
    </r>
    <r>
      <rPr>
        <sz val="11"/>
        <color theme="1"/>
        <rFont val="Calibri"/>
        <family val="2"/>
        <scheme val="minor"/>
      </rPr>
      <t xml:space="preserve"> textbox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</si>
  <si>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5</t>
    </r>
    <r>
      <rPr>
        <sz val="11"/>
        <color theme="1"/>
        <rFont val="Calibri"/>
        <family val="2"/>
        <scheme val="minor"/>
      </rPr>
      <t xml:space="preserve">. Enter Valid &amp; Invalid Data in </t>
    </r>
    <r>
      <rPr>
        <b/>
        <sz val="11"/>
        <color theme="1"/>
        <rFont val="Calibri"/>
        <family val="2"/>
        <scheme val="minor"/>
      </rPr>
      <t xml:space="preserve">Voyage No </t>
    </r>
    <r>
      <rPr>
        <sz val="11"/>
        <color theme="1"/>
        <rFont val="Calibri"/>
        <family val="2"/>
        <scheme val="minor"/>
      </rPr>
      <t>textbox and observe the system behaviour.</t>
    </r>
  </si>
  <si>
    <t>Schedule_Master_74</t>
  </si>
  <si>
    <r>
      <t xml:space="preserve">Validate the functionality of the </t>
    </r>
    <r>
      <rPr>
        <b/>
        <sz val="11"/>
        <color theme="1"/>
        <rFont val="Calibri"/>
        <family val="2"/>
        <scheme val="minor"/>
      </rPr>
      <t>Search</t>
    </r>
    <r>
      <rPr>
        <sz val="11"/>
        <color theme="1"/>
        <rFont val="Calibri"/>
        <family val="2"/>
        <scheme val="minor"/>
      </rPr>
      <t xml:space="preserve"> button in the </t>
    </r>
    <r>
      <rPr>
        <b/>
        <sz val="11"/>
        <color theme="1"/>
        <rFont val="Calibri"/>
        <family val="2"/>
        <scheme val="minor"/>
      </rPr>
      <t>Search tab</t>
    </r>
    <r>
      <rPr>
        <sz val="11"/>
        <color theme="1"/>
        <rFont val="Calibri"/>
        <family val="2"/>
        <scheme val="minor"/>
      </rPr>
      <t xml:space="preserve"> of the </t>
    </r>
    <r>
      <rPr>
        <b/>
        <sz val="11"/>
        <color theme="1"/>
        <rFont val="Calibri"/>
        <family val="2"/>
        <scheme val="minor"/>
      </rPr>
      <t>Schedule Master</t>
    </r>
    <r>
      <rPr>
        <sz val="11"/>
        <color theme="1"/>
        <rFont val="Calibri"/>
        <family val="2"/>
        <scheme val="minor"/>
      </rPr>
      <t xml:space="preserve"> page.</t>
    </r>
  </si>
  <si>
    <r>
      <rPr>
        <b/>
        <sz val="11"/>
        <color theme="1"/>
        <rFont val="Calibri"/>
        <family val="2"/>
        <scheme val="minor"/>
      </rPr>
      <t>Search Input Fields:</t>
    </r>
    <r>
      <rPr>
        <sz val="11"/>
        <color theme="1"/>
        <rFont val="Calibri"/>
        <family val="2"/>
        <scheme val="minor"/>
      </rPr>
      <t xml:space="preserve">
 -&gt; From Date
 -&gt; To Date
 -&gt; VIA Number
 -&gt; Rotation Number
 -&gt; Vessel ID
 -&gt; Vessel Name
 -&gt; Voyage No</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</si>
  <si>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t>
    </r>
    <r>
      <rPr>
        <b/>
        <sz val="11"/>
        <color theme="1"/>
        <rFont val="Calibri"/>
        <family val="2"/>
        <scheme val="minor"/>
      </rPr>
      <t xml:space="preserve">
</t>
    </r>
    <r>
      <rPr>
        <sz val="11"/>
        <color theme="1"/>
        <rFont val="Calibri"/>
        <family val="2"/>
        <scheme val="minor"/>
      </rPr>
      <t xml:space="preserve">5. Enter a valid value in any one of the search input fields.
6. Click on the </t>
    </r>
    <r>
      <rPr>
        <b/>
        <sz val="11"/>
        <color theme="1"/>
        <rFont val="Calibri"/>
        <family val="2"/>
        <scheme val="minor"/>
      </rPr>
      <t>Search</t>
    </r>
    <r>
      <rPr>
        <sz val="11"/>
        <color theme="1"/>
        <rFont val="Calibri"/>
        <family val="2"/>
        <scheme val="minor"/>
      </rPr>
      <t xml:space="preserve"> button.
7. Observe the system behavior and search results displayed in the grid.</t>
    </r>
  </si>
  <si>
    <r>
      <t>1. The</t>
    </r>
    <r>
      <rPr>
        <b/>
        <sz val="11"/>
        <color theme="1"/>
        <rFont val="Calibri"/>
        <family val="2"/>
        <scheme val="minor"/>
      </rPr>
      <t xml:space="preserve"> Search button</t>
    </r>
    <r>
      <rPr>
        <sz val="11"/>
        <color theme="1"/>
        <rFont val="Calibri"/>
        <family val="2"/>
        <scheme val="minor"/>
      </rPr>
      <t xml:space="preserve"> should work when </t>
    </r>
    <r>
      <rPr>
        <b/>
        <sz val="11"/>
        <color theme="1"/>
        <rFont val="Calibri"/>
        <family val="2"/>
        <scheme val="minor"/>
      </rPr>
      <t>any single search input field</t>
    </r>
    <r>
      <rPr>
        <sz val="11"/>
        <color theme="1"/>
        <rFont val="Calibri"/>
        <family val="2"/>
        <scheme val="minor"/>
      </rPr>
      <t xml:space="preserve"> (</t>
    </r>
    <r>
      <rPr>
        <b/>
        <sz val="11"/>
        <color theme="1"/>
        <rFont val="Calibri"/>
        <family val="2"/>
        <scheme val="minor"/>
      </rPr>
      <t>except From Date and To Date</t>
    </r>
    <r>
      <rPr>
        <sz val="11"/>
        <color theme="1"/>
        <rFont val="Calibri"/>
        <family val="2"/>
        <scheme val="minor"/>
      </rPr>
      <t xml:space="preserve">) is entered with valid data.
2. When searching using </t>
    </r>
    <r>
      <rPr>
        <b/>
        <sz val="11"/>
        <color theme="1"/>
        <rFont val="Calibri"/>
        <family val="2"/>
        <scheme val="minor"/>
      </rPr>
      <t>From Date and To Date:</t>
    </r>
    <r>
      <rPr>
        <sz val="11"/>
        <color theme="1"/>
        <rFont val="Calibri"/>
        <family val="2"/>
        <scheme val="minor"/>
      </rPr>
      <t xml:space="preserve">
 -&gt; Both dates should be mandatory.
 -&gt; If only one date (From Date or To Date) is entered, no records should be displayed, or a validation message should be shown.
3. If matching records exist:
 -&gt; The grid should display filtered results correctly.
4. If no matching records exist:
 -&gt; The grid should remain empty or display no records.</t>
    </r>
  </si>
  <si>
    <r>
      <t xml:space="preserve">1. Search button functionality is not working as expected.
2. The Search button works even when only a single date is entered:
 -&gt; Only </t>
    </r>
    <r>
      <rPr>
        <b/>
        <sz val="11"/>
        <color theme="1"/>
        <rFont val="Calibri"/>
        <family val="2"/>
        <scheme val="minor"/>
      </rPr>
      <t>From Date entered</t>
    </r>
    <r>
      <rPr>
        <sz val="11"/>
        <color theme="1"/>
        <rFont val="Calibri"/>
        <family val="2"/>
        <scheme val="minor"/>
      </rPr>
      <t xml:space="preserve">
 -&gt; </t>
    </r>
    <r>
      <rPr>
        <b/>
        <sz val="11"/>
        <color theme="1"/>
        <rFont val="Calibri"/>
        <family val="2"/>
        <scheme val="minor"/>
      </rPr>
      <t>Only To Date entered
(Both dates should be mandatory for date-based search)</t>
    </r>
    <r>
      <rPr>
        <sz val="11"/>
        <color theme="1"/>
        <rFont val="Calibri"/>
        <family val="2"/>
        <scheme val="minor"/>
      </rPr>
      <t xml:space="preserve">
3. </t>
    </r>
    <r>
      <rPr>
        <b/>
        <sz val="11"/>
        <color theme="1"/>
        <rFont val="Calibri"/>
        <family val="2"/>
        <scheme val="minor"/>
      </rPr>
      <t>The system allows search execution with incomplete date criteria.</t>
    </r>
    <r>
      <rPr>
        <sz val="11"/>
        <color theme="1"/>
        <rFont val="Calibri"/>
        <family val="2"/>
        <scheme val="minor"/>
      </rPr>
      <t xml:space="preserve">
4. Search functionality does makes no filtering when searching using individual fields:
 -&gt; VIA Number only
 -&gt; Rotation Number
 -&gt; Vessel ID only
 -&gt; Vessel Name
 -&gt; Voyage No
5. </t>
    </r>
    <r>
      <rPr>
        <b/>
        <sz val="11"/>
        <color theme="1"/>
        <rFont val="Calibri"/>
        <family val="2"/>
        <scheme val="minor"/>
      </rPr>
      <t>UI Issue in Search Grid:</t>
    </r>
    <r>
      <rPr>
        <sz val="11"/>
        <color theme="1"/>
        <rFont val="Calibri"/>
        <family val="2"/>
        <scheme val="minor"/>
      </rPr>
      <t xml:space="preserve">
 -&gt; Column header “Schedule Voyagengo” is incorrect.
 -&gt; It should be renamed to “Schedule Voyage No”.</t>
    </r>
  </si>
  <si>
    <t>Schedule_Master_75</t>
  </si>
  <si>
    <r>
      <t xml:space="preserve">Validate the functionality of the </t>
    </r>
    <r>
      <rPr>
        <b/>
        <sz val="11"/>
        <color theme="1"/>
        <rFont val="Calibri"/>
        <family val="2"/>
        <scheme val="minor"/>
      </rPr>
      <t>Clear button</t>
    </r>
    <r>
      <rPr>
        <sz val="11"/>
        <color theme="1"/>
        <rFont val="Calibri"/>
        <family val="2"/>
        <scheme val="minor"/>
      </rPr>
      <t xml:space="preserve"> for the </t>
    </r>
    <r>
      <rPr>
        <b/>
        <sz val="11"/>
        <color theme="1"/>
        <rFont val="Calibri"/>
        <family val="2"/>
        <scheme val="minor"/>
      </rPr>
      <t xml:space="preserve">Search tab </t>
    </r>
    <r>
      <rPr>
        <sz val="11"/>
        <color theme="1"/>
        <rFont val="Calibri"/>
        <family val="2"/>
        <scheme val="minor"/>
      </rPr>
      <t xml:space="preserve">on the </t>
    </r>
    <r>
      <rPr>
        <b/>
        <sz val="11"/>
        <color theme="1"/>
        <rFont val="Calibri"/>
        <family val="2"/>
        <scheme val="minor"/>
      </rPr>
      <t>Schedule Master</t>
    </r>
    <r>
      <rPr>
        <sz val="11"/>
        <color theme="1"/>
        <rFont val="Calibri"/>
        <family val="2"/>
        <scheme val="minor"/>
      </rPr>
      <t xml:space="preserve"> page.
</t>
    </r>
    <r>
      <rPr>
        <b/>
        <sz val="11"/>
        <color theme="1"/>
        <rFont val="Calibri"/>
        <family val="2"/>
        <scheme val="minor"/>
      </rPr>
      <t>(Clear button is common on the Schedule Master page and should work for the Search tab)</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</si>
  <si>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t>
    </r>
    <r>
      <rPr>
        <sz val="11"/>
        <color theme="1"/>
        <rFont val="Calibri"/>
        <family val="2"/>
        <scheme val="minor"/>
      </rPr>
      <t xml:space="preserve"> Tab.
5. Enter valid or random values in the </t>
    </r>
    <r>
      <rPr>
        <b/>
        <sz val="11"/>
        <color theme="1"/>
        <rFont val="Calibri"/>
        <family val="2"/>
        <scheme val="minor"/>
      </rPr>
      <t>Search tab fields</t>
    </r>
    <r>
      <rPr>
        <sz val="11"/>
        <color theme="1"/>
        <rFont val="Calibri"/>
        <family val="2"/>
        <scheme val="minor"/>
      </rPr>
      <t xml:space="preserve">.
6. Switch to the </t>
    </r>
    <r>
      <rPr>
        <b/>
        <sz val="11"/>
        <color theme="1"/>
        <rFont val="Calibri"/>
        <family val="2"/>
        <scheme val="minor"/>
      </rPr>
      <t>Schedule tab.</t>
    </r>
    <r>
      <rPr>
        <sz val="11"/>
        <color theme="1"/>
        <rFont val="Calibri"/>
        <family val="2"/>
        <scheme val="minor"/>
      </rPr>
      <t xml:space="preserve">
7. Click on the </t>
    </r>
    <r>
      <rPr>
        <b/>
        <sz val="11"/>
        <color theme="1"/>
        <rFont val="Calibri"/>
        <family val="2"/>
        <scheme val="minor"/>
      </rPr>
      <t>Clear button</t>
    </r>
    <r>
      <rPr>
        <sz val="11"/>
        <color theme="1"/>
        <rFont val="Calibri"/>
        <family val="2"/>
        <scheme val="minor"/>
      </rPr>
      <t>.
8. Move back to the</t>
    </r>
    <r>
      <rPr>
        <b/>
        <sz val="11"/>
        <color theme="1"/>
        <rFont val="Calibri"/>
        <family val="2"/>
        <scheme val="minor"/>
      </rPr>
      <t xml:space="preserve"> Search Tab</t>
    </r>
    <r>
      <rPr>
        <sz val="11"/>
        <color theme="1"/>
        <rFont val="Calibri"/>
        <family val="2"/>
        <scheme val="minor"/>
      </rPr>
      <t xml:space="preserve"> and observe the system behavior.</t>
    </r>
  </si>
  <si>
    <r>
      <t xml:space="preserve">1. The </t>
    </r>
    <r>
      <rPr>
        <b/>
        <sz val="11"/>
        <color theme="1"/>
        <rFont val="Calibri"/>
        <family val="2"/>
        <scheme val="minor"/>
      </rPr>
      <t>Clear</t>
    </r>
    <r>
      <rPr>
        <sz val="11"/>
        <color theme="1"/>
        <rFont val="Calibri"/>
        <family val="2"/>
        <scheme val="minor"/>
      </rPr>
      <t xml:space="preserve"> button, though common on the </t>
    </r>
    <r>
      <rPr>
        <b/>
        <sz val="11"/>
        <color theme="1"/>
        <rFont val="Calibri"/>
        <family val="2"/>
        <scheme val="minor"/>
      </rPr>
      <t>Schedule Master</t>
    </r>
    <r>
      <rPr>
        <sz val="11"/>
        <color theme="1"/>
        <rFont val="Calibri"/>
        <family val="2"/>
        <scheme val="minor"/>
      </rPr>
      <t xml:space="preserve"> page, should also apply to the </t>
    </r>
    <r>
      <rPr>
        <b/>
        <sz val="11"/>
        <color theme="1"/>
        <rFont val="Calibri"/>
        <family val="2"/>
        <scheme val="minor"/>
      </rPr>
      <t>Search tab</t>
    </r>
    <r>
      <rPr>
        <sz val="11"/>
        <color theme="1"/>
        <rFont val="Calibri"/>
        <family val="2"/>
        <scheme val="minor"/>
      </rPr>
      <t xml:space="preserve">.
2. On clicking the </t>
    </r>
    <r>
      <rPr>
        <b/>
        <sz val="11"/>
        <color theme="1"/>
        <rFont val="Calibri"/>
        <family val="2"/>
        <scheme val="minor"/>
      </rPr>
      <t>Clear</t>
    </r>
    <r>
      <rPr>
        <sz val="11"/>
        <color theme="1"/>
        <rFont val="Calibri"/>
        <family val="2"/>
        <scheme val="minor"/>
      </rPr>
      <t xml:space="preserve"> button:
 -&gt; All </t>
    </r>
    <r>
      <rPr>
        <b/>
        <sz val="11"/>
        <color theme="1"/>
        <rFont val="Calibri"/>
        <family val="2"/>
        <scheme val="minor"/>
      </rPr>
      <t>Search tab</t>
    </r>
    <r>
      <rPr>
        <sz val="11"/>
        <color theme="1"/>
        <rFont val="Calibri"/>
        <family val="2"/>
        <scheme val="minor"/>
      </rPr>
      <t xml:space="preserve"> textboxes should be cleared.
 -&gt; All </t>
    </r>
    <r>
      <rPr>
        <b/>
        <sz val="11"/>
        <color theme="1"/>
        <rFont val="Calibri"/>
        <family val="2"/>
        <scheme val="minor"/>
      </rPr>
      <t xml:space="preserve">Search result grid </t>
    </r>
    <r>
      <rPr>
        <sz val="11"/>
        <color theme="1"/>
        <rFont val="Calibri"/>
        <family val="2"/>
        <scheme val="minor"/>
      </rPr>
      <t xml:space="preserve">entries should be cleared.
3. The </t>
    </r>
    <r>
      <rPr>
        <b/>
        <sz val="11"/>
        <color theme="1"/>
        <rFont val="Calibri"/>
        <family val="2"/>
        <scheme val="minor"/>
      </rPr>
      <t>Search tab</t>
    </r>
    <r>
      <rPr>
        <sz val="11"/>
        <color theme="1"/>
        <rFont val="Calibri"/>
        <family val="2"/>
        <scheme val="minor"/>
      </rPr>
      <t xml:space="preserve"> should return to its default state.
</t>
    </r>
  </si>
  <si>
    <r>
      <t xml:space="preserve">1. </t>
    </r>
    <r>
      <rPr>
        <b/>
        <sz val="11"/>
        <color theme="1"/>
        <rFont val="Calibri"/>
        <family val="2"/>
        <scheme val="minor"/>
      </rPr>
      <t>Clear button functionality is not working as expected for the Search tab.</t>
    </r>
    <r>
      <rPr>
        <sz val="11"/>
        <color theme="1"/>
        <rFont val="Calibri"/>
        <family val="2"/>
        <scheme val="minor"/>
      </rPr>
      <t xml:space="preserve">
2. On clicking the</t>
    </r>
    <r>
      <rPr>
        <b/>
        <sz val="11"/>
        <color theme="1"/>
        <rFont val="Calibri"/>
        <family val="2"/>
        <scheme val="minor"/>
      </rPr>
      <t xml:space="preserve"> Clear button:</t>
    </r>
    <r>
      <rPr>
        <sz val="11"/>
        <color theme="1"/>
        <rFont val="Calibri"/>
        <family val="2"/>
        <scheme val="minor"/>
      </rPr>
      <t xml:space="preserve">
 -&gt; Search result grid entries are cleared.
 -&gt; Search tab textbox values remain unchanged and are not cleared.</t>
    </r>
  </si>
  <si>
    <t>Schedule_Master_76</t>
  </si>
  <si>
    <r>
      <t xml:space="preserve">Validate the functionality of </t>
    </r>
    <r>
      <rPr>
        <b/>
        <sz val="11"/>
        <color theme="1"/>
        <rFont val="Calibri"/>
        <family val="2"/>
        <scheme val="minor"/>
      </rPr>
      <t>Keyboard Action (TAB key)</t>
    </r>
    <r>
      <rPr>
        <sz val="11"/>
        <color theme="1"/>
        <rFont val="Calibri"/>
        <family val="2"/>
        <scheme val="minor"/>
      </rPr>
      <t xml:space="preserve"> on the </t>
    </r>
    <r>
      <rPr>
        <b/>
        <sz val="11"/>
        <color theme="1"/>
        <rFont val="Calibri"/>
        <family val="2"/>
        <scheme val="minor"/>
      </rPr>
      <t>Search tab</t>
    </r>
    <r>
      <rPr>
        <sz val="11"/>
        <color theme="1"/>
        <rFont val="Calibri"/>
        <family val="2"/>
        <scheme val="minor"/>
      </rPr>
      <t xml:space="preserve"> of the</t>
    </r>
    <r>
      <rPr>
        <b/>
        <sz val="11"/>
        <color theme="1"/>
        <rFont val="Calibri"/>
        <family val="2"/>
        <scheme val="minor"/>
      </rPr>
      <t xml:space="preserve"> Schedule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</si>
  <si>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Vessel Info -&gt; Schedule
</t>
    </r>
    <r>
      <rPr>
        <sz val="11"/>
        <color theme="1"/>
        <rFont val="Calibri"/>
        <family val="2"/>
        <scheme val="minor"/>
      </rPr>
      <t xml:space="preserve">4. Move to the </t>
    </r>
    <r>
      <rPr>
        <b/>
        <sz val="11"/>
        <color theme="1"/>
        <rFont val="Calibri"/>
        <family val="2"/>
        <scheme val="minor"/>
      </rPr>
      <t>Search Tab</t>
    </r>
    <r>
      <rPr>
        <sz val="11"/>
        <color theme="1"/>
        <rFont val="Calibri"/>
        <family val="2"/>
        <scheme val="minor"/>
      </rPr>
      <t>.</t>
    </r>
    <r>
      <rPr>
        <b/>
        <sz val="11"/>
        <color theme="1"/>
        <rFont val="Calibri"/>
        <family val="2"/>
        <scheme val="minor"/>
      </rPr>
      <t xml:space="preserve">
5</t>
    </r>
    <r>
      <rPr>
        <sz val="11"/>
        <color theme="1"/>
        <rFont val="Calibri"/>
        <family val="2"/>
        <scheme val="minor"/>
      </rPr>
      <t>. Use the keyboard (TAB key) to navigate through and fill the Search input fields and Search functionality.</t>
    </r>
  </si>
  <si>
    <t xml:space="preserve">1. The TAB key navigation should function correctly across all field types:
 -&gt; Textboxes
 -&gt; Autosuggest textboxes
</t>
  </si>
  <si>
    <r>
      <t>1. Keyboard (TAB key) navigation is working as expected for:
 -&gt; Textboxes
 -&gt; Autosuggest textboxes</t>
    </r>
    <r>
      <rPr>
        <sz val="11"/>
        <color theme="1"/>
        <rFont val="Calibri"/>
        <family val="2"/>
        <scheme val="minor"/>
      </rPr>
      <t xml:space="preserve">
</t>
    </r>
  </si>
  <si>
    <t>BA-401</t>
  </si>
  <si>
    <t>BA-402</t>
  </si>
  <si>
    <t>BA-403</t>
  </si>
  <si>
    <t>BA-404</t>
  </si>
  <si>
    <t>BA-405</t>
  </si>
  <si>
    <t>BA-406</t>
  </si>
  <si>
    <r>
      <t xml:space="preserve">1. The </t>
    </r>
    <r>
      <rPr>
        <b/>
        <sz val="11"/>
        <color theme="1"/>
        <rFont val="Calibri"/>
        <family val="2"/>
        <scheme val="minor"/>
      </rPr>
      <t>VIA Number</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VIA Number textbox should accept alphanumeric value and following special characters: Dot (.), Comma (,), Percentage (%), Ampersand (&amp;), Hyphen (-),  Underscore (_), Forward slash (/), Backward slash (\), Colon (:)</t>
    </r>
  </si>
  <si>
    <t>BA-407</t>
  </si>
  <si>
    <t>BA-408</t>
  </si>
  <si>
    <t>BA-409</t>
  </si>
  <si>
    <t>BA-410</t>
  </si>
  <si>
    <t>BA-411</t>
  </si>
  <si>
    <t>BA-412</t>
  </si>
  <si>
    <t>BA-413</t>
  </si>
  <si>
    <t>BA-414</t>
  </si>
  <si>
    <t>BA-415</t>
  </si>
  <si>
    <t>BA-416</t>
  </si>
  <si>
    <t>Shipment_Status_01</t>
  </si>
  <si>
    <t xml:space="preserve">Shipment Status
</t>
  </si>
  <si>
    <r>
      <t xml:space="preserve">Validate the functionality of </t>
    </r>
    <r>
      <rPr>
        <b/>
        <sz val="11"/>
        <color theme="1"/>
        <rFont val="Calibri"/>
        <family val="2"/>
        <scheme val="minor"/>
      </rPr>
      <t xml:space="preserve">Shipment Status,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</si>
  <si>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Status</t>
    </r>
  </si>
  <si>
    <r>
      <t xml:space="preserve">1. On Mouse Hovering action on </t>
    </r>
    <r>
      <rPr>
        <b/>
        <sz val="11"/>
        <color theme="1"/>
        <rFont val="Calibri"/>
        <family val="2"/>
        <scheme val="minor"/>
      </rPr>
      <t xml:space="preserve">Masters -&gt; Shipment Status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</si>
  <si>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Shipment Status </t>
    </r>
    <r>
      <rPr>
        <sz val="11"/>
        <color theme="1"/>
        <rFont val="Calibri"/>
        <family val="2"/>
        <scheme val="minor"/>
      </rPr>
      <t>Page is opening properly.</t>
    </r>
  </si>
  <si>
    <r>
      <rPr>
        <b/>
        <sz val="10"/>
        <color rgb="FF444746"/>
        <rFont val="Segoe UI"/>
        <family val="2"/>
      </rPr>
      <t>Google Chrome</t>
    </r>
    <r>
      <rPr>
        <sz val="10"/>
        <color rgb="FF444746"/>
        <rFont val="Segoe UI"/>
        <family val="2"/>
      </rPr>
      <t xml:space="preserve"> - Version 143.0.7499.170 (Official Build) (64-bit)
</t>
    </r>
    <r>
      <rPr>
        <b/>
        <sz val="10"/>
        <color rgb="FF444746"/>
        <rFont val="Segoe UI"/>
        <family val="2"/>
      </rPr>
      <t>Microsoft Edge -</t>
    </r>
    <r>
      <rPr>
        <sz val="10"/>
        <color rgb="FF444746"/>
        <rFont val="Segoe UI"/>
        <family val="2"/>
      </rPr>
      <t xml:space="preserve"> Version 143.0.3650.96 (Official build) (64-bit)</t>
    </r>
  </si>
  <si>
    <t>Shipment_Status_02</t>
  </si>
  <si>
    <r>
      <t xml:space="preserve">Validate the functionality of the </t>
    </r>
    <r>
      <rPr>
        <b/>
        <sz val="11"/>
        <color theme="1"/>
        <rFont val="Calibri"/>
        <family val="2"/>
        <scheme val="minor"/>
      </rPr>
      <t>Status Name</t>
    </r>
    <r>
      <rPr>
        <sz val="11"/>
        <color theme="1"/>
        <rFont val="Calibri"/>
        <family val="2"/>
        <scheme val="minor"/>
      </rPr>
      <t xml:space="preserve"> textbox in the </t>
    </r>
    <r>
      <rPr>
        <b/>
        <sz val="11"/>
        <color theme="1"/>
        <rFont val="Calibri"/>
        <family val="2"/>
        <scheme val="minor"/>
      </rPr>
      <t xml:space="preserve">Status </t>
    </r>
    <r>
      <rPr>
        <sz val="11"/>
        <color theme="1"/>
        <rFont val="Calibri"/>
        <family val="2"/>
        <scheme val="minor"/>
      </rPr>
      <t xml:space="preserve">tab of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</si>
  <si>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Enter Valid &amp; Invalid Data in </t>
    </r>
    <r>
      <rPr>
        <b/>
        <sz val="11"/>
        <color theme="1"/>
        <rFont val="Calibri"/>
        <family val="2"/>
        <scheme val="minor"/>
      </rPr>
      <t xml:space="preserve">Status 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</si>
  <si>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Status Name
</t>
    </r>
    <r>
      <rPr>
        <b/>
        <sz val="11"/>
        <color theme="1"/>
        <rFont val="Calibri"/>
        <family val="2"/>
        <scheme val="minor"/>
      </rPr>
      <t xml:space="preserve"> Valid Data: </t>
    </r>
    <r>
      <rPr>
        <sz val="11"/>
        <color theme="1"/>
        <rFont val="Calibri"/>
        <family val="2"/>
        <scheme val="minor"/>
      </rPr>
      <t xml:space="preserve">Alphanumeric Value with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</si>
  <si>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
    </r>
    <r>
      <rPr>
        <b/>
        <sz val="11"/>
        <color theme="1"/>
        <rFont val="Calibri"/>
        <family val="2"/>
        <scheme val="minor"/>
      </rPr>
      <t>Status Name</t>
    </r>
    <r>
      <rPr>
        <sz val="11"/>
        <color theme="1"/>
        <rFont val="Calibri"/>
        <family val="2"/>
        <scheme val="minor"/>
      </rPr>
      <t xml:space="preserve"> textbox should accept alphanumeric values.
2. </t>
    </r>
    <r>
      <rPr>
        <b/>
        <sz val="11"/>
        <color theme="1"/>
        <rFont val="Calibri"/>
        <family val="2"/>
        <scheme val="minor"/>
      </rPr>
      <t>Status Name</t>
    </r>
    <r>
      <rPr>
        <sz val="11"/>
        <color theme="1"/>
        <rFont val="Calibri"/>
        <family val="2"/>
        <scheme val="minor"/>
      </rPr>
      <t xml:space="preserve"> textbox should not accept special character value, only space value and combination of character value.
2. The textbox length should be limited to 50 characters.</t>
    </r>
  </si>
  <si>
    <r>
      <t xml:space="preserve">1. The </t>
    </r>
    <r>
      <rPr>
        <b/>
        <sz val="11"/>
        <color theme="1"/>
        <rFont val="Calibri"/>
        <family val="2"/>
        <scheme val="minor"/>
      </rPr>
      <t>Status Name</t>
    </r>
    <r>
      <rPr>
        <sz val="11"/>
        <color theme="1"/>
        <rFont val="Calibri"/>
        <family val="2"/>
        <scheme val="minor"/>
      </rPr>
      <t xml:space="preserve"> textbox accepts:
 -&gt; Alphabetic values
 -&gt; Numeric values
 -&gt; Special character values
2. The 250-character limit is implemented correctly.
</t>
    </r>
    <r>
      <rPr>
        <b/>
        <sz val="11"/>
        <color theme="1"/>
        <rFont val="Calibri"/>
        <family val="2"/>
        <scheme val="minor"/>
      </rPr>
      <t>Note: As per business Rule,  Status Name textbox should accept alphanumeric value and following special characters: Dot (.), Comma (,), Percentage (%), Ampersand (&amp;), Hyphen (-),  Underscore (_), Forward slash (/), Backward slash (\), Colon (:)</t>
    </r>
  </si>
  <si>
    <t>Shipment_Status_03</t>
  </si>
  <si>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Status Level
</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Only Special character, Alphabetic character only and combination of character.</t>
    </r>
  </si>
  <si>
    <r>
      <t xml:space="preserve">Validate the functionality of the </t>
    </r>
    <r>
      <rPr>
        <b/>
        <sz val="11"/>
        <color theme="1"/>
        <rFont val="Calibri"/>
        <family val="2"/>
        <scheme val="minor"/>
      </rPr>
      <t xml:space="preserve">Status Level </t>
    </r>
    <r>
      <rPr>
        <sz val="11"/>
        <color theme="1"/>
        <rFont val="Calibri"/>
        <family val="2"/>
        <scheme val="minor"/>
      </rPr>
      <t xml:space="preserve">textbox in the Status tab of the </t>
    </r>
    <r>
      <rPr>
        <b/>
        <sz val="11"/>
        <color theme="1"/>
        <rFont val="Calibri"/>
        <family val="2"/>
        <scheme val="minor"/>
      </rPr>
      <t>Shipment Status</t>
    </r>
    <r>
      <rPr>
        <sz val="11"/>
        <color theme="1"/>
        <rFont val="Calibri"/>
        <family val="2"/>
        <scheme val="minor"/>
      </rPr>
      <t xml:space="preserve"> page.</t>
    </r>
  </si>
  <si>
    <r>
      <t xml:space="preserve">1. </t>
    </r>
    <r>
      <rPr>
        <b/>
        <sz val="11"/>
        <color theme="1"/>
        <rFont val="Calibri"/>
        <family val="2"/>
        <scheme val="minor"/>
      </rPr>
      <t xml:space="preserve">Status Level </t>
    </r>
    <r>
      <rPr>
        <sz val="11"/>
        <color theme="1"/>
        <rFont val="Calibri"/>
        <family val="2"/>
        <scheme val="minor"/>
      </rPr>
      <t xml:space="preserve">textbox should accept numeric values only
2. Alphabetic, special characters, spaces, and alphanumeric values should not be accepted, including via copy-paste
3. Textbox length should be limited to 10 characters
4. On entering invalid input and clicking Save, system should display a user-friendly validation message:
</t>
    </r>
    <r>
      <rPr>
        <b/>
        <sz val="11"/>
        <color theme="1"/>
        <rFont val="Calibri"/>
        <family val="2"/>
        <scheme val="minor"/>
      </rPr>
      <t>“Please enter valid Status Level”</t>
    </r>
  </si>
  <si>
    <t>Shipment_Status_04</t>
  </si>
  <si>
    <r>
      <t xml:space="preserve">Validate the functionality of the </t>
    </r>
    <r>
      <rPr>
        <b/>
        <sz val="11"/>
        <color theme="1"/>
        <rFont val="Calibri"/>
        <family val="2"/>
        <scheme val="minor"/>
      </rPr>
      <t xml:space="preserve">Status Days </t>
    </r>
    <r>
      <rPr>
        <sz val="11"/>
        <color theme="1"/>
        <rFont val="Calibri"/>
        <family val="2"/>
        <scheme val="minor"/>
      </rPr>
      <t xml:space="preserve">textbox in the Status tab of the </t>
    </r>
    <r>
      <rPr>
        <b/>
        <sz val="11"/>
        <color theme="1"/>
        <rFont val="Calibri"/>
        <family val="2"/>
        <scheme val="minor"/>
      </rPr>
      <t>Shipment Status</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</si>
  <si>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Status Days
</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Only Special character, Alphabetic character only and combination of character.</t>
    </r>
  </si>
  <si>
    <r>
      <t xml:space="preserve">1. The functionality is not working as expected.
2. </t>
    </r>
    <r>
      <rPr>
        <b/>
        <sz val="11"/>
        <color theme="1"/>
        <rFont val="Calibri"/>
        <family val="2"/>
        <scheme val="minor"/>
      </rPr>
      <t>Status Level</t>
    </r>
    <r>
      <rPr>
        <sz val="11"/>
        <color theme="1"/>
        <rFont val="Calibri"/>
        <family val="2"/>
        <scheme val="minor"/>
      </rPr>
      <t xml:space="preserve"> textbox accepts </t>
    </r>
    <r>
      <rPr>
        <b/>
        <sz val="11"/>
        <color theme="1"/>
        <rFont val="Calibri"/>
        <family val="2"/>
        <scheme val="minor"/>
      </rPr>
      <t>numeric values</t>
    </r>
    <r>
      <rPr>
        <sz val="11"/>
        <color theme="1"/>
        <rFont val="Calibri"/>
        <family val="2"/>
        <scheme val="minor"/>
      </rPr>
      <t xml:space="preserve"> only when entered manually.
3. The textbox does not accept invalid values through typing; however, users can copy and paste invalid data such as alphabetic or special characters.
4. When saving the record with invalid data, a validation message is displayed, but it is not user-friendly.
</t>
    </r>
    <r>
      <rPr>
        <b/>
        <sz val="11"/>
        <color theme="1"/>
        <rFont val="Calibri"/>
        <family val="2"/>
        <scheme val="minor"/>
      </rPr>
      <t>Current Message -&gt;</t>
    </r>
    <r>
      <rPr>
        <sz val="11"/>
        <color theme="1"/>
        <rFont val="Calibri"/>
        <family val="2"/>
        <scheme val="minor"/>
      </rPr>
      <t xml:space="preserve"> Property Name : MasterAlert : Property Name : StatusLevel :
Input string was not in a correct format.
</t>
    </r>
    <r>
      <rPr>
        <b/>
        <sz val="11"/>
        <color theme="1"/>
        <rFont val="Calibri"/>
        <family val="2"/>
        <scheme val="minor"/>
      </rPr>
      <t xml:space="preserve">Expected Message -&gt; </t>
    </r>
    <r>
      <rPr>
        <sz val="11"/>
        <color theme="1"/>
        <rFont val="Calibri"/>
        <family val="2"/>
        <scheme val="minor"/>
      </rPr>
      <t>Please enter valid Status Level
5. The textbox accepts only 9 characters instead of the expected 10 characters.</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</si>
  <si>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Enter valid and invalid data in the </t>
    </r>
    <r>
      <rPr>
        <b/>
        <sz val="11"/>
        <color theme="1"/>
        <rFont val="Calibri"/>
        <family val="2"/>
        <scheme val="minor"/>
      </rPr>
      <t>Status Level</t>
    </r>
    <r>
      <rPr>
        <sz val="11"/>
        <color theme="1"/>
        <rFont val="Calibri"/>
        <family val="2"/>
        <scheme val="minor"/>
      </rPr>
      <t xml:space="preserve"> textbox
5. Click </t>
    </r>
    <r>
      <rPr>
        <b/>
        <sz val="11"/>
        <color theme="1"/>
        <rFont val="Calibri"/>
        <family val="2"/>
        <scheme val="minor"/>
      </rPr>
      <t>Save</t>
    </r>
    <r>
      <rPr>
        <sz val="11"/>
        <color theme="1"/>
        <rFont val="Calibri"/>
        <family val="2"/>
        <scheme val="minor"/>
      </rPr>
      <t xml:space="preserve"> and observe system behavior.</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</si>
  <si>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Enter valid and invalid data in the </t>
    </r>
    <r>
      <rPr>
        <b/>
        <sz val="11"/>
        <color theme="1"/>
        <rFont val="Calibri"/>
        <family val="2"/>
        <scheme val="minor"/>
      </rPr>
      <t>Status Days</t>
    </r>
    <r>
      <rPr>
        <sz val="11"/>
        <color theme="1"/>
        <rFont val="Calibri"/>
        <family val="2"/>
        <scheme val="minor"/>
      </rPr>
      <t xml:space="preserve"> textbox
5. Click Save and observe system behavior</t>
    </r>
  </si>
  <si>
    <r>
      <t xml:space="preserve">1. </t>
    </r>
    <r>
      <rPr>
        <b/>
        <sz val="11"/>
        <color theme="1"/>
        <rFont val="Calibri"/>
        <family val="2"/>
        <scheme val="minor"/>
      </rPr>
      <t xml:space="preserve">Status Days </t>
    </r>
    <r>
      <rPr>
        <sz val="11"/>
        <color theme="1"/>
        <rFont val="Calibri"/>
        <family val="2"/>
        <scheme val="minor"/>
      </rPr>
      <t xml:space="preserve">textbox should accept numeric values only
2. Alphabetic, special characters, spaces, and alphanumeric values should not be accepted, including via copy-paste
3. Textbox length should be limited to 10 characters
4. On entering invalid input and clicking Save, the system should display a user-friendly validation message:
</t>
    </r>
    <r>
      <rPr>
        <b/>
        <sz val="11"/>
        <color theme="1"/>
        <rFont val="Calibri"/>
        <family val="2"/>
        <scheme val="minor"/>
      </rPr>
      <t>“Please enter valid Status Days”</t>
    </r>
  </si>
  <si>
    <t>1. The functionality is not working as expected.
2. The Status Days textbox accepts numeric values only when entered manually.
3. The textbox does not accept invalid values through typing; however, users can copy and paste invalid data such as alphabetic or special characters.
4. When saving the record with invalid pasted data, the record is saved successfully without validation.
5. The textbox accepts up to 10 characters.</t>
  </si>
  <si>
    <t>Shipment_Status_05</t>
  </si>
  <si>
    <t>SL No.</t>
  </si>
  <si>
    <t>MODULES</t>
  </si>
  <si>
    <t>SUB-MODULES</t>
  </si>
  <si>
    <t>TOTAL TC</t>
  </si>
  <si>
    <t>COUNT PASS TC</t>
  </si>
  <si>
    <t>COUNT FAIL TC</t>
  </si>
  <si>
    <t>COUNT HOLD</t>
  </si>
  <si>
    <t>COUNT LOGED IN JIRA</t>
  </si>
  <si>
    <t>COUNT BUG FIXED</t>
  </si>
  <si>
    <t>TESTER Name</t>
  </si>
  <si>
    <t>START DATE</t>
  </si>
  <si>
    <t>END DATE</t>
  </si>
  <si>
    <t>STATUS</t>
  </si>
  <si>
    <t>REMARKS</t>
  </si>
  <si>
    <t>REFERENCE SHEET NAME</t>
  </si>
  <si>
    <t>FILE HYPERLINK NAME</t>
  </si>
  <si>
    <t>REVIEWED BY</t>
  </si>
  <si>
    <t>REVIEWED DATE</t>
  </si>
  <si>
    <t>Shivam Singh</t>
  </si>
  <si>
    <t>Sudhir kumar sinha</t>
  </si>
  <si>
    <r>
      <t xml:space="preserve">Validate the functionality of the </t>
    </r>
    <r>
      <rPr>
        <b/>
        <sz val="11"/>
        <color theme="1"/>
        <rFont val="Calibri"/>
        <family val="2"/>
        <scheme val="minor"/>
      </rPr>
      <t xml:space="preserve">Status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Status tab of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</si>
  <si>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Try entering manual values in the </t>
    </r>
    <r>
      <rPr>
        <b/>
        <sz val="11"/>
        <color theme="1"/>
        <rFont val="Calibri"/>
        <family val="2"/>
        <scheme val="minor"/>
      </rPr>
      <t xml:space="preserve">Status </t>
    </r>
    <r>
      <rPr>
        <sz val="11"/>
        <color theme="1"/>
        <rFont val="Calibri"/>
        <family val="2"/>
        <scheme val="minor"/>
      </rPr>
      <t xml:space="preserve">textbox.
5. Select a valid value from the </t>
    </r>
    <r>
      <rPr>
        <b/>
        <sz val="11"/>
        <color theme="1"/>
        <rFont val="Calibri"/>
        <family val="2"/>
        <scheme val="minor"/>
      </rPr>
      <t xml:space="preserve">Status </t>
    </r>
    <r>
      <rPr>
        <sz val="11"/>
        <color theme="1"/>
        <rFont val="Calibri"/>
        <family val="2"/>
        <scheme val="minor"/>
      </rPr>
      <t>dropdown.</t>
    </r>
  </si>
  <si>
    <r>
      <t xml:space="preserve">Textbox - </t>
    </r>
    <r>
      <rPr>
        <b/>
        <sz val="11"/>
        <color theme="1"/>
        <rFont val="Calibri"/>
        <family val="2"/>
        <scheme val="minor"/>
      </rPr>
      <t>Status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Enable
-&gt; Disable</t>
    </r>
  </si>
  <si>
    <r>
      <t xml:space="preserve">1. Manual input should not be allowed in the </t>
    </r>
    <r>
      <rPr>
        <b/>
        <sz val="11"/>
        <color theme="1"/>
        <rFont val="Calibri"/>
        <family val="2"/>
        <scheme val="minor"/>
      </rPr>
      <t>Status</t>
    </r>
    <r>
      <rPr>
        <sz val="11"/>
        <color theme="1"/>
        <rFont val="Calibri"/>
        <family val="2"/>
        <scheme val="minor"/>
      </rPr>
      <t xml:space="preserve"> field.
2. User should be able to select</t>
    </r>
    <r>
      <rPr>
        <b/>
        <sz val="11"/>
        <color theme="1"/>
        <rFont val="Calibri"/>
        <family val="2"/>
        <scheme val="minor"/>
      </rPr>
      <t xml:space="preserve"> Status</t>
    </r>
    <r>
      <rPr>
        <sz val="11"/>
        <color theme="1"/>
        <rFont val="Calibri"/>
        <family val="2"/>
        <scheme val="minor"/>
      </rPr>
      <t xml:space="preserve"> only from the dropdown.
</t>
    </r>
  </si>
  <si>
    <t>Shipment_Status_06</t>
  </si>
  <si>
    <r>
      <t xml:space="preserve">Validate the functionality of the </t>
    </r>
    <r>
      <rPr>
        <b/>
        <sz val="11"/>
        <color theme="1"/>
        <rFont val="Calibri"/>
        <family val="2"/>
        <scheme val="minor"/>
      </rPr>
      <t xml:space="preserve">Status For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Status tab of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</si>
  <si>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Try entering manual values in the </t>
    </r>
    <r>
      <rPr>
        <b/>
        <sz val="11"/>
        <color theme="1"/>
        <rFont val="Calibri"/>
        <family val="2"/>
        <scheme val="minor"/>
      </rPr>
      <t xml:space="preserve">Status For </t>
    </r>
    <r>
      <rPr>
        <sz val="11"/>
        <color theme="1"/>
        <rFont val="Calibri"/>
        <family val="2"/>
        <scheme val="minor"/>
      </rPr>
      <t xml:space="preserve">textbox.
5. Select a valid value from the </t>
    </r>
    <r>
      <rPr>
        <b/>
        <sz val="11"/>
        <color theme="1"/>
        <rFont val="Calibri"/>
        <family val="2"/>
        <scheme val="minor"/>
      </rPr>
      <t xml:space="preserve">Status For </t>
    </r>
    <r>
      <rPr>
        <sz val="11"/>
        <color theme="1"/>
        <rFont val="Calibri"/>
        <family val="2"/>
        <scheme val="minor"/>
      </rPr>
      <t>dropdown.</t>
    </r>
  </si>
  <si>
    <r>
      <t xml:space="preserve">Textbox - </t>
    </r>
    <r>
      <rPr>
        <b/>
        <sz val="11"/>
        <color theme="1"/>
        <rFont val="Calibri"/>
        <family val="2"/>
        <scheme val="minor"/>
      </rPr>
      <t>Status For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Custom Clearance
-&gt; Frieght Farwarding</t>
    </r>
  </si>
  <si>
    <r>
      <t xml:space="preserve">1. Manual input should not be allowed in the </t>
    </r>
    <r>
      <rPr>
        <b/>
        <sz val="11"/>
        <color theme="1"/>
        <rFont val="Calibri"/>
        <family val="2"/>
        <scheme val="minor"/>
      </rPr>
      <t>Status</t>
    </r>
    <r>
      <rPr>
        <sz val="11"/>
        <color theme="1"/>
        <rFont val="Calibri"/>
        <family val="2"/>
        <scheme val="minor"/>
      </rPr>
      <t xml:space="preserve"> </t>
    </r>
    <r>
      <rPr>
        <b/>
        <sz val="11"/>
        <color theme="1"/>
        <rFont val="Calibri"/>
        <family val="2"/>
        <scheme val="minor"/>
      </rPr>
      <t>For</t>
    </r>
    <r>
      <rPr>
        <sz val="11"/>
        <color theme="1"/>
        <rFont val="Calibri"/>
        <family val="2"/>
        <scheme val="minor"/>
      </rPr>
      <t xml:space="preserve"> field.
2. User should be able to select</t>
    </r>
    <r>
      <rPr>
        <b/>
        <sz val="11"/>
        <color theme="1"/>
        <rFont val="Calibri"/>
        <family val="2"/>
        <scheme val="minor"/>
      </rPr>
      <t xml:space="preserve"> Status For</t>
    </r>
    <r>
      <rPr>
        <sz val="11"/>
        <color theme="1"/>
        <rFont val="Calibri"/>
        <family val="2"/>
        <scheme val="minor"/>
      </rPr>
      <t xml:space="preserve"> only from the dropdown.
</t>
    </r>
  </si>
  <si>
    <r>
      <t xml:space="preserve">1. Manual input is not allowed in the </t>
    </r>
    <r>
      <rPr>
        <b/>
        <sz val="11"/>
        <color theme="1"/>
        <rFont val="Calibri"/>
        <family val="2"/>
        <scheme val="minor"/>
      </rPr>
      <t>Status For</t>
    </r>
    <r>
      <rPr>
        <sz val="11"/>
        <color theme="1"/>
        <rFont val="Calibri"/>
        <family val="2"/>
        <scheme val="minor"/>
      </rPr>
      <t xml:space="preserve"> field.
2. </t>
    </r>
    <r>
      <rPr>
        <b/>
        <sz val="11"/>
        <color theme="1"/>
        <rFont val="Calibri"/>
        <family val="2"/>
        <scheme val="minor"/>
      </rPr>
      <t>Status For</t>
    </r>
    <r>
      <rPr>
        <sz val="11"/>
        <color theme="1"/>
        <rFont val="Calibri"/>
        <family val="2"/>
        <scheme val="minor"/>
      </rPr>
      <t xml:space="preserve"> value can be selected only from the dropdown.
</t>
    </r>
  </si>
  <si>
    <t>Shipment_Status_07</t>
  </si>
  <si>
    <r>
      <t xml:space="preserve">Validate the functionality of the </t>
    </r>
    <r>
      <rPr>
        <b/>
        <sz val="11"/>
        <color theme="1"/>
        <rFont val="Calibri"/>
        <family val="2"/>
        <scheme val="minor"/>
      </rPr>
      <t xml:space="preserve">Active For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Status tab of the </t>
    </r>
    <r>
      <rPr>
        <b/>
        <sz val="11"/>
        <color theme="1"/>
        <rFont val="Calibri"/>
        <family val="2"/>
        <scheme val="minor"/>
      </rPr>
      <t>Shipment Status</t>
    </r>
    <r>
      <rPr>
        <sz val="11"/>
        <color theme="1"/>
        <rFont val="Calibri"/>
        <family val="2"/>
        <scheme val="minor"/>
      </rPr>
      <t xml:space="preserve"> page.</t>
    </r>
  </si>
  <si>
    <r>
      <t xml:space="preserve">Textbox - </t>
    </r>
    <r>
      <rPr>
        <b/>
        <sz val="11"/>
        <color theme="1"/>
        <rFont val="Calibri"/>
        <family val="2"/>
        <scheme val="minor"/>
      </rPr>
      <t>Active For
Dropdown Values:</t>
    </r>
    <r>
      <rPr>
        <sz val="11"/>
        <color theme="1"/>
        <rFont val="Calibri"/>
        <family val="2"/>
        <scheme val="minor"/>
      </rPr>
      <t xml:space="preserve">
 -&gt; Company
 -&gt; Branch
 -&gt; Division</t>
    </r>
  </si>
  <si>
    <t>Placeholder text is not coming in any textbox on the CFS Master Page.
Note: Not Required</t>
  </si>
  <si>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Try entering manual values in the </t>
    </r>
    <r>
      <rPr>
        <b/>
        <sz val="11"/>
        <color theme="1"/>
        <rFont val="Calibri"/>
        <family val="2"/>
        <scheme val="minor"/>
      </rPr>
      <t xml:space="preserve">Active For </t>
    </r>
    <r>
      <rPr>
        <sz val="11"/>
        <color theme="1"/>
        <rFont val="Calibri"/>
        <family val="2"/>
        <scheme val="minor"/>
      </rPr>
      <t xml:space="preserve">textbox.
5. Select a dropdown value from the </t>
    </r>
    <r>
      <rPr>
        <b/>
        <sz val="11"/>
        <color theme="1"/>
        <rFont val="Calibri"/>
        <family val="2"/>
        <scheme val="minor"/>
      </rPr>
      <t xml:space="preserve">Active For </t>
    </r>
    <r>
      <rPr>
        <sz val="11"/>
        <color theme="1"/>
        <rFont val="Calibri"/>
        <family val="2"/>
        <scheme val="minor"/>
      </rPr>
      <t>dropdown and observe the system behaviour.</t>
    </r>
  </si>
  <si>
    <r>
      <t xml:space="preserve">1. Manual input should NOT be allowed in the </t>
    </r>
    <r>
      <rPr>
        <b/>
        <sz val="11"/>
        <color theme="1"/>
        <rFont val="Calibri"/>
        <family val="2"/>
        <scheme val="minor"/>
      </rPr>
      <t xml:space="preserve">Active For </t>
    </r>
    <r>
      <rPr>
        <sz val="11"/>
        <color theme="1"/>
        <rFont val="Calibri"/>
        <family val="2"/>
        <scheme val="minor"/>
      </rPr>
      <t xml:space="preserve">field.
2. User should be able to select </t>
    </r>
    <r>
      <rPr>
        <b/>
        <sz val="11"/>
        <color theme="1"/>
        <rFont val="Calibri"/>
        <family val="2"/>
        <scheme val="minor"/>
      </rPr>
      <t xml:space="preserve">Active For </t>
    </r>
    <r>
      <rPr>
        <sz val="11"/>
        <color theme="1"/>
        <rFont val="Calibri"/>
        <family val="2"/>
        <scheme val="minor"/>
      </rPr>
      <t xml:space="preserve">values only from the dropdown.
3. On selecting a value from the </t>
    </r>
    <r>
      <rPr>
        <b/>
        <sz val="11"/>
        <color theme="1"/>
        <rFont val="Calibri"/>
        <family val="2"/>
        <scheme val="minor"/>
      </rPr>
      <t xml:space="preserve">Active For </t>
    </r>
    <r>
      <rPr>
        <sz val="11"/>
        <color theme="1"/>
        <rFont val="Calibri"/>
        <family val="2"/>
        <scheme val="minor"/>
      </rPr>
      <t xml:space="preserve">dropdown, the corresponding sub-dropdown should be displayed below it.
</t>
    </r>
    <r>
      <rPr>
        <b/>
        <sz val="11"/>
        <color theme="1"/>
        <rFont val="Calibri"/>
        <family val="2"/>
        <scheme val="minor"/>
      </rPr>
      <t>When Active For = Branch</t>
    </r>
    <r>
      <rPr>
        <sz val="11"/>
        <color theme="1"/>
        <rFont val="Calibri"/>
        <family val="2"/>
        <scheme val="minor"/>
      </rPr>
      <t xml:space="preserve">
 -&gt; Branch sub-dropdown should be displayed. Both values should be Selectable and De-selectable.
 -&gt; Mumbai
 -&gt; Ahmedabad
</t>
    </r>
    <r>
      <rPr>
        <b/>
        <sz val="11"/>
        <color theme="1"/>
        <rFont val="Calibri"/>
        <family val="2"/>
        <scheme val="minor"/>
      </rPr>
      <t>When Active For = Division</t>
    </r>
    <r>
      <rPr>
        <sz val="11"/>
        <color theme="1"/>
        <rFont val="Calibri"/>
        <family val="2"/>
        <scheme val="minor"/>
      </rPr>
      <t xml:space="preserve">
 -&gt; Division sub-dropdown should be displayed. All division values should be selectable and de-selectable, Division Sub-Dropdown Values:
 -&gt; Ahmedabad – Export Air
 -&gt; Ahmedabad – Export Sea
 -&gt; Ahmedabad – Import Air
 -&gt; Ahmedabad – Import Sea
 -&gt; Mumbai – Export Air
 -&gt; Mumbai – Export Sea
 -&gt; Mumbai – Import Air
 -&gt; Mumbai – Import Sea</t>
    </r>
  </si>
  <si>
    <t>Shipment_Status_08</t>
  </si>
  <si>
    <r>
      <t xml:space="preserve">1. The </t>
    </r>
    <r>
      <rPr>
        <b/>
        <sz val="11"/>
        <color theme="1"/>
        <rFont val="Calibri"/>
        <family val="2"/>
        <scheme val="minor"/>
      </rPr>
      <t>Active For</t>
    </r>
    <r>
      <rPr>
        <sz val="11"/>
        <color theme="1"/>
        <rFont val="Calibri"/>
        <family val="2"/>
        <scheme val="minor"/>
      </rPr>
      <t xml:space="preserve"> field does not allow manual input and accepts values only from the dropdown.
2. User is able to select </t>
    </r>
    <r>
      <rPr>
        <b/>
        <sz val="11"/>
        <color theme="1"/>
        <rFont val="Calibri"/>
        <family val="2"/>
        <scheme val="minor"/>
      </rPr>
      <t>Company</t>
    </r>
    <r>
      <rPr>
        <sz val="11"/>
        <color theme="1"/>
        <rFont val="Calibri"/>
        <family val="2"/>
        <scheme val="minor"/>
      </rPr>
      <t xml:space="preserve">, </t>
    </r>
    <r>
      <rPr>
        <b/>
        <sz val="11"/>
        <color theme="1"/>
        <rFont val="Calibri"/>
        <family val="2"/>
        <scheme val="minor"/>
      </rPr>
      <t xml:space="preserve">Branch </t>
    </r>
    <r>
      <rPr>
        <sz val="11"/>
        <color theme="1"/>
        <rFont val="Calibri"/>
        <family val="2"/>
        <scheme val="minor"/>
      </rPr>
      <t xml:space="preserve">and </t>
    </r>
    <r>
      <rPr>
        <b/>
        <sz val="11"/>
        <color theme="1"/>
        <rFont val="Calibri"/>
        <family val="2"/>
        <scheme val="minor"/>
      </rPr>
      <t xml:space="preserve">Division </t>
    </r>
    <r>
      <rPr>
        <sz val="11"/>
        <color theme="1"/>
        <rFont val="Calibri"/>
        <family val="2"/>
        <scheme val="minor"/>
      </rPr>
      <t xml:space="preserve">from the Active For dropdown.
3. On selecting Branch, the Branch sub-dropdown is displayed with Mumbai and Ahmedabad, and both values are selectable and de-selectable.
4. On selecting </t>
    </r>
    <r>
      <rPr>
        <b/>
        <sz val="11"/>
        <color theme="1"/>
        <rFont val="Calibri"/>
        <family val="2"/>
        <scheme val="minor"/>
      </rPr>
      <t>Division</t>
    </r>
    <r>
      <rPr>
        <sz val="11"/>
        <color theme="1"/>
        <rFont val="Calibri"/>
        <family val="2"/>
        <scheme val="minor"/>
      </rPr>
      <t>, the Division sub-dropdown is displayed with all expected division values, and all options are selectable and de-selectable.</t>
    </r>
  </si>
  <si>
    <t>BUG FIXED BY</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</si>
  <si>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</si>
  <si>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Enter valid data in all fields on the </t>
    </r>
    <r>
      <rPr>
        <b/>
        <sz val="11"/>
        <color theme="1"/>
        <rFont val="Calibri"/>
        <family val="2"/>
        <scheme val="minor"/>
      </rPr>
      <t>Shipment Status</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</si>
  <si>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r>
      <t>1. System should save the record successfully.
2. A confirmation message should be displayed (e.g., “</t>
    </r>
    <r>
      <rPr>
        <b/>
        <sz val="11"/>
        <color theme="1"/>
        <rFont val="Calibri"/>
        <family val="2"/>
        <scheme val="minor"/>
      </rPr>
      <t>Record saved successfully</t>
    </r>
    <r>
      <rPr>
        <sz val="11"/>
        <color theme="1"/>
        <rFont val="Calibri"/>
        <family val="2"/>
        <scheme val="minor"/>
      </rPr>
      <t xml:space="preserve">”).
3. The saved record should be listed in Status Details section.
4. The newly saved record should be searchable and selectable from the search section.
</t>
    </r>
  </si>
  <si>
    <r>
      <t xml:space="preserve">1. Record is saved successfully.
2. Confirmation message is displayed.
3. For certain data combinations, the saved record does not appear in the search results.
Observation
</t>
    </r>
    <r>
      <rPr>
        <b/>
        <sz val="11"/>
        <color theme="1"/>
        <rFont val="Calibri"/>
        <family val="2"/>
        <scheme val="minor"/>
      </rPr>
      <t>Few data combination records are saved properly, but when searched, the records are not displayed.
 -&gt; Status: Enable / Disable
 -&gt; Status For: Custom Clearance, Freight Forwarding
 -&gt; Active For: Branch (Mumbai)</t>
    </r>
    <r>
      <rPr>
        <sz val="11"/>
        <color theme="1"/>
        <rFont val="Calibri"/>
        <family val="2"/>
        <scheme val="minor"/>
      </rPr>
      <t xml:space="preserve">
</t>
    </r>
  </si>
  <si>
    <t>This textbox will accpet only 3 character value, as some of 4 character value is coming in Autosuggest, which is wrongly updated by manually, that's why 4th characte value is not coming after saving the data.</t>
  </si>
  <si>
    <t>1. UAT Testing Enviroment 
(https://idp.icaffe.co.in/demoUAT/)</t>
  </si>
  <si>
    <t>1. The selected record do reflect correctly on the corresponding textboxes.
2. However, the Total Entry Count still displays as “1”, even though the Zone Master Detail Grid View Panel shows no records remaining.</t>
  </si>
  <si>
    <t>Shipment_Status_09</t>
  </si>
  <si>
    <r>
      <rPr>
        <b/>
        <sz val="11"/>
        <color theme="1"/>
        <rFont val="Calibri"/>
        <family val="2"/>
        <scheme val="minor"/>
      </rPr>
      <t xml:space="preserve">1. Mandatory Fields As Per Page UI:
 -&gt; </t>
    </r>
    <r>
      <rPr>
        <sz val="11"/>
        <color theme="1"/>
        <rFont val="Calibri"/>
        <family val="2"/>
        <scheme val="minor"/>
      </rPr>
      <t xml:space="preserve">Status Name
 -&gt; Status Level
 -&gt; Status Days
</t>
    </r>
    <r>
      <rPr>
        <b/>
        <sz val="11"/>
        <color theme="1"/>
        <rFont val="Calibri"/>
        <family val="2"/>
        <scheme val="minor"/>
      </rPr>
      <t/>
    </r>
  </si>
  <si>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Mandatory fields</t>
    </r>
    <r>
      <rPr>
        <sz val="11"/>
        <color theme="1"/>
        <rFont val="Calibri"/>
        <family val="2"/>
        <scheme val="minor"/>
      </rPr>
      <t xml:space="preserve"> are filled and</t>
    </r>
    <r>
      <rPr>
        <b/>
        <sz val="11"/>
        <color theme="1"/>
        <rFont val="Calibri"/>
        <family val="2"/>
        <scheme val="minor"/>
      </rPr>
      <t xml:space="preserve"> Non-Mandatory</t>
    </r>
    <r>
      <rPr>
        <sz val="11"/>
        <color theme="1"/>
        <rFont val="Calibri"/>
        <family val="2"/>
        <scheme val="minor"/>
      </rPr>
      <t xml:space="preserve"> fields are left blank on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</si>
  <si>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4. Enter valid data in only Mandatory fields and leave all Non-Mandatory fields blank.
5. Click on the Save button.</t>
    </r>
  </si>
  <si>
    <t>1. System should save the record successfully.
2. A confirmation message should be displayed (e.g., “Record saved successfully”).
3. The saved record should be displayed in the Status Details section.
4. The newly saved record should be searchable and selectable from the Search section.</t>
  </si>
  <si>
    <t>1. Record is not saved when the Active For dropdown is left unselected.
2. The Active For dropdown is behaving as a mandatory field.
3. The Active For dropdown is treated as a mandatory field even though it is not defined as mandatory</t>
  </si>
  <si>
    <t>Shipment_Status_10</t>
  </si>
  <si>
    <r>
      <rPr>
        <b/>
        <sz val="11"/>
        <color theme="1"/>
        <rFont val="Calibri"/>
        <family val="2"/>
        <scheme val="minor"/>
      </rPr>
      <t xml:space="preserve">1. Non - Mandatory Fields As Per Page UI:
</t>
    </r>
    <r>
      <rPr>
        <sz val="11"/>
        <color theme="1"/>
        <rFont val="Calibri"/>
        <family val="2"/>
        <scheme val="minor"/>
      </rPr>
      <t xml:space="preserve"> -&gt; Status
 -&gt; Status For
 -&gt; Active For
</t>
    </r>
    <r>
      <rPr>
        <b/>
        <sz val="11"/>
        <color theme="1"/>
        <rFont val="Calibri"/>
        <family val="2"/>
        <scheme val="minor"/>
      </rPr>
      <t/>
    </r>
  </si>
  <si>
    <r>
      <t xml:space="preserve">Validate </t>
    </r>
    <r>
      <rPr>
        <b/>
        <sz val="11"/>
        <color theme="1"/>
        <rFont val="Calibri"/>
        <family val="2"/>
        <scheme val="minor"/>
      </rPr>
      <t>Save</t>
    </r>
    <r>
      <rPr>
        <sz val="11"/>
        <color theme="1"/>
        <rFont val="Calibri"/>
        <family val="2"/>
        <scheme val="minor"/>
      </rPr>
      <t xml:space="preserve"> button functionality when</t>
    </r>
    <r>
      <rPr>
        <b/>
        <sz val="11"/>
        <color theme="1"/>
        <rFont val="Calibri"/>
        <family val="2"/>
        <scheme val="minor"/>
      </rPr>
      <t xml:space="preserve"> only Non-Mandatory fields are filled </t>
    </r>
    <r>
      <rPr>
        <sz val="11"/>
        <color theme="1"/>
        <rFont val="Calibri"/>
        <family val="2"/>
        <scheme val="minor"/>
      </rPr>
      <t xml:space="preserve">and </t>
    </r>
    <r>
      <rPr>
        <b/>
        <sz val="11"/>
        <color theme="1"/>
        <rFont val="Calibri"/>
        <family val="2"/>
        <scheme val="minor"/>
      </rPr>
      <t>Mandatory fields are left blank</t>
    </r>
    <r>
      <rPr>
        <sz val="11"/>
        <color theme="1"/>
        <rFont val="Calibri"/>
        <family val="2"/>
        <scheme val="minor"/>
      </rPr>
      <t xml:space="preserve">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</si>
  <si>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Enter valid data in </t>
    </r>
    <r>
      <rPr>
        <b/>
        <sz val="11"/>
        <color theme="1"/>
        <rFont val="Calibri"/>
        <family val="2"/>
        <scheme val="minor"/>
      </rPr>
      <t>Non-Mandatory fields</t>
    </r>
    <r>
      <rPr>
        <sz val="11"/>
        <color theme="1"/>
        <rFont val="Calibri"/>
        <family val="2"/>
        <scheme val="minor"/>
      </rPr>
      <t xml:space="preserve"> and leave </t>
    </r>
    <r>
      <rPr>
        <b/>
        <sz val="11"/>
        <color theme="1"/>
        <rFont val="Calibri"/>
        <family val="2"/>
        <scheme val="minor"/>
      </rPr>
      <t>all Mandatory fields blank</t>
    </r>
    <r>
      <rPr>
        <sz val="11"/>
        <color theme="1"/>
        <rFont val="Calibri"/>
        <family val="2"/>
        <scheme val="minor"/>
      </rPr>
      <t>.
5. Click the Save button and observe the system behavior.</t>
    </r>
  </si>
  <si>
    <r>
      <t xml:space="preserve">1. The record </t>
    </r>
    <r>
      <rPr>
        <b/>
        <sz val="11"/>
        <color theme="1"/>
        <rFont val="Calibri"/>
        <family val="2"/>
        <scheme val="minor"/>
      </rPr>
      <t>must not be saved</t>
    </r>
    <r>
      <rPr>
        <sz val="11"/>
        <color theme="1"/>
        <rFont val="Calibri"/>
        <family val="2"/>
        <scheme val="minor"/>
      </rPr>
      <t xml:space="preserve"> when mandatory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Status Details section.
 -&gt; Record should be searchable and selectable from the Search section.</t>
    </r>
  </si>
  <si>
    <r>
      <t>1. The record is not saved when only non-mandatory fields are filled. 
2. Mandatory field validation messages are displayed, but validation text does not match the</t>
    </r>
    <r>
      <rPr>
        <b/>
        <sz val="11"/>
        <color theme="1"/>
        <rFont val="Calibri"/>
        <family val="2"/>
        <scheme val="minor"/>
      </rPr>
      <t xml:space="preserve"> corresponding textbox labels:</t>
    </r>
    <r>
      <rPr>
        <sz val="11"/>
        <color theme="1"/>
        <rFont val="Calibri"/>
        <family val="2"/>
        <scheme val="minor"/>
      </rPr>
      <t xml:space="preserve">
 -&gt; </t>
    </r>
    <r>
      <rPr>
        <b/>
        <sz val="11"/>
        <color theme="1"/>
        <rFont val="Calibri"/>
        <family val="2"/>
        <scheme val="minor"/>
      </rPr>
      <t>Status Name:</t>
    </r>
    <r>
      <rPr>
        <sz val="11"/>
        <color theme="1"/>
        <rFont val="Calibri"/>
        <family val="2"/>
        <scheme val="minor"/>
      </rPr>
      <t xml:space="preserve">
Displayed: Please enter Alert Name.
Expected: Please enter Status Name.
</t>
    </r>
    <r>
      <rPr>
        <b/>
        <sz val="11"/>
        <color theme="1"/>
        <rFont val="Calibri"/>
        <family val="2"/>
        <scheme val="minor"/>
      </rPr>
      <t xml:space="preserve"> -&gt; Status Level:</t>
    </r>
    <r>
      <rPr>
        <sz val="11"/>
        <color theme="1"/>
        <rFont val="Calibri"/>
        <family val="2"/>
        <scheme val="minor"/>
      </rPr>
      <t xml:space="preserve">
Displayed: Please enter Alert Level.
Expected: Please enter Status Level.
</t>
    </r>
    <r>
      <rPr>
        <b/>
        <sz val="11"/>
        <color theme="1"/>
        <rFont val="Calibri"/>
        <family val="2"/>
        <scheme val="minor"/>
      </rPr>
      <t xml:space="preserve"> -&gt; Status Days:</t>
    </r>
    <r>
      <rPr>
        <sz val="11"/>
        <color theme="1"/>
        <rFont val="Calibri"/>
        <family val="2"/>
        <scheme val="minor"/>
      </rPr>
      <t xml:space="preserve">
Displayed: Please enter Alert Days.
Expected: Please enter Status Days.
3. After filling mandatory fields, the newly saved record is searchable and selectable from the Search section.</t>
    </r>
  </si>
  <si>
    <t>Shipment_Status_11</t>
  </si>
  <si>
    <r>
      <t xml:space="preserve">1. The record </t>
    </r>
    <r>
      <rPr>
        <b/>
        <sz val="11"/>
        <color theme="1"/>
        <rFont val="Calibri"/>
        <family val="2"/>
        <scheme val="minor"/>
      </rPr>
      <t>must not be saved</t>
    </r>
    <r>
      <rPr>
        <sz val="11"/>
        <color theme="1"/>
        <rFont val="Calibri"/>
        <family val="2"/>
        <scheme val="minor"/>
      </rPr>
      <t xml:space="preserve"> when all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Status Details section.
 -&gt; Record should be searchable and selectable from the Search section.</t>
    </r>
  </si>
  <si>
    <r>
      <t>Validate Save button functionality when</t>
    </r>
    <r>
      <rPr>
        <b/>
        <sz val="11"/>
        <color theme="1"/>
        <rFont val="Calibri"/>
        <family val="2"/>
        <scheme val="minor"/>
      </rPr>
      <t xml:space="preserve"> all Mandatory and Non-Mandatory fields are left blank</t>
    </r>
    <r>
      <rPr>
        <sz val="11"/>
        <color theme="1"/>
        <rFont val="Calibri"/>
        <family val="2"/>
        <scheme val="minor"/>
      </rPr>
      <t xml:space="preserve">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</si>
  <si>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4. Without entering any data in any field, click the Save button.
5. Observe the system behavior.</t>
    </r>
  </si>
  <si>
    <t>1. Save functionality works as expected.
2. The record is not saved until all mandatory fields are filled.</t>
  </si>
  <si>
    <t>Shipment_Status_12</t>
  </si>
  <si>
    <r>
      <t xml:space="preserve">Validate the functionality of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Shipment Status </t>
    </r>
    <r>
      <rPr>
        <sz val="11"/>
        <color theme="1"/>
        <rFont val="Calibri"/>
        <family val="2"/>
        <scheme val="minor"/>
      </rPr>
      <t>Page.</t>
    </r>
  </si>
  <si>
    <t>1. Select any existing record from the Status Details list.
2. Modify one or more fields with new valid data.</t>
  </si>
  <si>
    <r>
      <t xml:space="preserve">1. </t>
    </r>
    <r>
      <rPr>
        <b/>
        <sz val="11"/>
        <color theme="1"/>
        <rFont val="Calibri"/>
        <family val="2"/>
        <scheme val="minor"/>
      </rPr>
      <t>Modify</t>
    </r>
    <r>
      <rPr>
        <sz val="11"/>
        <color theme="1"/>
        <rFont val="Calibri"/>
        <family val="2"/>
        <scheme val="minor"/>
      </rPr>
      <t xml:space="preserve"> button should be enabled only when a record is selected and its data is loaded into the corresponding textboxes.
2. On clicking </t>
    </r>
    <r>
      <rPr>
        <b/>
        <sz val="11"/>
        <color theme="1"/>
        <rFont val="Calibri"/>
        <family val="2"/>
        <scheme val="minor"/>
      </rPr>
      <t>Modify</t>
    </r>
    <r>
      <rPr>
        <sz val="11"/>
        <color theme="1"/>
        <rFont val="Calibri"/>
        <family val="2"/>
        <scheme val="minor"/>
      </rPr>
      <t xml:space="preserve">, the record should be updated with the new values.
3. The updated record should reflect correctly in the Status Details list.
4. User should be able to </t>
    </r>
    <r>
      <rPr>
        <b/>
        <sz val="11"/>
        <color theme="1"/>
        <rFont val="Calibri"/>
        <family val="2"/>
        <scheme val="minor"/>
      </rPr>
      <t>modify</t>
    </r>
    <r>
      <rPr>
        <sz val="11"/>
        <color theme="1"/>
        <rFont val="Calibri"/>
        <family val="2"/>
        <scheme val="minor"/>
      </rPr>
      <t xml:space="preserve"> the same record multiple times.</t>
    </r>
  </si>
  <si>
    <t>Shipment_Status_13</t>
  </si>
  <si>
    <r>
      <t xml:space="preserve">Validate the functionality of </t>
    </r>
    <r>
      <rPr>
        <b/>
        <sz val="11"/>
        <color theme="1"/>
        <rFont val="Calibri"/>
        <family val="2"/>
        <scheme val="minor"/>
      </rPr>
      <t>Delete</t>
    </r>
    <r>
      <rPr>
        <sz val="11"/>
        <color theme="1"/>
        <rFont val="Calibri"/>
        <family val="2"/>
        <scheme val="minor"/>
      </rPr>
      <t xml:space="preserve"> button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</si>
  <si>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Select an existing record from the </t>
    </r>
    <r>
      <rPr>
        <b/>
        <sz val="11"/>
        <color theme="1"/>
        <rFont val="Calibri"/>
        <family val="2"/>
        <scheme val="minor"/>
      </rPr>
      <t>Status Details</t>
    </r>
    <r>
      <rPr>
        <sz val="11"/>
        <color theme="1"/>
        <rFont val="Calibri"/>
        <family val="2"/>
        <scheme val="minor"/>
      </rPr>
      <t xml:space="preserve"> list.
5. Modify one or more fields with valid new data.
6. Click on the Modify button.
7. Re-select the same record and verify updated values.</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</si>
  <si>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Select an existing record from the </t>
    </r>
    <r>
      <rPr>
        <b/>
        <sz val="11"/>
        <color theme="1"/>
        <rFont val="Calibri"/>
        <family val="2"/>
        <scheme val="minor"/>
      </rPr>
      <t>Status Details</t>
    </r>
    <r>
      <rPr>
        <sz val="11"/>
        <color theme="1"/>
        <rFont val="Calibri"/>
        <family val="2"/>
        <scheme val="minor"/>
      </rPr>
      <t xml:space="preserve"> list.
5. Verify that the corresponding record details are populated in the input fields.
6. Click on the Delete button and observe the system behavior.</t>
    </r>
  </si>
  <si>
    <t>1. Select any existing record from the Status Details list.</t>
  </si>
  <si>
    <r>
      <t>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t>
    </r>
    <r>
      <rPr>
        <b/>
        <sz val="11"/>
        <color theme="1"/>
        <rFont val="Calibri"/>
        <family val="2"/>
        <scheme val="minor"/>
      </rPr>
      <t>Status Details</t>
    </r>
    <r>
      <rPr>
        <sz val="11"/>
        <color theme="1"/>
        <rFont val="Calibri"/>
        <family val="2"/>
        <scheme val="minor"/>
      </rPr>
      <t xml:space="preserve"> list.
If the user selects No -The deletion process should be cancelled and the record should remain unchanged.</t>
    </r>
  </si>
  <si>
    <t xml:space="preserve">1. Functionality is not working as expected.
</t>
  </si>
  <si>
    <t>Shipment_Status_14</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</si>
  <si>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</si>
  <si>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4. Enter values in all or few input fields.
5. Click the Clear button and observe the system behavior.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</si>
  <si>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-&gt; All input fields should be cleared.
 -&gt; All dropdowns should reset to </t>
    </r>
    <r>
      <rPr>
        <b/>
        <sz val="11"/>
        <color theme="1"/>
        <rFont val="Calibri"/>
        <family val="2"/>
        <scheme val="minor"/>
      </rPr>
      <t>“Select”.</t>
    </r>
    <r>
      <rPr>
        <sz val="11"/>
        <color theme="1"/>
        <rFont val="Calibri"/>
        <family val="2"/>
        <scheme val="minor"/>
      </rPr>
      <t xml:space="preserve">
</t>
    </r>
    <r>
      <rPr>
        <b/>
        <sz val="11"/>
        <color theme="1"/>
        <rFont val="Calibri"/>
        <family val="2"/>
        <scheme val="minor"/>
      </rPr>
      <t>If the user clicks No:</t>
    </r>
    <r>
      <rPr>
        <sz val="11"/>
        <color theme="1"/>
        <rFont val="Calibri"/>
        <family val="2"/>
        <scheme val="minor"/>
      </rPr>
      <t xml:space="preserve">
 -&gt; All entered values should remain unchanged.
</t>
    </r>
    <r>
      <rPr>
        <b/>
        <sz val="11"/>
        <color theme="1"/>
        <rFont val="Calibri"/>
        <family val="2"/>
        <scheme val="minor"/>
      </rPr>
      <t/>
    </r>
  </si>
  <si>
    <r>
      <t xml:space="preserve">1. Functionality is working as Expected.
</t>
    </r>
    <r>
      <rPr>
        <sz val="11"/>
        <color theme="1"/>
        <rFont val="Calibri"/>
        <family val="2"/>
        <scheme val="minor"/>
      </rPr>
      <t xml:space="preserve">
Note -</t>
    </r>
    <r>
      <rPr>
        <b/>
        <sz val="11"/>
        <color theme="1"/>
        <rFont val="Calibri"/>
        <family val="2"/>
        <scheme val="minor"/>
      </rPr>
      <t xml:space="preserve"> The system is not asking for confirmation before clearing the page.</t>
    </r>
  </si>
  <si>
    <t>Shipment_Status_15</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</si>
  <si>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</si>
  <si>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4. Enter valid data in all required input fields.
5. Click on the Save button.
6. From the Status Details list, select the newly saved record.
7. Observe the value displayed in the Entered By textbox.</t>
    </r>
  </si>
  <si>
    <r>
      <t xml:space="preserve">1. </t>
    </r>
    <r>
      <rPr>
        <b/>
        <sz val="11"/>
        <color theme="1"/>
        <rFont val="Calibri"/>
        <family val="2"/>
        <scheme val="minor"/>
      </rPr>
      <t xml:space="preserve">Entered By </t>
    </r>
    <r>
      <rPr>
        <sz val="11"/>
        <color theme="1"/>
        <rFont val="Calibri"/>
        <family val="2"/>
        <scheme val="minor"/>
      </rPr>
      <t>textbox is auto-populated after saving the record.</t>
    </r>
  </si>
  <si>
    <t>Shipment_Status_16</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</si>
  <si>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Shipment Status </t>
    </r>
    <r>
      <rPr>
        <sz val="11"/>
        <color theme="1"/>
        <rFont val="Calibri"/>
        <family val="2"/>
        <scheme val="minor"/>
      </rPr>
      <t>Page.</t>
    </r>
  </si>
  <si>
    <r>
      <t xml:space="preserve">1. </t>
    </r>
    <r>
      <rPr>
        <b/>
        <sz val="11"/>
        <color theme="1"/>
        <rFont val="Calibri"/>
        <family val="2"/>
        <scheme val="minor"/>
      </rPr>
      <t>Entered Date</t>
    </r>
    <r>
      <rPr>
        <sz val="11"/>
        <color theme="1"/>
        <rFont val="Calibri"/>
        <family val="2"/>
        <scheme val="minor"/>
      </rPr>
      <t xml:space="preserve"> textbox is auto-populated after saving the record.</t>
    </r>
  </si>
  <si>
    <t>Shipment_Status_17</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</si>
  <si>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</si>
  <si>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Enter valid data in all required input fields.
5. Click on the Save button.
6. From the Status Details list, select the newly saved record.
7. Observe the value displayed in the Entered Date textbox.</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</si>
  <si>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 xml:space="preserve">4. Select an existing record from the Status Details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Status Details list.
8. Observe the value displayed in the </t>
    </r>
    <r>
      <rPr>
        <b/>
        <sz val="11"/>
        <color theme="1"/>
        <rFont val="Calibri"/>
        <family val="2"/>
        <scheme val="minor"/>
      </rPr>
      <t>Modified By</t>
    </r>
    <r>
      <rPr>
        <sz val="11"/>
        <color theme="1"/>
        <rFont val="Calibri"/>
        <family val="2"/>
        <scheme val="minor"/>
      </rPr>
      <t xml:space="preserve"> textbox.</t>
    </r>
  </si>
  <si>
    <r>
      <t xml:space="preserve">1. Functionality is not working as expected.
2. After modification, the </t>
    </r>
    <r>
      <rPr>
        <b/>
        <sz val="11"/>
        <color theme="1"/>
        <rFont val="Calibri"/>
        <family val="2"/>
        <scheme val="minor"/>
      </rPr>
      <t>Modified By</t>
    </r>
    <r>
      <rPr>
        <sz val="11"/>
        <color theme="1"/>
        <rFont val="Calibri"/>
        <family val="2"/>
        <scheme val="minor"/>
      </rPr>
      <t xml:space="preserve"> textbox is not auto-populated.</t>
    </r>
  </si>
  <si>
    <t>Shipment_Status_18</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</si>
  <si>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Shipment Status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</si>
  <si>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Select an existing record from the Status Details list.
5. Modify any editable field value.
6. Click on the Modify button.
7. Re-select the same record from the Status Details list.
8. Observe the value displayed in the Modified Date textbox.</t>
    </r>
  </si>
  <si>
    <r>
      <t xml:space="preserve">1. For a record that has never been modified, the </t>
    </r>
    <r>
      <rPr>
        <b/>
        <sz val="11"/>
        <color theme="1"/>
        <rFont val="Calibri"/>
        <family val="2"/>
        <scheme val="minor"/>
      </rPr>
      <t xml:space="preserve">Modified Date </t>
    </r>
    <r>
      <rPr>
        <sz val="11"/>
        <color theme="1"/>
        <rFont val="Calibri"/>
        <family val="2"/>
        <scheme val="minor"/>
      </rPr>
      <t xml:space="preserve">textbox must remain blank.
2. After modifying and saving the record, the </t>
    </r>
    <r>
      <rPr>
        <b/>
        <sz val="11"/>
        <color theme="1"/>
        <rFont val="Calibri"/>
        <family val="2"/>
        <scheme val="minor"/>
      </rPr>
      <t xml:space="preserve">Modified Date </t>
    </r>
    <r>
      <rPr>
        <sz val="11"/>
        <color theme="1"/>
        <rFont val="Calibri"/>
        <family val="2"/>
        <scheme val="minor"/>
      </rPr>
      <t xml:space="preserve">textbox must show the date when the modification was performed.
3. The </t>
    </r>
    <r>
      <rPr>
        <b/>
        <sz val="11"/>
        <color theme="1"/>
        <rFont val="Calibri"/>
        <family val="2"/>
        <scheme val="minor"/>
      </rPr>
      <t>Modified Date</t>
    </r>
    <r>
      <rPr>
        <sz val="11"/>
        <color theme="1"/>
        <rFont val="Calibri"/>
        <family val="2"/>
        <scheme val="minor"/>
      </rPr>
      <t xml:space="preserve"> must update only when the record is modified, not during the initial creation of the record.</t>
    </r>
  </si>
  <si>
    <r>
      <t xml:space="preserve">1. Functionality is not working as expected.
2. After modification, the </t>
    </r>
    <r>
      <rPr>
        <b/>
        <sz val="11"/>
        <color theme="1"/>
        <rFont val="Calibri"/>
        <family val="2"/>
        <scheme val="minor"/>
      </rPr>
      <t xml:space="preserve">Modified Date </t>
    </r>
    <r>
      <rPr>
        <sz val="11"/>
        <color theme="1"/>
        <rFont val="Calibri"/>
        <family val="2"/>
        <scheme val="minor"/>
      </rPr>
      <t>textbox is not auto-populated.</t>
    </r>
  </si>
  <si>
    <t>Shipment_Status_19</t>
  </si>
  <si>
    <r>
      <rPr>
        <b/>
        <sz val="11"/>
        <color theme="1"/>
        <rFont val="Calibri"/>
        <family val="2"/>
        <scheme val="minor"/>
      </rPr>
      <t>Search input fields:</t>
    </r>
    <r>
      <rPr>
        <sz val="11"/>
        <color theme="1"/>
        <rFont val="Calibri"/>
        <family val="2"/>
        <scheme val="minor"/>
      </rPr>
      <t xml:space="preserve">
 -&gt; Status Name
 -&gt; Status
 -&gt; Status for</t>
    </r>
  </si>
  <si>
    <r>
      <t xml:space="preserve">Validate the functionality of the </t>
    </r>
    <r>
      <rPr>
        <b/>
        <sz val="11"/>
        <color theme="1"/>
        <rFont val="Calibri"/>
        <family val="2"/>
        <scheme val="minor"/>
      </rPr>
      <t>Search</t>
    </r>
    <r>
      <rPr>
        <sz val="11"/>
        <color theme="1"/>
        <rFont val="Calibri"/>
        <family val="2"/>
        <scheme val="minor"/>
      </rPr>
      <t xml:space="preserve"> button 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</si>
  <si>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Shipment Status</t>
    </r>
    <r>
      <rPr>
        <sz val="11"/>
        <color theme="1"/>
        <rFont val="Calibri"/>
        <family val="2"/>
        <scheme val="minor"/>
      </rPr>
      <t xml:space="preserve">
4. Enter a search keyword in the Status Name textbox.
5. Select appropriate values from the Status and Status For dropdowns.
6. Click the Search button.
7. Observe the search results and system behavior.</t>
    </r>
  </si>
  <si>
    <r>
      <t xml:space="preserve">1. </t>
    </r>
    <r>
      <rPr>
        <b/>
        <sz val="11"/>
        <color theme="1"/>
        <rFont val="Calibri"/>
        <family val="2"/>
        <scheme val="minor"/>
      </rPr>
      <t>Search</t>
    </r>
    <r>
      <rPr>
        <sz val="11"/>
        <color theme="1"/>
        <rFont val="Calibri"/>
        <family val="2"/>
        <scheme val="minor"/>
      </rPr>
      <t xml:space="preserve"> functionality should work </t>
    </r>
    <r>
      <rPr>
        <b/>
        <sz val="11"/>
        <color theme="1"/>
        <rFont val="Calibri"/>
        <family val="2"/>
        <scheme val="minor"/>
      </rPr>
      <t>independently</t>
    </r>
    <r>
      <rPr>
        <sz val="11"/>
        <color theme="1"/>
        <rFont val="Calibri"/>
        <family val="2"/>
        <scheme val="minor"/>
      </rPr>
      <t xml:space="preserve"> based on:
 -&gt; Status Name
 -&gt; Status
 -&gt; Status For
2. User should be able to search using any single search field.
3. Search results should be displayed correctly in the Status Details section.
4. If no records match the search criteria:
 -&gt; No records or a blank grid should be displayed.
5. User should be able to search using a combination of search fields.
</t>
    </r>
  </si>
  <si>
    <t>Shipment_Status_20</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</si>
  <si>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Shipment Status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</si>
  <si>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Shipment Status
</t>
    </r>
    <r>
      <rPr>
        <sz val="11"/>
        <color theme="1"/>
        <rFont val="Calibri"/>
        <family val="2"/>
        <scheme val="minor"/>
      </rPr>
      <t>4. Use keyword button to fill the foam and observe the system behaviour.</t>
    </r>
  </si>
  <si>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Shipment Status </t>
    </r>
    <r>
      <rPr>
        <sz val="11"/>
        <color theme="1"/>
        <rFont val="Calibri"/>
        <family val="2"/>
        <scheme val="minor"/>
      </rPr>
      <t>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</si>
  <si>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Shipment Status </t>
    </r>
    <r>
      <rPr>
        <sz val="11"/>
        <color theme="1"/>
        <rFont val="Calibri"/>
        <family val="2"/>
        <scheme val="minor"/>
      </rPr>
      <t>page.</t>
    </r>
  </si>
  <si>
    <t>Destuffing_01</t>
  </si>
  <si>
    <t xml:space="preserve">Destuffing
</t>
  </si>
  <si>
    <r>
      <t xml:space="preserve">Validate the functionality of </t>
    </r>
    <r>
      <rPr>
        <b/>
        <sz val="11"/>
        <color theme="1"/>
        <rFont val="Calibri"/>
        <family val="2"/>
        <scheme val="minor"/>
      </rPr>
      <t xml:space="preserve">Destuffing,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</si>
  <si>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Destuffing</t>
    </r>
  </si>
  <si>
    <r>
      <t xml:space="preserve">1. On Mouse Hovering action on </t>
    </r>
    <r>
      <rPr>
        <b/>
        <sz val="11"/>
        <color theme="1"/>
        <rFont val="Calibri"/>
        <family val="2"/>
        <scheme val="minor"/>
      </rPr>
      <t xml:space="preserve">Masters -&gt; Destuffing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</si>
  <si>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Destuffing </t>
    </r>
    <r>
      <rPr>
        <sz val="11"/>
        <color theme="1"/>
        <rFont val="Calibri"/>
        <family val="2"/>
        <scheme val="minor"/>
      </rPr>
      <t>Page is opening properly.</t>
    </r>
  </si>
  <si>
    <t>Destuffing_02</t>
  </si>
  <si>
    <r>
      <t xml:space="preserve">Validate the functionality of the </t>
    </r>
    <r>
      <rPr>
        <b/>
        <sz val="11"/>
        <color theme="1"/>
        <rFont val="Calibri"/>
        <family val="2"/>
        <scheme val="minor"/>
      </rPr>
      <t>Destuffing Name</t>
    </r>
    <r>
      <rPr>
        <sz val="11"/>
        <color theme="1"/>
        <rFont val="Calibri"/>
        <family val="2"/>
        <scheme val="minor"/>
      </rPr>
      <t xml:space="preserve"> Search textbox in the left-side panel on the </t>
    </r>
    <r>
      <rPr>
        <b/>
        <sz val="11"/>
        <color theme="1"/>
        <rFont val="Calibri"/>
        <family val="2"/>
        <scheme val="minor"/>
      </rPr>
      <t>Destuffing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</si>
  <si>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Destuffing
</t>
    </r>
    <r>
      <rPr>
        <sz val="11"/>
        <color theme="1"/>
        <rFont val="Calibri"/>
        <family val="2"/>
        <scheme val="minor"/>
      </rPr>
      <t xml:space="preserve">4. Enter different search keywords in the </t>
    </r>
    <r>
      <rPr>
        <b/>
        <sz val="11"/>
        <color theme="1"/>
        <rFont val="Calibri"/>
        <family val="2"/>
        <scheme val="minor"/>
      </rPr>
      <t xml:space="preserve">Destuffing Name </t>
    </r>
    <r>
      <rPr>
        <sz val="11"/>
        <color theme="1"/>
        <rFont val="Calibri"/>
        <family val="2"/>
        <scheme val="minor"/>
      </rPr>
      <t>Search textbox.
5. Observe the filtered records in the left-side list panel.</t>
    </r>
  </si>
  <si>
    <t>Search Data:
 -&gt; HANS TEST 01</t>
  </si>
  <si>
    <r>
      <t xml:space="preserve">1. The </t>
    </r>
    <r>
      <rPr>
        <b/>
        <sz val="11"/>
        <color theme="1"/>
        <rFont val="Calibri"/>
        <family val="2"/>
        <scheme val="minor"/>
      </rPr>
      <t>Destuffing Name</t>
    </r>
    <r>
      <rPr>
        <sz val="11"/>
        <color theme="1"/>
        <rFont val="Calibri"/>
        <family val="2"/>
        <scheme val="minor"/>
      </rPr>
      <t xml:space="preserve"> Search textbox is working only for the first word of the record name.
</t>
    </r>
    <r>
      <rPr>
        <b/>
        <sz val="11"/>
        <color theme="1"/>
        <rFont val="Calibri"/>
        <family val="2"/>
        <scheme val="minor"/>
      </rPr>
      <t xml:space="preserve">Example record: 'HANS TEST 01' recrod
</t>
    </r>
    <r>
      <rPr>
        <sz val="11"/>
        <color theme="1"/>
        <rFont val="Calibri"/>
        <family val="2"/>
        <scheme val="minor"/>
      </rPr>
      <t>-&gt; Searching 'Hans' → Return Result
 -&gt; Searching 'Test' →  No result
 -&gt; Searching '01&gt;' →  No result</t>
    </r>
  </si>
  <si>
    <t>Destuffing_03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</si>
  <si>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</si>
  <si>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Destuffing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</si>
  <si>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Destuffing_04</t>
  </si>
  <si>
    <r>
      <t xml:space="preserve">1. Selected record details should be displayed correctly in the </t>
    </r>
    <r>
      <rPr>
        <b/>
        <sz val="11"/>
        <color theme="1"/>
        <rFont val="Calibri"/>
        <family val="2"/>
        <scheme val="minor"/>
      </rPr>
      <t xml:space="preserve">Destuffing Master </t>
    </r>
    <r>
      <rPr>
        <sz val="11"/>
        <color theme="1"/>
        <rFont val="Calibri"/>
        <family val="2"/>
        <scheme val="minor"/>
      </rPr>
      <t>textboxes.
2. Selected record should remain visible in the left-side list.
3. On selecting another record:
 -&gt; Textboxes should refresh with the new record’s data.
 -&gt; Previously selected record should lose highlight.
 -&gt; No records should disappear from the list.</t>
    </r>
  </si>
  <si>
    <r>
      <t xml:space="preserve">1. Selected record details are displayed correctly in the </t>
    </r>
    <r>
      <rPr>
        <b/>
        <sz val="11"/>
        <color theme="1"/>
        <rFont val="Calibri"/>
        <family val="2"/>
        <scheme val="minor"/>
      </rPr>
      <t xml:space="preserve">Destuffing Master </t>
    </r>
    <r>
      <rPr>
        <sz val="11"/>
        <color theme="1"/>
        <rFont val="Calibri"/>
        <family val="2"/>
        <scheme val="minor"/>
      </rPr>
      <t xml:space="preserve"> page.
2. When another record is selected, the textboxes update with the new record’s data.</t>
    </r>
  </si>
  <si>
    <r>
      <t xml:space="preserve">Validate that the selected record from the </t>
    </r>
    <r>
      <rPr>
        <b/>
        <sz val="11"/>
        <color theme="1"/>
        <rFont val="Calibri"/>
        <family val="2"/>
        <scheme val="minor"/>
      </rPr>
      <t>Destuffing Details (left-side list)</t>
    </r>
    <r>
      <rPr>
        <sz val="11"/>
        <color theme="1"/>
        <rFont val="Calibri"/>
        <family val="2"/>
        <scheme val="minor"/>
      </rPr>
      <t xml:space="preserve"> is correctly reflected in the corresponding textboxes of the</t>
    </r>
    <r>
      <rPr>
        <b/>
        <sz val="11"/>
        <color theme="1"/>
        <rFont val="Calibri"/>
        <family val="2"/>
        <scheme val="minor"/>
      </rPr>
      <t xml:space="preserve"> Destuffing Master </t>
    </r>
    <r>
      <rPr>
        <sz val="11"/>
        <color theme="1"/>
        <rFont val="Calibri"/>
        <family val="2"/>
        <scheme val="minor"/>
      </rPr>
      <t>page.</t>
    </r>
  </si>
  <si>
    <r>
      <t xml:space="preserve">1. Open the application and log in.
2. Select Branch: AHMEDABAD, Export Type: Export Sea, FY: 2025–2026, and click OK.
3. Navigate to </t>
    </r>
    <r>
      <rPr>
        <b/>
        <sz val="11"/>
        <color theme="1"/>
        <rFont val="Calibri"/>
        <family val="2"/>
        <scheme val="minor"/>
      </rPr>
      <t>Masters → Destuffing.</t>
    </r>
    <r>
      <rPr>
        <sz val="11"/>
        <color theme="1"/>
        <rFont val="Calibri"/>
        <family val="2"/>
        <scheme val="minor"/>
      </rPr>
      <t xml:space="preserve">
4. From the left-side list panel, select any record.
5. Verify the selected record details displayed in the </t>
    </r>
    <r>
      <rPr>
        <b/>
        <sz val="11"/>
        <color theme="1"/>
        <rFont val="Calibri"/>
        <family val="2"/>
        <scheme val="minor"/>
      </rPr>
      <t>Destuffing Master page</t>
    </r>
    <r>
      <rPr>
        <sz val="11"/>
        <color theme="1"/>
        <rFont val="Calibri"/>
        <family val="2"/>
        <scheme val="minor"/>
      </rPr>
      <t xml:space="preserve"> textboxes.
6. Ensure the selected record is not removed from the left-side list.
7. Select another record from the left-side list panel.
8. Verify that the textboxes update with the newly selected record details.</t>
    </r>
  </si>
  <si>
    <t>Destuffing_05</t>
  </si>
  <si>
    <r>
      <t xml:space="preserve">Validate the functionality of </t>
    </r>
    <r>
      <rPr>
        <b/>
        <sz val="11"/>
        <color theme="1"/>
        <rFont val="Calibri"/>
        <family val="2"/>
        <scheme val="minor"/>
      </rPr>
      <t>'Destuffing Name'</t>
    </r>
    <r>
      <rPr>
        <sz val="11"/>
        <color theme="1"/>
        <rFont val="Calibri"/>
        <family val="2"/>
        <scheme val="minor"/>
      </rPr>
      <t xml:space="preserve"> textbox in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</si>
  <si>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Destuffing</t>
    </r>
    <r>
      <rPr>
        <sz val="11"/>
        <color theme="1"/>
        <rFont val="Calibri"/>
        <family val="2"/>
        <scheme val="minor"/>
      </rPr>
      <t xml:space="preserve">
4. Enter Valid &amp; Invalid Data in </t>
    </r>
    <r>
      <rPr>
        <b/>
        <sz val="11"/>
        <color theme="1"/>
        <rFont val="Calibri"/>
        <family val="2"/>
        <scheme val="minor"/>
      </rPr>
      <t>Destuffing</t>
    </r>
    <r>
      <rPr>
        <sz val="11"/>
        <color theme="1"/>
        <rFont val="Calibri"/>
        <family val="2"/>
        <scheme val="minor"/>
      </rPr>
      <t xml:space="preserve"> </t>
    </r>
    <r>
      <rPr>
        <b/>
        <sz val="11"/>
        <color theme="1"/>
        <rFont val="Calibri"/>
        <family val="2"/>
        <scheme val="minor"/>
      </rPr>
      <t xml:space="preserve">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</si>
  <si>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Destuffing Name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</si>
  <si>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t>Destuffing_06</t>
  </si>
  <si>
    <r>
      <t xml:space="preserve">Validate the functionality of </t>
    </r>
    <r>
      <rPr>
        <b/>
        <sz val="11"/>
        <color theme="1"/>
        <rFont val="Calibri"/>
        <family val="2"/>
        <scheme val="minor"/>
      </rPr>
      <t>'Refer To'</t>
    </r>
    <r>
      <rPr>
        <sz val="11"/>
        <color theme="1"/>
        <rFont val="Calibri"/>
        <family val="2"/>
        <scheme val="minor"/>
      </rPr>
      <t xml:space="preserve"> textbox in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</si>
  <si>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Destuffing</t>
    </r>
    <r>
      <rPr>
        <sz val="11"/>
        <color theme="1"/>
        <rFont val="Calibri"/>
        <family val="2"/>
        <scheme val="minor"/>
      </rPr>
      <t xml:space="preserve">
4. Enter Valid &amp; Invalid Data in </t>
    </r>
    <r>
      <rPr>
        <b/>
        <sz val="11"/>
        <color theme="1"/>
        <rFont val="Calibri"/>
        <family val="2"/>
        <scheme val="minor"/>
      </rPr>
      <t xml:space="preserve">Refer To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</si>
  <si>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Refer To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</si>
  <si>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Refer To</t>
    </r>
    <r>
      <rPr>
        <sz val="11"/>
        <color theme="1"/>
        <rFont val="Calibri"/>
        <family val="2"/>
        <scheme val="minor"/>
      </rPr>
      <t xml:space="preserve"> textbox should accept alphanumeric values.
2. </t>
    </r>
    <r>
      <rPr>
        <b/>
        <sz val="11"/>
        <color theme="1"/>
        <rFont val="Calibri"/>
        <family val="2"/>
        <scheme val="minor"/>
      </rPr>
      <t>Refer To</t>
    </r>
    <r>
      <rPr>
        <sz val="11"/>
        <color theme="1"/>
        <rFont val="Calibri"/>
        <family val="2"/>
        <scheme val="minor"/>
      </rPr>
      <t xml:space="preserve"> textbox should not accept special character value, only space value and combination of character value.
2. The textbox length should be limited to 30 characters.</t>
    </r>
  </si>
  <si>
    <r>
      <t xml:space="preserve">1. The </t>
    </r>
    <r>
      <rPr>
        <b/>
        <sz val="11"/>
        <color theme="1"/>
        <rFont val="Calibri"/>
        <family val="2"/>
        <scheme val="minor"/>
      </rPr>
      <t>Destuffing Name</t>
    </r>
    <r>
      <rPr>
        <sz val="11"/>
        <color theme="1"/>
        <rFont val="Calibri"/>
        <family val="2"/>
        <scheme val="minor"/>
      </rPr>
      <t xml:space="preserve"> textbox accepts:
 -&gt; Alphabetic values
 -&gt; Numeric values
 -&gt; Special character values
2. The 50-character limit is implemented correctly.
Note: As per business Rule, </t>
    </r>
    <r>
      <rPr>
        <b/>
        <sz val="11"/>
        <color theme="1"/>
        <rFont val="Calibri"/>
        <family val="2"/>
        <scheme val="minor"/>
      </rPr>
      <t>Destuffing Name</t>
    </r>
    <r>
      <rPr>
        <sz val="11"/>
        <color theme="1"/>
        <rFont val="Calibri"/>
        <family val="2"/>
        <scheme val="minor"/>
      </rPr>
      <t xml:space="preserve"> textbox should accept alphanumeric value and following special characters: Dot (.), Comma (,), Percentage (%), Ampersand (&amp;), Hyphen (-),  Underscore (_), Forward slash (/), Backward slash (\)</t>
    </r>
  </si>
  <si>
    <r>
      <t xml:space="preserve">1. The </t>
    </r>
    <r>
      <rPr>
        <b/>
        <sz val="11"/>
        <color theme="1"/>
        <rFont val="Calibri"/>
        <family val="2"/>
        <scheme val="minor"/>
      </rPr>
      <t>Refer To</t>
    </r>
    <r>
      <rPr>
        <sz val="11"/>
        <color theme="1"/>
        <rFont val="Calibri"/>
        <family val="2"/>
        <scheme val="minor"/>
      </rPr>
      <t xml:space="preserve"> textbox accepts:
 -&gt; Alphabetic values
 -&gt; Numeric values
 -&gt; Special character values
2. The 30-character limit is implemented correctly.
Note: As per business Rule, </t>
    </r>
    <r>
      <rPr>
        <b/>
        <sz val="11"/>
        <color theme="1"/>
        <rFont val="Calibri"/>
        <family val="2"/>
        <scheme val="minor"/>
      </rPr>
      <t>Refer To</t>
    </r>
    <r>
      <rPr>
        <sz val="11"/>
        <color theme="1"/>
        <rFont val="Calibri"/>
        <family val="2"/>
        <scheme val="minor"/>
      </rPr>
      <t xml:space="preserve"> textbox should accept alphanumeric value and following special characters: Dot (.), Comma (,), Percentage (%), Ampersand (&amp;), Hyphen (-),  Underscore (_), Forward slash (/), Backward slash (\)</t>
    </r>
  </si>
  <si>
    <t>Destuffing_07</t>
  </si>
  <si>
    <r>
      <t xml:space="preserve">Validate the functionality of the </t>
    </r>
    <r>
      <rPr>
        <b/>
        <sz val="11"/>
        <color theme="1"/>
        <rFont val="Calibri"/>
        <family val="2"/>
        <scheme val="minor"/>
      </rPr>
      <t>Save</t>
    </r>
    <r>
      <rPr>
        <sz val="11"/>
        <color theme="1"/>
        <rFont val="Calibri"/>
        <family val="2"/>
        <scheme val="minor"/>
      </rPr>
      <t xml:space="preserve"> button when all</t>
    </r>
    <r>
      <rPr>
        <sz val="11"/>
        <color theme="1"/>
        <rFont val="Calibri"/>
        <family val="2"/>
        <scheme val="minor"/>
      </rPr>
      <t xml:space="preserve"> fields are filled in the </t>
    </r>
    <r>
      <rPr>
        <b/>
        <sz val="11"/>
        <color theme="1"/>
        <rFont val="Calibri"/>
        <family val="2"/>
        <scheme val="minor"/>
      </rPr>
      <t>Destuffing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</si>
  <si>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 xml:space="preserve">4. Enter valid data in all fields on the </t>
    </r>
    <r>
      <rPr>
        <b/>
        <sz val="11"/>
        <color theme="1"/>
        <rFont val="Calibri"/>
        <family val="2"/>
        <scheme val="minor"/>
      </rPr>
      <t>Destuffing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</si>
  <si>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r>
      <rPr>
        <b/>
        <sz val="11"/>
        <color theme="1"/>
        <rFont val="Calibri"/>
        <family val="2"/>
        <scheme val="minor"/>
      </rPr>
      <t xml:space="preserve">1. </t>
    </r>
    <r>
      <rPr>
        <sz val="11"/>
        <color theme="1"/>
        <rFont val="Calibri"/>
        <family val="2"/>
        <scheme val="minor"/>
      </rPr>
      <t xml:space="preserve">Fill valid data in all textbox and click on save button.
 -&gt; Destuffing Name
 -&gt; Refer To
</t>
    </r>
    <r>
      <rPr>
        <b/>
        <sz val="11"/>
        <color theme="1"/>
        <rFont val="Calibri"/>
        <family val="2"/>
        <scheme val="minor"/>
      </rPr>
      <t/>
    </r>
  </si>
  <si>
    <r>
      <t>1. System should save the record successfully.
2. A confirmation message should be displayed (e.g., “</t>
    </r>
    <r>
      <rPr>
        <b/>
        <sz val="11"/>
        <color theme="1"/>
        <rFont val="Calibri"/>
        <family val="2"/>
        <scheme val="minor"/>
      </rPr>
      <t>Record saved successfully</t>
    </r>
    <r>
      <rPr>
        <sz val="11"/>
        <color theme="1"/>
        <rFont val="Calibri"/>
        <family val="2"/>
        <scheme val="minor"/>
      </rPr>
      <t xml:space="preserve">”).
3. The saved record should be listed in Left side panel list.
4. The newly saved record should be searchable and selectable from the left side panel list.
</t>
    </r>
  </si>
  <si>
    <t>1. Record is saved successfully.
2. Confirmation message is displayed.
3. Record is searchable and selectable</t>
  </si>
  <si>
    <t>Destuffing_08</t>
  </si>
  <si>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the </t>
    </r>
    <r>
      <rPr>
        <b/>
        <sz val="11"/>
        <color theme="1"/>
        <rFont val="Calibri"/>
        <family val="2"/>
        <scheme val="minor"/>
      </rPr>
      <t>Destuffing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</si>
  <si>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 xml:space="preserve">4. Without entering any data in any field, click the </t>
    </r>
    <r>
      <rPr>
        <b/>
        <sz val="11"/>
        <color theme="1"/>
        <rFont val="Calibri"/>
        <family val="2"/>
        <scheme val="minor"/>
      </rPr>
      <t>Save</t>
    </r>
    <r>
      <rPr>
        <sz val="11"/>
        <color theme="1"/>
        <rFont val="Calibri"/>
        <family val="2"/>
        <scheme val="minor"/>
      </rPr>
      <t xml:space="preserve"> button.
5. Observe the system behavior.</t>
    </r>
  </si>
  <si>
    <r>
      <t xml:space="preserve">1. The record </t>
    </r>
    <r>
      <rPr>
        <b/>
        <sz val="11"/>
        <color theme="1"/>
        <rFont val="Calibri"/>
        <family val="2"/>
        <scheme val="minor"/>
      </rPr>
      <t>must not be saved</t>
    </r>
    <r>
      <rPr>
        <sz val="11"/>
        <color theme="1"/>
        <rFont val="Calibri"/>
        <family val="2"/>
        <scheme val="minor"/>
      </rPr>
      <t xml:space="preserve"> when all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left side panel list.
 -&gt; Record should be searchable and selectable.</t>
    </r>
  </si>
  <si>
    <t xml:space="preserve">1. Save functionality works as expected.
</t>
  </si>
  <si>
    <t>Destuffing_09</t>
  </si>
  <si>
    <t>1. Select any existing record from the left side panel list.
2. Modify one or more fields with new valid data.</t>
  </si>
  <si>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Destuffing Master</t>
    </r>
    <r>
      <rPr>
        <sz val="11"/>
        <color theme="1"/>
        <rFont val="Calibri"/>
        <family val="2"/>
        <scheme val="minor"/>
      </rPr>
      <t xml:space="preserve"> page.</t>
    </r>
  </si>
  <si>
    <r>
      <t xml:space="preserve">1. </t>
    </r>
    <r>
      <rPr>
        <b/>
        <sz val="11"/>
        <color theme="1"/>
        <rFont val="Calibri"/>
        <family val="2"/>
        <scheme val="minor"/>
      </rPr>
      <t xml:space="preserve">Destuffing Name </t>
    </r>
    <r>
      <rPr>
        <sz val="11"/>
        <color theme="1"/>
        <rFont val="Calibri"/>
        <family val="2"/>
        <scheme val="minor"/>
      </rPr>
      <t xml:space="preserve">field should be disabled and should not be editable.
2. Only the </t>
    </r>
    <r>
      <rPr>
        <b/>
        <sz val="11"/>
        <color theme="1"/>
        <rFont val="Calibri"/>
        <family val="2"/>
        <scheme val="minor"/>
      </rPr>
      <t>Refer To</t>
    </r>
    <r>
      <rPr>
        <sz val="11"/>
        <color theme="1"/>
        <rFont val="Calibri"/>
        <family val="2"/>
        <scheme val="minor"/>
      </rPr>
      <t xml:space="preserve"> textbox should be editable.
3. On clicking the Modify button, the record should be updated with the new values.
4. The modified record should be correctly reflected in the left-side panel list.</t>
    </r>
  </si>
  <si>
    <t>Destuffing_10</t>
  </si>
  <si>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 xml:space="preserve">4. Select an existing record from the left-side panel list.
5. Modify one or more fields other than </t>
    </r>
    <r>
      <rPr>
        <b/>
        <sz val="11"/>
        <color theme="1"/>
        <rFont val="Calibri"/>
        <family val="2"/>
        <scheme val="minor"/>
      </rPr>
      <t>Destuffing Name</t>
    </r>
    <r>
      <rPr>
        <sz val="11"/>
        <color theme="1"/>
        <rFont val="Calibri"/>
        <family val="2"/>
        <scheme val="minor"/>
      </rPr>
      <t xml:space="preserve"> with valid new data.
6. Click on the Modify button.
7. Re-select the same record and verify the updated values.</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</si>
  <si>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4. Select an existing record from the left side panel list.
5. Verify that the corresponding record details are populated in the input fields.
6. Click on the Delete button and observe the system behavior.</t>
    </r>
  </si>
  <si>
    <t>1. Select any existing record from the left side panel list.</t>
  </si>
  <si>
    <r>
      <t>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 side panel list.
If the user selects No -The deletion process should be cancelled and the record should remain unchanged.</t>
    </r>
  </si>
  <si>
    <t>Destuffing_11</t>
  </si>
  <si>
    <r>
      <t xml:space="preserve">Validate the functionality of </t>
    </r>
    <r>
      <rPr>
        <b/>
        <sz val="11"/>
        <color theme="1"/>
        <rFont val="Calibri"/>
        <family val="2"/>
        <scheme val="minor"/>
      </rPr>
      <t>Delete</t>
    </r>
    <r>
      <rPr>
        <sz val="11"/>
        <color theme="1"/>
        <rFont val="Calibri"/>
        <family val="2"/>
        <scheme val="minor"/>
      </rPr>
      <t xml:space="preserve"> button on the </t>
    </r>
    <r>
      <rPr>
        <b/>
        <sz val="11"/>
        <color theme="1"/>
        <rFont val="Calibri"/>
        <family val="2"/>
        <scheme val="minor"/>
      </rPr>
      <t>Destuffing Master</t>
    </r>
    <r>
      <rPr>
        <sz val="11"/>
        <color theme="1"/>
        <rFont val="Calibri"/>
        <family val="2"/>
        <scheme val="minor"/>
      </rPr>
      <t xml:space="preserve"> page.</t>
    </r>
  </si>
  <si>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</si>
  <si>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4. Enter values in all or few input fields.
5. Click the Clear button and observe the system behavior.</t>
    </r>
  </si>
  <si>
    <t>Destuffing_12</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</si>
  <si>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</si>
  <si>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4. Enter valid data in all required input fields.
5. Click on the Save button.
6. From the left side panel list, select the newly saved record.
7. Observe the value displayed in the Entered By textbox.</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</si>
  <si>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</si>
  <si>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Destuffing</t>
    </r>
    <r>
      <rPr>
        <sz val="11"/>
        <color theme="1"/>
        <rFont val="Calibri"/>
        <family val="2"/>
        <scheme val="minor"/>
      </rPr>
      <t xml:space="preserve">
4. Enter valid data in all required input fields.
5. Click on the Save button.
6. From the left side panel list, select the newly saved record.
7. Observe the value displayed in the Entered Date textbox.</t>
    </r>
  </si>
  <si>
    <t>Destuffing_13</t>
  </si>
  <si>
    <t>Destuffing_14</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</si>
  <si>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Destuffing Master</t>
    </r>
    <r>
      <rPr>
        <sz val="11"/>
        <color theme="1"/>
        <rFont val="Calibri"/>
        <family val="2"/>
        <scheme val="minor"/>
      </rPr>
      <t xml:space="preserve"> page.</t>
    </r>
  </si>
  <si>
    <t>Destuffing_15</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</si>
  <si>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</si>
  <si>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Destuffing</t>
    </r>
    <r>
      <rPr>
        <sz val="11"/>
        <color theme="1"/>
        <rFont val="Calibri"/>
        <family val="2"/>
        <scheme val="minor"/>
      </rPr>
      <t xml:space="preserve">
4. Select an existing record from the left side panel list.
5. Modify any editable field value.
6. Click on the Modify button.
7. Re-select the same record from the left side list.
8. Observe the value displayed in the Modified Date textbox.</t>
    </r>
  </si>
  <si>
    <r>
      <t xml:space="preserve">1. Functionality is not working as expected.
2. The </t>
    </r>
    <r>
      <rPr>
        <b/>
        <sz val="11"/>
        <color theme="1"/>
        <rFont val="Calibri"/>
        <family val="2"/>
        <scheme val="minor"/>
      </rPr>
      <t>Modified Date</t>
    </r>
    <r>
      <rPr>
        <sz val="11"/>
        <color theme="1"/>
        <rFont val="Calibri"/>
        <family val="2"/>
        <scheme val="minor"/>
      </rPr>
      <t xml:space="preserve"> value is auto-populating at the time of record creation, </t>
    </r>
    <r>
      <rPr>
        <b/>
        <sz val="11"/>
        <color theme="1"/>
        <rFont val="Calibri"/>
        <family val="2"/>
        <scheme val="minor"/>
      </rPr>
      <t>even when no modification has been performed.</t>
    </r>
  </si>
  <si>
    <r>
      <t xml:space="preserve">1. Functionality is not working as expected.
2. The </t>
    </r>
    <r>
      <rPr>
        <b/>
        <sz val="11"/>
        <color theme="1"/>
        <rFont val="Calibri"/>
        <family val="2"/>
        <scheme val="minor"/>
      </rPr>
      <t>Modified By</t>
    </r>
    <r>
      <rPr>
        <sz val="11"/>
        <color theme="1"/>
        <rFont val="Calibri"/>
        <family val="2"/>
        <scheme val="minor"/>
      </rPr>
      <t xml:space="preserve"> value is auto-populating at the time of record creation, </t>
    </r>
    <r>
      <rPr>
        <b/>
        <sz val="11"/>
        <color theme="1"/>
        <rFont val="Calibri"/>
        <family val="2"/>
        <scheme val="minor"/>
      </rPr>
      <t>even when no modification has been performed.</t>
    </r>
  </si>
  <si>
    <t>Destuffing_16</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</si>
  <si>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Destuffing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</si>
  <si>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4. Use keyword button to fill the foam and observe the system behaviour.</t>
    </r>
  </si>
  <si>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Destuffing Master</t>
    </r>
    <r>
      <rPr>
        <sz val="11"/>
        <color theme="1"/>
        <rFont val="Calibri"/>
        <family val="2"/>
        <scheme val="minor"/>
      </rPr>
      <t xml:space="preserve"> 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</si>
  <si>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Destuffing Master </t>
    </r>
    <r>
      <rPr>
        <sz val="11"/>
        <color theme="1"/>
        <rFont val="Calibri"/>
        <family val="2"/>
        <scheme val="minor"/>
      </rPr>
      <t>page.</t>
    </r>
  </si>
  <si>
    <r>
      <rPr>
        <b/>
        <sz val="11"/>
        <color theme="1"/>
        <rFont val="Calibri"/>
        <family val="2"/>
        <scheme val="minor"/>
      </rPr>
      <t xml:space="preserve">URL: </t>
    </r>
    <r>
      <rPr>
        <sz val="11"/>
        <color theme="1"/>
        <rFont val="Calibri"/>
        <family val="2"/>
        <scheme val="minor"/>
      </rPr>
      <t xml:space="preserve">https://idp.icaffe.co.in/demoUAT/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</si>
  <si>
    <t>Document</t>
  </si>
  <si>
    <t>Document_01</t>
  </si>
  <si>
    <r>
      <t xml:space="preserve">Validate the functionality of </t>
    </r>
    <r>
      <rPr>
        <b/>
        <sz val="11"/>
        <color theme="1"/>
        <rFont val="Calibri"/>
        <family val="2"/>
        <scheme val="minor"/>
      </rPr>
      <t xml:space="preserve">Document,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</si>
  <si>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Document</t>
    </r>
  </si>
  <si>
    <r>
      <t xml:space="preserve">1. On Mouse Hovering action on </t>
    </r>
    <r>
      <rPr>
        <b/>
        <sz val="11"/>
        <color theme="1"/>
        <rFont val="Calibri"/>
        <family val="2"/>
        <scheme val="minor"/>
      </rPr>
      <t xml:space="preserve">Masters -&gt; Document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</si>
  <si>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Document </t>
    </r>
    <r>
      <rPr>
        <sz val="11"/>
        <color theme="1"/>
        <rFont val="Calibri"/>
        <family val="2"/>
        <scheme val="minor"/>
      </rPr>
      <t>Page is opening properly.</t>
    </r>
  </si>
  <si>
    <t>Document_02</t>
  </si>
  <si>
    <r>
      <t xml:space="preserve">Validate the functionality of </t>
    </r>
    <r>
      <rPr>
        <b/>
        <sz val="11"/>
        <color theme="1"/>
        <rFont val="Calibri"/>
        <family val="2"/>
        <scheme val="minor"/>
      </rPr>
      <t>Document Type dropdown</t>
    </r>
    <r>
      <rPr>
        <sz val="11"/>
        <color theme="1"/>
        <rFont val="Calibri"/>
        <family val="2"/>
        <scheme val="minor"/>
      </rPr>
      <t xml:space="preserve"> and </t>
    </r>
    <r>
      <rPr>
        <b/>
        <sz val="11"/>
        <color theme="1"/>
        <rFont val="Calibri"/>
        <family val="2"/>
        <scheme val="minor"/>
      </rPr>
      <t xml:space="preserve">Search textbox </t>
    </r>
    <r>
      <rPr>
        <sz val="11"/>
        <color theme="1"/>
        <rFont val="Calibri"/>
        <family val="2"/>
        <scheme val="minor"/>
      </rPr>
      <t xml:space="preserve">on the </t>
    </r>
    <r>
      <rPr>
        <b/>
        <sz val="11"/>
        <color theme="1"/>
        <rFont val="Calibri"/>
        <family val="2"/>
        <scheme val="minor"/>
      </rPr>
      <t>Document</t>
    </r>
    <r>
      <rPr>
        <sz val="11"/>
        <color theme="1"/>
        <rFont val="Calibri"/>
        <family val="2"/>
        <scheme val="minor"/>
      </rPr>
      <t xml:space="preserve"> page.</t>
    </r>
  </si>
  <si>
    <r>
      <t xml:space="preserve">1. Open the application and log in.
2. Select Branch: AHMEDABAD, Export Type: Export Sea, FY: 2025–2026, and click OK.
3. Navigate to </t>
    </r>
    <r>
      <rPr>
        <b/>
        <sz val="11"/>
        <color theme="1"/>
        <rFont val="Calibri"/>
        <family val="2"/>
        <scheme val="minor"/>
      </rPr>
      <t>Masters → Document</t>
    </r>
    <r>
      <rPr>
        <sz val="11"/>
        <color theme="1"/>
        <rFont val="Calibri"/>
        <family val="2"/>
        <scheme val="minor"/>
      </rPr>
      <t xml:space="preserve">
4. Try entering manual values in the </t>
    </r>
    <r>
      <rPr>
        <b/>
        <sz val="11"/>
        <color theme="1"/>
        <rFont val="Calibri"/>
        <family val="2"/>
        <scheme val="minor"/>
      </rPr>
      <t>Document Type dropdown.</t>
    </r>
    <r>
      <rPr>
        <sz val="11"/>
        <color theme="1"/>
        <rFont val="Calibri"/>
        <family val="2"/>
        <scheme val="minor"/>
      </rPr>
      <t xml:space="preserve">
5. Select a value from the </t>
    </r>
    <r>
      <rPr>
        <b/>
        <sz val="11"/>
        <color theme="1"/>
        <rFont val="Calibri"/>
        <family val="2"/>
        <scheme val="minor"/>
      </rPr>
      <t>Document Type dropdown.</t>
    </r>
    <r>
      <rPr>
        <sz val="11"/>
        <color theme="1"/>
        <rFont val="Calibri"/>
        <family val="2"/>
        <scheme val="minor"/>
      </rPr>
      <t xml:space="preserve">
6. Observe whether the </t>
    </r>
    <r>
      <rPr>
        <b/>
        <sz val="11"/>
        <color theme="1"/>
        <rFont val="Calibri"/>
        <family val="2"/>
        <scheme val="minor"/>
      </rPr>
      <t>search list is filtered based on the selected Document Type.</t>
    </r>
    <r>
      <rPr>
        <sz val="11"/>
        <color theme="1"/>
        <rFont val="Calibri"/>
        <family val="2"/>
        <scheme val="minor"/>
      </rPr>
      <t xml:space="preserve">
7. Enter a keyword in the Search textbox and observe the filtered results.</t>
    </r>
  </si>
  <si>
    <r>
      <t xml:space="preserve">Textbox - </t>
    </r>
    <r>
      <rPr>
        <b/>
        <sz val="11"/>
        <color theme="1"/>
        <rFont val="Calibri"/>
        <family val="2"/>
        <scheme val="minor"/>
      </rPr>
      <t>Document Type
Manual Inputs:</t>
    </r>
    <r>
      <rPr>
        <sz val="11"/>
        <color theme="1"/>
        <rFont val="Calibri"/>
        <family val="2"/>
        <scheme val="minor"/>
      </rPr>
      <t xml:space="preserve">
Space, special characters, numeric values, alphabets
</t>
    </r>
    <r>
      <rPr>
        <b/>
        <sz val="11"/>
        <color theme="1"/>
        <rFont val="Calibri"/>
        <family val="2"/>
        <scheme val="minor"/>
      </rPr>
      <t>Dropdown Value:</t>
    </r>
    <r>
      <rPr>
        <sz val="11"/>
        <color theme="1"/>
        <rFont val="Calibri"/>
        <family val="2"/>
        <scheme val="minor"/>
      </rPr>
      <t xml:space="preserve">
-&gt; Both
 -&gt; General etc.
</t>
    </r>
    <r>
      <rPr>
        <b/>
        <sz val="11"/>
        <color theme="1"/>
        <rFont val="Calibri"/>
        <family val="2"/>
        <scheme val="minor"/>
      </rPr>
      <t xml:space="preserve">Search Keyword:
</t>
    </r>
    <r>
      <rPr>
        <sz val="11"/>
        <color theme="1"/>
        <rFont val="Calibri"/>
        <family val="2"/>
        <scheme val="minor"/>
      </rPr>
      <t xml:space="preserve"> -&gt; DEMO TESTING</t>
    </r>
  </si>
  <si>
    <r>
      <t xml:space="preserve">1. Manual input should not be allowed in the </t>
    </r>
    <r>
      <rPr>
        <b/>
        <sz val="11"/>
        <color theme="1"/>
        <rFont val="Calibri"/>
        <family val="2"/>
        <scheme val="minor"/>
      </rPr>
      <t>Document Type dropdown.</t>
    </r>
    <r>
      <rPr>
        <sz val="11"/>
        <color theme="1"/>
        <rFont val="Calibri"/>
        <family val="2"/>
        <scheme val="minor"/>
      </rPr>
      <t xml:space="preserve">
2. The user should be able to </t>
    </r>
    <r>
      <rPr>
        <b/>
        <sz val="11"/>
        <color theme="1"/>
        <rFont val="Calibri"/>
        <family val="2"/>
        <scheme val="minor"/>
      </rPr>
      <t>select Document Type only from the dropdown list.</t>
    </r>
    <r>
      <rPr>
        <sz val="11"/>
        <color theme="1"/>
        <rFont val="Calibri"/>
        <family val="2"/>
        <scheme val="minor"/>
      </rPr>
      <t xml:space="preserve">
3. The</t>
    </r>
    <r>
      <rPr>
        <b/>
        <sz val="11"/>
        <color theme="1"/>
        <rFont val="Calibri"/>
        <family val="2"/>
        <scheme val="minor"/>
      </rPr>
      <t xml:space="preserve"> search list should be filtered based on the selected Document Type.</t>
    </r>
    <r>
      <rPr>
        <sz val="11"/>
        <color theme="1"/>
        <rFont val="Calibri"/>
        <family val="2"/>
        <scheme val="minor"/>
      </rPr>
      <t xml:space="preserve">
4. The Search textbox functionality should return all matching records for:
 -&gt; Full match
 -&gt; Partial match (any word in the record name)
 -&gt; Case-insensitive input
5. Records should be dynamically filtered based on the entered search keyword.
6. If no record matches the entered keyword, the list should appear empty (no records displayed).</t>
    </r>
  </si>
  <si>
    <r>
      <t xml:space="preserve">1. The </t>
    </r>
    <r>
      <rPr>
        <b/>
        <sz val="11"/>
        <color theme="1"/>
        <rFont val="Calibri"/>
        <family val="2"/>
        <scheme val="minor"/>
      </rPr>
      <t>search list</t>
    </r>
    <r>
      <rPr>
        <sz val="11"/>
        <color theme="1"/>
        <rFont val="Calibri"/>
        <family val="2"/>
        <scheme val="minor"/>
      </rPr>
      <t xml:space="preserve"> is correctly filtered based on the </t>
    </r>
    <r>
      <rPr>
        <b/>
        <sz val="11"/>
        <color theme="1"/>
        <rFont val="Calibri"/>
        <family val="2"/>
        <scheme val="minor"/>
      </rPr>
      <t>Document Type</t>
    </r>
    <r>
      <rPr>
        <sz val="11"/>
        <color theme="1"/>
        <rFont val="Calibri"/>
        <family val="2"/>
        <scheme val="minor"/>
      </rPr>
      <t xml:space="preserve"> selected from the dropdown.
2.</t>
    </r>
    <r>
      <rPr>
        <b/>
        <sz val="11"/>
        <color theme="1"/>
        <rFont val="Calibri"/>
        <family val="2"/>
        <scheme val="minor"/>
      </rPr>
      <t xml:space="preserve"> The Search textbox functionality is not working as expected.
 -&gt; </t>
    </r>
    <r>
      <rPr>
        <sz val="11"/>
        <color theme="1"/>
        <rFont val="Calibri"/>
        <family val="2"/>
        <scheme val="minor"/>
      </rPr>
      <t xml:space="preserve">The search works only when the first word matches the record name.
 -&gt; It does not return results for partial matches beyond the first word.
Example: 
Record Available: </t>
    </r>
    <r>
      <rPr>
        <b/>
        <sz val="11"/>
        <color theme="1"/>
        <rFont val="Calibri"/>
        <family val="2"/>
        <scheme val="minor"/>
      </rPr>
      <t>DEMO TESTING</t>
    </r>
    <r>
      <rPr>
        <sz val="11"/>
        <color theme="1"/>
        <rFont val="Calibri"/>
        <family val="2"/>
        <scheme val="minor"/>
      </rPr>
      <t xml:space="preserve">
Searching “Demo” → Record appears
Searching “Testing” → No record appears
</t>
    </r>
  </si>
  <si>
    <t>Document_03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</si>
  <si>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</si>
  <si>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</si>
  <si>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Document_04</t>
  </si>
  <si>
    <r>
      <t xml:space="preserve">1. Open the application and log in.
2. Select Branch: AHMEDABAD, Export Type: Export Sea, FY: 2025–2026, and click OK.
3. Navigate to </t>
    </r>
    <r>
      <rPr>
        <b/>
        <sz val="11"/>
        <color theme="1"/>
        <rFont val="Calibri"/>
        <family val="2"/>
        <scheme val="minor"/>
      </rPr>
      <t>Masters → Document</t>
    </r>
    <r>
      <rPr>
        <sz val="11"/>
        <color theme="1"/>
        <rFont val="Calibri"/>
        <family val="2"/>
        <scheme val="minor"/>
      </rPr>
      <t xml:space="preserve">
4. From the left-side list panel, select any record.
5. Verify the selected record details displayed in the </t>
    </r>
    <r>
      <rPr>
        <b/>
        <sz val="11"/>
        <color theme="1"/>
        <rFont val="Calibri"/>
        <family val="2"/>
        <scheme val="minor"/>
      </rPr>
      <t>Document page</t>
    </r>
    <r>
      <rPr>
        <sz val="11"/>
        <color theme="1"/>
        <rFont val="Calibri"/>
        <family val="2"/>
        <scheme val="minor"/>
      </rPr>
      <t xml:space="preserve"> textboxes.
6. Ensure the selected record is not removed from the left-side list.
7. Select another record from the left-side list panel.
8. Verify that the textboxes update with the newly selected record details.</t>
    </r>
  </si>
  <si>
    <r>
      <t xml:space="preserve">1. Selected record details should be displayed correctly in the </t>
    </r>
    <r>
      <rPr>
        <b/>
        <sz val="11"/>
        <color theme="1"/>
        <rFont val="Calibri"/>
        <family val="2"/>
        <scheme val="minor"/>
      </rPr>
      <t xml:space="preserve">Document </t>
    </r>
    <r>
      <rPr>
        <sz val="11"/>
        <color theme="1"/>
        <rFont val="Calibri"/>
        <family val="2"/>
        <scheme val="minor"/>
      </rPr>
      <t>page textboxes.
2. Selected record should remain visible in the left-side list.
3. On selecting another record:
 -&gt; Textboxes should refresh with the new record’s data.
 -&gt; Previously selected record should lose highlight.
 -&gt; No records should disappear from the list.</t>
    </r>
  </si>
  <si>
    <r>
      <t xml:space="preserve">1. Selected record details are displayed correctly in the </t>
    </r>
    <r>
      <rPr>
        <b/>
        <sz val="11"/>
        <color theme="1"/>
        <rFont val="Calibri"/>
        <family val="2"/>
        <scheme val="minor"/>
      </rPr>
      <t>Document</t>
    </r>
    <r>
      <rPr>
        <sz val="11"/>
        <color theme="1"/>
        <rFont val="Calibri"/>
        <family val="2"/>
        <scheme val="minor"/>
      </rPr>
      <t xml:space="preserve"> page.
2. When another record is selected, the textboxes update with the new record’s data.</t>
    </r>
  </si>
  <si>
    <t>Document_05</t>
  </si>
  <si>
    <r>
      <t xml:space="preserve">Validate the functionality of </t>
    </r>
    <r>
      <rPr>
        <b/>
        <sz val="11"/>
        <color theme="1"/>
        <rFont val="Calibri"/>
        <family val="2"/>
        <scheme val="minor"/>
      </rPr>
      <t>'Document Name'</t>
    </r>
    <r>
      <rPr>
        <sz val="11"/>
        <color theme="1"/>
        <rFont val="Calibri"/>
        <family val="2"/>
        <scheme val="minor"/>
      </rPr>
      <t xml:space="preserve"> textbox in the </t>
    </r>
    <r>
      <rPr>
        <b/>
        <sz val="11"/>
        <color theme="1"/>
        <rFont val="Calibri"/>
        <family val="2"/>
        <scheme val="minor"/>
      </rPr>
      <t xml:space="preserve">Document </t>
    </r>
    <r>
      <rPr>
        <sz val="11"/>
        <color theme="1"/>
        <rFont val="Calibri"/>
        <family val="2"/>
        <scheme val="minor"/>
      </rPr>
      <t>page.</t>
    </r>
  </si>
  <si>
    <r>
      <t xml:space="preserve">Validate that the selected record from the </t>
    </r>
    <r>
      <rPr>
        <b/>
        <sz val="11"/>
        <color theme="1"/>
        <rFont val="Calibri"/>
        <family val="2"/>
        <scheme val="minor"/>
      </rPr>
      <t>left-side panel list</t>
    </r>
    <r>
      <rPr>
        <sz val="11"/>
        <color theme="1"/>
        <rFont val="Calibri"/>
        <family val="2"/>
        <scheme val="minor"/>
      </rPr>
      <t xml:space="preserve"> is correctly reflected in the corresponding textboxes of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</si>
  <si>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 xml:space="preserve">4. Enter Valid &amp; Invalid Data in </t>
    </r>
    <r>
      <rPr>
        <b/>
        <sz val="11"/>
        <color theme="1"/>
        <rFont val="Calibri"/>
        <family val="2"/>
        <scheme val="minor"/>
      </rPr>
      <t>Document</t>
    </r>
    <r>
      <rPr>
        <sz val="11"/>
        <color theme="1"/>
        <rFont val="Calibri"/>
        <family val="2"/>
        <scheme val="minor"/>
      </rPr>
      <t xml:space="preserve"> </t>
    </r>
    <r>
      <rPr>
        <b/>
        <sz val="11"/>
        <color theme="1"/>
        <rFont val="Calibri"/>
        <family val="2"/>
        <scheme val="minor"/>
      </rPr>
      <t xml:space="preserve">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</si>
  <si>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Document Name
</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</si>
  <si>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Destuffing Name</t>
    </r>
    <r>
      <rPr>
        <sz val="11"/>
        <color theme="1"/>
        <rFont val="Calibri"/>
        <family val="2"/>
        <scheme val="minor"/>
      </rPr>
      <t xml:space="preserve"> textbox should accept alphanumeric values.
2. </t>
    </r>
    <r>
      <rPr>
        <b/>
        <sz val="11"/>
        <color theme="1"/>
        <rFont val="Calibri"/>
        <family val="2"/>
        <scheme val="minor"/>
      </rPr>
      <t>Destuffing Name</t>
    </r>
    <r>
      <rPr>
        <sz val="11"/>
        <color theme="1"/>
        <rFont val="Calibri"/>
        <family val="2"/>
        <scheme val="minor"/>
      </rPr>
      <t xml:space="preserve"> textbox should not accept special character value, only space value and combination of character value.
3. The textbox length should be limited to 50 characters.</t>
    </r>
  </si>
  <si>
    <r>
      <t xml:space="preserve">1. As per the use case, The </t>
    </r>
    <r>
      <rPr>
        <b/>
        <sz val="11"/>
        <color theme="1"/>
        <rFont val="Calibri"/>
        <family val="2"/>
        <scheme val="minor"/>
      </rPr>
      <t>Document Name</t>
    </r>
    <r>
      <rPr>
        <sz val="11"/>
        <color theme="1"/>
        <rFont val="Calibri"/>
        <family val="2"/>
        <scheme val="minor"/>
      </rPr>
      <t xml:space="preserve"> textbox should accept alphanumeric values.
2. </t>
    </r>
    <r>
      <rPr>
        <b/>
        <sz val="11"/>
        <color theme="1"/>
        <rFont val="Calibri"/>
        <family val="2"/>
        <scheme val="minor"/>
      </rPr>
      <t>Document Name</t>
    </r>
    <r>
      <rPr>
        <sz val="11"/>
        <color theme="1"/>
        <rFont val="Calibri"/>
        <family val="2"/>
        <scheme val="minor"/>
      </rPr>
      <t xml:space="preserve"> textbox should not accept special character value, only space value and combination of character value.
3. The textbox length should be limited to 200 characters.</t>
    </r>
  </si>
  <si>
    <r>
      <t xml:space="preserve">1. The </t>
    </r>
    <r>
      <rPr>
        <b/>
        <sz val="11"/>
        <color theme="1"/>
        <rFont val="Calibri"/>
        <family val="2"/>
        <scheme val="minor"/>
      </rPr>
      <t>Document Name</t>
    </r>
    <r>
      <rPr>
        <sz val="11"/>
        <color theme="1"/>
        <rFont val="Calibri"/>
        <family val="2"/>
        <scheme val="minor"/>
      </rPr>
      <t xml:space="preserve"> textbox accepts:
 -&gt; Alphabetic values
 -&gt; Numeric values
 -&gt; Few Special character.
2. The 200-character limit is implemented correctly.
</t>
    </r>
  </si>
  <si>
    <t>Document_06</t>
  </si>
  <si>
    <r>
      <t>Validate the functionality of</t>
    </r>
    <r>
      <rPr>
        <b/>
        <sz val="11"/>
        <color theme="1"/>
        <rFont val="Calibri"/>
        <family val="2"/>
        <scheme val="minor"/>
      </rPr>
      <t xml:space="preserve"> Document Type</t>
    </r>
    <r>
      <rPr>
        <sz val="11"/>
        <color theme="1"/>
        <rFont val="Calibri"/>
        <family val="2"/>
        <scheme val="minor"/>
      </rPr>
      <t xml:space="preserve"> radio buttons on the </t>
    </r>
    <r>
      <rPr>
        <b/>
        <sz val="11"/>
        <color theme="1"/>
        <rFont val="Calibri"/>
        <family val="2"/>
        <scheme val="minor"/>
      </rPr>
      <t>Document</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</si>
  <si>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Select each Document Type radio button one by one.
5. Switch between different radio button options and verify selection change.</t>
    </r>
  </si>
  <si>
    <r>
      <rPr>
        <b/>
        <sz val="11"/>
        <color theme="1"/>
        <rFont val="Calibri"/>
        <family val="2"/>
        <scheme val="minor"/>
      </rPr>
      <t>Document Type – Radio Buttons:</t>
    </r>
    <r>
      <rPr>
        <sz val="11"/>
        <color theme="1"/>
        <rFont val="Calibri"/>
        <family val="2"/>
        <scheme val="minor"/>
      </rPr>
      <t xml:space="preserve">
 -&gt; Post Shipment
 -&gt; Pre Shipment
 -&gt; Both
 -&gt; General</t>
    </r>
  </si>
  <si>
    <r>
      <t xml:space="preserve">1. All </t>
    </r>
    <r>
      <rPr>
        <b/>
        <sz val="11"/>
        <color theme="1"/>
        <rFont val="Calibri"/>
        <family val="2"/>
        <scheme val="minor"/>
      </rPr>
      <t>Document Type</t>
    </r>
    <r>
      <rPr>
        <sz val="11"/>
        <color theme="1"/>
        <rFont val="Calibri"/>
        <family val="2"/>
        <scheme val="minor"/>
      </rPr>
      <t xml:space="preserve"> radio buttons should be selectable.
2. The user should be able to switch between radio button options without any issue.
3. Only one radio button should be selectable at a time.
</t>
    </r>
  </si>
  <si>
    <t>Document_07</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</si>
  <si>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in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</si>
  <si>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 xml:space="preserve">4. Enter valid data in all fields on the </t>
    </r>
    <r>
      <rPr>
        <b/>
        <sz val="11"/>
        <color theme="1"/>
        <rFont val="Calibri"/>
        <family val="2"/>
        <scheme val="minor"/>
      </rPr>
      <t>Document</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</si>
  <si>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r>
      <rPr>
        <b/>
        <sz val="11"/>
        <color theme="1"/>
        <rFont val="Calibri"/>
        <family val="2"/>
        <scheme val="minor"/>
      </rPr>
      <t xml:space="preserve">1. </t>
    </r>
    <r>
      <rPr>
        <sz val="11"/>
        <color theme="1"/>
        <rFont val="Calibri"/>
        <family val="2"/>
        <scheme val="minor"/>
      </rPr>
      <t xml:space="preserve">Fill valid data in all textbox and click on save button.
 -&gt; Document Name
 -&gt;  Document Type radio button
</t>
    </r>
    <r>
      <rPr>
        <b/>
        <sz val="11"/>
        <color theme="1"/>
        <rFont val="Calibri"/>
        <family val="2"/>
        <scheme val="minor"/>
      </rPr>
      <t/>
    </r>
  </si>
  <si>
    <t>Document_08</t>
  </si>
  <si>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</si>
  <si>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 xml:space="preserve">4. Without entering any data in any field, click the </t>
    </r>
    <r>
      <rPr>
        <b/>
        <sz val="11"/>
        <color theme="1"/>
        <rFont val="Calibri"/>
        <family val="2"/>
        <scheme val="minor"/>
      </rPr>
      <t>Save</t>
    </r>
    <r>
      <rPr>
        <sz val="11"/>
        <color theme="1"/>
        <rFont val="Calibri"/>
        <family val="2"/>
        <scheme val="minor"/>
      </rPr>
      <t xml:space="preserve"> button.
5. Observe the system behavior.</t>
    </r>
  </si>
  <si>
    <t>Document_09</t>
  </si>
  <si>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</si>
  <si>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Select an existing record from the left-side panel list.
5. Modify one or more fields</t>
    </r>
    <r>
      <rPr>
        <sz val="11"/>
        <color theme="1"/>
        <rFont val="Calibri"/>
        <family val="2"/>
        <scheme val="minor"/>
      </rPr>
      <t xml:space="preserve"> with valid new data.
6. Click on the Modify button.
7. Re-select the same record and verify the updated values.</t>
    </r>
  </si>
  <si>
    <t>Document_10</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</si>
  <si>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</si>
  <si>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Enter values in all or few input fields.
5. Click the Clear button and observe the system behavior.</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</si>
  <si>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-&gt; All input fields should be cleared.
</t>
    </r>
    <r>
      <rPr>
        <b/>
        <sz val="11"/>
        <color theme="1"/>
        <rFont val="Calibri"/>
        <family val="2"/>
        <scheme val="minor"/>
      </rPr>
      <t>If the user clicks No:</t>
    </r>
    <r>
      <rPr>
        <sz val="11"/>
        <color theme="1"/>
        <rFont val="Calibri"/>
        <family val="2"/>
        <scheme val="minor"/>
      </rPr>
      <t xml:space="preserve">
 -&gt; All entered values should remain unchanged.
</t>
    </r>
    <r>
      <rPr>
        <b/>
        <sz val="11"/>
        <color theme="1"/>
        <rFont val="Calibri"/>
        <family val="2"/>
        <scheme val="minor"/>
      </rPr>
      <t/>
    </r>
  </si>
  <si>
    <t>Document_11</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</si>
  <si>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</si>
  <si>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Enter valid data in all required input fields.
5. Click on the Save button.
6. From the left side panel list, select the newly saved record.
7. Observe the value displayed in the Entered By textbox.</t>
    </r>
  </si>
  <si>
    <t>Document_12</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</si>
  <si>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</si>
  <si>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Document</t>
    </r>
    <r>
      <rPr>
        <sz val="11"/>
        <color theme="1"/>
        <rFont val="Calibri"/>
        <family val="2"/>
        <scheme val="minor"/>
      </rPr>
      <t xml:space="preserve">
4. Enter valid data in all required input fields.
5. Click on the Save button.
6. From the left side panel list, select the newly saved record.
7. Observe the value displayed in the Entered Date textbox.</t>
    </r>
  </si>
  <si>
    <t>Document_13</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</si>
  <si>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</si>
  <si>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Document
</t>
    </r>
    <r>
      <rPr>
        <sz val="11"/>
        <color theme="1"/>
        <rFont val="Calibri"/>
        <family val="2"/>
        <scheme val="minor"/>
      </rPr>
      <t xml:space="preserve">4. Select an existing record from the left side panel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 side panel list.
8. Observe the value displayed in the </t>
    </r>
    <r>
      <rPr>
        <b/>
        <sz val="11"/>
        <color theme="1"/>
        <rFont val="Calibri"/>
        <family val="2"/>
        <scheme val="minor"/>
      </rPr>
      <t>Modified By</t>
    </r>
    <r>
      <rPr>
        <sz val="11"/>
        <color theme="1"/>
        <rFont val="Calibri"/>
        <family val="2"/>
        <scheme val="minor"/>
      </rPr>
      <t xml:space="preserve"> textbox.</t>
    </r>
  </si>
  <si>
    <r>
      <t xml:space="preserve">1. Functionality is working as expected.
2. After modification, the </t>
    </r>
    <r>
      <rPr>
        <b/>
        <sz val="11"/>
        <color theme="1"/>
        <rFont val="Calibri"/>
        <family val="2"/>
        <scheme val="minor"/>
      </rPr>
      <t>Modified By</t>
    </r>
    <r>
      <rPr>
        <sz val="11"/>
        <color theme="1"/>
        <rFont val="Calibri"/>
        <family val="2"/>
        <scheme val="minor"/>
      </rPr>
      <t xml:space="preserve"> textbox is auto-populated.</t>
    </r>
  </si>
  <si>
    <t>Document_14</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</si>
  <si>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</si>
  <si>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 xml:space="preserve">4. Select an existing record from the left side panel list.
5. Modify any editable field value.
6. Click on the Modify button.
7. Re-select the same record from the left side list.
8. Observe the value displayed in the </t>
    </r>
    <r>
      <rPr>
        <b/>
        <sz val="11"/>
        <color theme="1"/>
        <rFont val="Calibri"/>
        <family val="2"/>
        <scheme val="minor"/>
      </rPr>
      <t>Modified Date</t>
    </r>
    <r>
      <rPr>
        <sz val="11"/>
        <color theme="1"/>
        <rFont val="Calibri"/>
        <family val="2"/>
        <scheme val="minor"/>
      </rPr>
      <t xml:space="preserve"> textbox.</t>
    </r>
  </si>
  <si>
    <r>
      <t xml:space="preserve">1. Functionality is working as expected.
2. After modification, the </t>
    </r>
    <r>
      <rPr>
        <b/>
        <sz val="11"/>
        <color theme="1"/>
        <rFont val="Calibri"/>
        <family val="2"/>
        <scheme val="minor"/>
      </rPr>
      <t>Modified Date</t>
    </r>
    <r>
      <rPr>
        <sz val="11"/>
        <color theme="1"/>
        <rFont val="Calibri"/>
        <family val="2"/>
        <scheme val="minor"/>
      </rPr>
      <t xml:space="preserve"> is auto-populated.</t>
    </r>
  </si>
  <si>
    <t>Local
UAT
(https://idp.icaffe.co.in/demouat/)</t>
  </si>
  <si>
    <t>05-01-2026
06-01-2026</t>
  </si>
  <si>
    <t>Done</t>
  </si>
  <si>
    <t>Document_15</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</si>
  <si>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Document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</si>
  <si>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Document
</t>
    </r>
    <r>
      <rPr>
        <sz val="11"/>
        <color theme="1"/>
        <rFont val="Calibri"/>
        <family val="2"/>
        <scheme val="minor"/>
      </rPr>
      <t>4. Use keyword button to fill the foam and observe the system behaviour.</t>
    </r>
  </si>
  <si>
    <t xml:space="preserve">1. The Keyboard Action (TAB key) feature should function correctly across all fields.
 -&gt; Textboxes
 -&gt; Dropdown
 -&gt; Radio button
</t>
  </si>
  <si>
    <r>
      <t xml:space="preserve">1. Functionality is working as expected.
</t>
    </r>
    <r>
      <rPr>
        <b/>
        <sz val="11"/>
        <color theme="1"/>
        <rFont val="Calibri"/>
        <family val="2"/>
        <scheme val="minor"/>
      </rPr>
      <t xml:space="preserve">
Note: Tab button is not functional on radio button.</t>
    </r>
    <r>
      <rPr>
        <sz val="11"/>
        <color theme="1"/>
        <rFont val="Calibri"/>
        <family val="2"/>
        <scheme val="minor"/>
      </rPr>
      <t xml:space="preserve">
</t>
    </r>
  </si>
  <si>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Document </t>
    </r>
    <r>
      <rPr>
        <sz val="11"/>
        <color theme="1"/>
        <rFont val="Calibri"/>
        <family val="2"/>
        <scheme val="minor"/>
      </rPr>
      <t>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</si>
  <si>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Document </t>
    </r>
    <r>
      <rPr>
        <sz val="11"/>
        <color theme="1"/>
        <rFont val="Calibri"/>
        <family val="2"/>
        <scheme val="minor"/>
      </rPr>
      <t>page.</t>
    </r>
  </si>
  <si>
    <t>Container</t>
  </si>
  <si>
    <t>Container_01</t>
  </si>
  <si>
    <r>
      <t xml:space="preserve">Validate the functionality of </t>
    </r>
    <r>
      <rPr>
        <b/>
        <sz val="11"/>
        <color theme="1"/>
        <rFont val="Calibri"/>
        <family val="2"/>
        <scheme val="minor"/>
      </rPr>
      <t xml:space="preserve">Container,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</si>
  <si>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Container</t>
    </r>
  </si>
  <si>
    <r>
      <t xml:space="preserve">1. On Mouse Hovering action on </t>
    </r>
    <r>
      <rPr>
        <b/>
        <sz val="11"/>
        <color theme="1"/>
        <rFont val="Calibri"/>
        <family val="2"/>
        <scheme val="minor"/>
      </rPr>
      <t xml:space="preserve">Masters -&gt; Container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</si>
  <si>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Container </t>
    </r>
    <r>
      <rPr>
        <sz val="11"/>
        <color theme="1"/>
        <rFont val="Calibri"/>
        <family val="2"/>
        <scheme val="minor"/>
      </rPr>
      <t>Page is opening properly.</t>
    </r>
  </si>
  <si>
    <t>Container_02</t>
  </si>
  <si>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Container Type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</si>
  <si>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Container Type
</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</si>
  <si>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Container Type</t>
    </r>
    <r>
      <rPr>
        <sz val="11"/>
        <color theme="1"/>
        <rFont val="Calibri"/>
        <family val="2"/>
        <scheme val="minor"/>
      </rPr>
      <t xml:space="preserve"> textbox should accept alphanumeric values.
2. </t>
    </r>
    <r>
      <rPr>
        <b/>
        <sz val="11"/>
        <color theme="1"/>
        <rFont val="Calibri"/>
        <family val="2"/>
        <scheme val="minor"/>
      </rPr>
      <t>Container Type</t>
    </r>
    <r>
      <rPr>
        <sz val="11"/>
        <color theme="1"/>
        <rFont val="Calibri"/>
        <family val="2"/>
        <scheme val="minor"/>
      </rPr>
      <t xml:space="preserve"> textbox should not accept special character value, only space value.
3. The textbox length should be limited to 50 characters.</t>
    </r>
  </si>
  <si>
    <t>Container_03</t>
  </si>
  <si>
    <r>
      <t xml:space="preserve">Textbox - </t>
    </r>
    <r>
      <rPr>
        <b/>
        <sz val="11"/>
        <color theme="1"/>
        <rFont val="Calibri"/>
        <family val="2"/>
        <scheme val="minor"/>
      </rPr>
      <t>Container Description</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20 Bulk 
-&gt; 20 Tank etc.</t>
    </r>
  </si>
  <si>
    <r>
      <t xml:space="preserve">1. The functionality is working as expected.
2. </t>
    </r>
    <r>
      <rPr>
        <b/>
        <sz val="11"/>
        <color theme="1"/>
        <rFont val="Calibri"/>
        <family val="2"/>
        <scheme val="minor"/>
      </rPr>
      <t>Container</t>
    </r>
    <r>
      <rPr>
        <sz val="11"/>
        <color theme="1"/>
        <rFont val="Calibri"/>
        <family val="2"/>
        <scheme val="minor"/>
      </rPr>
      <t xml:space="preserve"> </t>
    </r>
    <r>
      <rPr>
        <b/>
        <sz val="11"/>
        <color theme="1"/>
        <rFont val="Calibri"/>
        <family val="2"/>
        <scheme val="minor"/>
      </rPr>
      <t>Description</t>
    </r>
    <r>
      <rPr>
        <sz val="11"/>
        <color theme="1"/>
        <rFont val="Calibri"/>
        <family val="2"/>
        <scheme val="minor"/>
      </rPr>
      <t xml:space="preserve"> can be selected only from the autosuggest list.</t>
    </r>
  </si>
  <si>
    <r>
      <t xml:space="preserve">Validate the functionality of </t>
    </r>
    <r>
      <rPr>
        <b/>
        <sz val="11"/>
        <color theme="1"/>
        <rFont val="Calibri"/>
        <family val="2"/>
        <scheme val="minor"/>
      </rPr>
      <t>Container Type</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</si>
  <si>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Validate the functionality of the </t>
    </r>
    <r>
      <rPr>
        <b/>
        <sz val="11"/>
        <color theme="1"/>
        <rFont val="Calibri"/>
        <family val="2"/>
        <scheme val="minor"/>
      </rPr>
      <t xml:space="preserve">Container Description </t>
    </r>
    <r>
      <rPr>
        <sz val="11"/>
        <color theme="1"/>
        <rFont val="Calibri"/>
        <family val="2"/>
        <scheme val="minor"/>
      </rPr>
      <t xml:space="preserve">textbox on the </t>
    </r>
    <r>
      <rPr>
        <b/>
        <sz val="11"/>
        <color theme="1"/>
        <rFont val="Calibri"/>
        <family val="2"/>
        <scheme val="minor"/>
      </rPr>
      <t>Container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</si>
  <si>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In the </t>
    </r>
    <r>
      <rPr>
        <b/>
        <sz val="11"/>
        <color theme="1"/>
        <rFont val="Calibri"/>
        <family val="2"/>
        <scheme val="minor"/>
      </rPr>
      <t xml:space="preserve">Container Description </t>
    </r>
    <r>
      <rPr>
        <sz val="11"/>
        <color theme="1"/>
        <rFont val="Calibri"/>
        <family val="2"/>
        <scheme val="minor"/>
      </rPr>
      <t xml:space="preserve">textbox, try entering manual inputs.
5. Click on the </t>
    </r>
    <r>
      <rPr>
        <b/>
        <sz val="11"/>
        <color theme="1"/>
        <rFont val="Calibri"/>
        <family val="2"/>
        <scheme val="minor"/>
      </rPr>
      <t>i (info) icon</t>
    </r>
    <r>
      <rPr>
        <sz val="11"/>
        <color theme="1"/>
        <rFont val="Calibri"/>
        <family val="2"/>
        <scheme val="minor"/>
      </rPr>
      <t xml:space="preserve"> or </t>
    </r>
    <r>
      <rPr>
        <b/>
        <sz val="11"/>
        <color theme="1"/>
        <rFont val="Calibri"/>
        <family val="2"/>
        <scheme val="minor"/>
      </rPr>
      <t>press F7</t>
    </r>
    <r>
      <rPr>
        <sz val="11"/>
        <color theme="1"/>
        <rFont val="Calibri"/>
        <family val="2"/>
        <scheme val="minor"/>
      </rPr>
      <t xml:space="preserve"> to open the autosuggest list.
6. Select a value from the autosuggest pop-up list.
7. Observe the system behavior.</t>
    </r>
  </si>
  <si>
    <r>
      <t xml:space="preserve">1. Manual typing should not be allowed in the </t>
    </r>
    <r>
      <rPr>
        <b/>
        <sz val="11"/>
        <color theme="1"/>
        <rFont val="Calibri"/>
        <family val="2"/>
        <scheme val="minor"/>
      </rPr>
      <t>Container Description</t>
    </r>
    <r>
      <rPr>
        <sz val="11"/>
        <color theme="1"/>
        <rFont val="Calibri"/>
        <family val="2"/>
        <scheme val="minor"/>
      </rPr>
      <t xml:space="preserve"> textbox.
2. The user should be able to select a </t>
    </r>
    <r>
      <rPr>
        <b/>
        <sz val="11"/>
        <color theme="1"/>
        <rFont val="Calibri"/>
        <family val="2"/>
        <scheme val="minor"/>
      </rPr>
      <t>Container Description</t>
    </r>
    <r>
      <rPr>
        <sz val="11"/>
        <color theme="1"/>
        <rFont val="Calibri"/>
        <family val="2"/>
        <scheme val="minor"/>
      </rPr>
      <t xml:space="preserve"> only from the autosuggest list using the </t>
    </r>
    <r>
      <rPr>
        <b/>
        <sz val="11"/>
        <color theme="1"/>
        <rFont val="Calibri"/>
        <family val="2"/>
        <scheme val="minor"/>
      </rPr>
      <t>i button or F7 key</t>
    </r>
    <r>
      <rPr>
        <sz val="11"/>
        <color theme="1"/>
        <rFont val="Calibri"/>
        <family val="2"/>
        <scheme val="minor"/>
      </rPr>
      <t>.
3. The textbox should accept values only from the autosuggest list.</t>
    </r>
  </si>
  <si>
    <t>Container_04</t>
  </si>
  <si>
    <r>
      <t xml:space="preserve">Validate the functionality of </t>
    </r>
    <r>
      <rPr>
        <b/>
        <sz val="11"/>
        <color theme="1"/>
        <rFont val="Calibri"/>
        <family val="2"/>
        <scheme val="minor"/>
      </rPr>
      <t>Container Size</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</si>
  <si>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Container size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</si>
  <si>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Container Size
</t>
    </r>
    <r>
      <rPr>
        <b/>
        <sz val="11"/>
        <color theme="1"/>
        <rFont val="Calibri"/>
        <family val="2"/>
        <scheme val="minor"/>
      </rPr>
      <t xml:space="preserve"> Valid Data: N</t>
    </r>
    <r>
      <rPr>
        <sz val="11"/>
        <color theme="1"/>
        <rFont val="Calibri"/>
        <family val="2"/>
        <scheme val="minor"/>
      </rPr>
      <t xml:space="preserve">umeric Value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</si>
  <si>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Container Size</t>
    </r>
    <r>
      <rPr>
        <sz val="11"/>
        <color theme="1"/>
        <rFont val="Calibri"/>
        <family val="2"/>
        <scheme val="minor"/>
      </rPr>
      <t xml:space="preserve"> textbox should accept Numeric values.
2. </t>
    </r>
    <r>
      <rPr>
        <b/>
        <sz val="11"/>
        <color theme="1"/>
        <rFont val="Calibri"/>
        <family val="2"/>
        <scheme val="minor"/>
      </rPr>
      <t>Container Size</t>
    </r>
    <r>
      <rPr>
        <sz val="11"/>
        <color theme="1"/>
        <rFont val="Calibri"/>
        <family val="2"/>
        <scheme val="minor"/>
      </rPr>
      <t xml:space="preserve"> textbox should not accept special character value, only space value and Alphabetic value.
3. The textbox length should be limited to 2 characters.</t>
    </r>
  </si>
  <si>
    <r>
      <t>1. Functionality is not working as expected .
2. Container Size textbox is accepting</t>
    </r>
    <r>
      <rPr>
        <b/>
        <sz val="11"/>
        <color theme="1"/>
        <rFont val="Calibri"/>
        <family val="2"/>
        <scheme val="minor"/>
      </rPr>
      <t xml:space="preserve"> special character value</t>
    </r>
    <r>
      <rPr>
        <sz val="11"/>
        <color theme="1"/>
        <rFont val="Calibri"/>
        <family val="2"/>
        <scheme val="minor"/>
      </rPr>
      <t xml:space="preserve">.
3. The 2-character limit is implemented correctly.
</t>
    </r>
  </si>
  <si>
    <t>Container_05</t>
  </si>
  <si>
    <r>
      <t xml:space="preserve">Validate the functionality of </t>
    </r>
    <r>
      <rPr>
        <b/>
        <sz val="11"/>
        <color theme="1"/>
        <rFont val="Calibri"/>
        <family val="2"/>
        <scheme val="minor"/>
      </rPr>
      <t>Door Height</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</si>
  <si>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Door Height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</si>
  <si>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Door Height
</t>
    </r>
    <r>
      <rPr>
        <b/>
        <sz val="11"/>
        <color theme="1"/>
        <rFont val="Calibri"/>
        <family val="2"/>
        <scheme val="minor"/>
      </rPr>
      <t xml:space="preserve"> 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</si>
  <si>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t>Container_06</t>
  </si>
  <si>
    <r>
      <t xml:space="preserve">Validate the functionality of </t>
    </r>
    <r>
      <rPr>
        <b/>
        <sz val="11"/>
        <color theme="1"/>
        <rFont val="Calibri"/>
        <family val="2"/>
        <scheme val="minor"/>
      </rPr>
      <t>Door Width</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</si>
  <si>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Door Width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</si>
  <si>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Door Width
</t>
    </r>
    <r>
      <rPr>
        <b/>
        <sz val="11"/>
        <color theme="1"/>
        <rFont val="Calibri"/>
        <family val="2"/>
        <scheme val="minor"/>
      </rPr>
      <t xml:space="preserve"> 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</si>
  <si>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Door Height</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</si>
  <si>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r>
      <t xml:space="preserve">1. As per the use case, the </t>
    </r>
    <r>
      <rPr>
        <b/>
        <sz val="11"/>
        <color theme="1"/>
        <rFont val="Calibri"/>
        <family val="2"/>
        <scheme val="minor"/>
      </rPr>
      <t>Door Width</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</si>
  <si>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Container_07</t>
  </si>
  <si>
    <r>
      <t xml:space="preserve">Validate the functionality of </t>
    </r>
    <r>
      <rPr>
        <b/>
        <sz val="11"/>
        <color theme="1"/>
        <rFont val="Calibri"/>
        <family val="2"/>
        <scheme val="minor"/>
      </rPr>
      <t>Dimension Length</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</si>
  <si>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Dimension Length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</si>
  <si>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Dimension Length
</t>
    </r>
    <r>
      <rPr>
        <b/>
        <sz val="11"/>
        <color theme="1"/>
        <rFont val="Calibri"/>
        <family val="2"/>
        <scheme val="minor"/>
      </rPr>
      <t xml:space="preserve">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</si>
  <si>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Dimension Length</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</si>
  <si>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Container_08</t>
  </si>
  <si>
    <r>
      <t xml:space="preserve">Validate the functionality of </t>
    </r>
    <r>
      <rPr>
        <b/>
        <sz val="11"/>
        <color theme="1"/>
        <rFont val="Calibri"/>
        <family val="2"/>
        <scheme val="minor"/>
      </rPr>
      <t>Dimension Width</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</si>
  <si>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Dimension Width </t>
    </r>
    <r>
      <rPr>
        <sz val="11"/>
        <color theme="1"/>
        <rFont val="Calibri"/>
        <family val="2"/>
        <scheme val="minor"/>
      </rPr>
      <t>textbox and observe the system behaviour.</t>
    </r>
  </si>
  <si>
    <r>
      <t xml:space="preserve">1. As per the use case, the </t>
    </r>
    <r>
      <rPr>
        <b/>
        <sz val="11"/>
        <color theme="1"/>
        <rFont val="Calibri"/>
        <family val="2"/>
        <scheme val="minor"/>
      </rPr>
      <t>Dimension Width</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</si>
  <si>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Container_09</t>
  </si>
  <si>
    <r>
      <t xml:space="preserve">Validate the functionality of </t>
    </r>
    <r>
      <rPr>
        <b/>
        <sz val="11"/>
        <color theme="1"/>
        <rFont val="Calibri"/>
        <family val="2"/>
        <scheme val="minor"/>
      </rPr>
      <t>Gross Weight</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</si>
  <si>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Gross Weight </t>
    </r>
    <r>
      <rPr>
        <sz val="11"/>
        <color theme="1"/>
        <rFont val="Calibri"/>
        <family val="2"/>
        <scheme val="minor"/>
      </rPr>
      <t>textbox and observe the system behaviour.</t>
    </r>
  </si>
  <si>
    <r>
      <t xml:space="preserve">1. As per the use case, the </t>
    </r>
    <r>
      <rPr>
        <b/>
        <sz val="11"/>
        <color theme="1"/>
        <rFont val="Calibri"/>
        <family val="2"/>
        <scheme val="minor"/>
      </rPr>
      <t>Gross Weight</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</si>
  <si>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Container_10</t>
  </si>
  <si>
    <r>
      <t xml:space="preserve">Validate the functionality of </t>
    </r>
    <r>
      <rPr>
        <b/>
        <sz val="11"/>
        <color theme="1"/>
        <rFont val="Calibri"/>
        <family val="2"/>
        <scheme val="minor"/>
      </rPr>
      <t>Tare</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</si>
  <si>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Tare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</si>
  <si>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Tare
</t>
    </r>
    <r>
      <rPr>
        <b/>
        <sz val="11"/>
        <color theme="1"/>
        <rFont val="Calibri"/>
        <family val="2"/>
        <scheme val="minor"/>
      </rPr>
      <t xml:space="preserve">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</si>
  <si>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Tare</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</si>
  <si>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Container_11</t>
  </si>
  <si>
    <r>
      <t xml:space="preserve">Validate the functionality of </t>
    </r>
    <r>
      <rPr>
        <b/>
        <sz val="11"/>
        <color theme="1"/>
        <rFont val="Calibri"/>
        <family val="2"/>
        <scheme val="minor"/>
      </rPr>
      <t>Payload</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</si>
  <si>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Payload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</si>
  <si>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Payload
</t>
    </r>
    <r>
      <rPr>
        <b/>
        <sz val="11"/>
        <color theme="1"/>
        <rFont val="Calibri"/>
        <family val="2"/>
        <scheme val="minor"/>
      </rPr>
      <t xml:space="preserve">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</si>
  <si>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Payload</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</si>
  <si>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Container_12</t>
  </si>
  <si>
    <r>
      <t xml:space="preserve">Validate the functionality of </t>
    </r>
    <r>
      <rPr>
        <b/>
        <sz val="11"/>
        <color theme="1"/>
        <rFont val="Calibri"/>
        <family val="2"/>
        <scheme val="minor"/>
      </rPr>
      <t>Volume</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</si>
  <si>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Volume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</si>
  <si>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Volume
</t>
    </r>
    <r>
      <rPr>
        <b/>
        <sz val="11"/>
        <color theme="1"/>
        <rFont val="Calibri"/>
        <family val="2"/>
        <scheme val="minor"/>
      </rPr>
      <t xml:space="preserve">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</si>
  <si>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Volume</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</si>
  <si>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Container_13</t>
  </si>
  <si>
    <r>
      <t xml:space="preserve">Validate the functionality of </t>
    </r>
    <r>
      <rPr>
        <b/>
        <sz val="11"/>
        <color theme="1"/>
        <rFont val="Calibri"/>
        <family val="2"/>
        <scheme val="minor"/>
      </rPr>
      <t>Height To Load</t>
    </r>
    <r>
      <rPr>
        <sz val="11"/>
        <color theme="1"/>
        <rFont val="Calibri"/>
        <family val="2"/>
        <scheme val="minor"/>
      </rPr>
      <t xml:space="preserve"> textbox in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</si>
  <si>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&amp; Invalid Data in </t>
    </r>
    <r>
      <rPr>
        <b/>
        <sz val="11"/>
        <color theme="1"/>
        <rFont val="Calibri"/>
        <family val="2"/>
        <scheme val="minor"/>
      </rPr>
      <t xml:space="preserve">Height To Load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</si>
  <si>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Height To Load
</t>
    </r>
    <r>
      <rPr>
        <b/>
        <sz val="11"/>
        <color theme="1"/>
        <rFont val="Calibri"/>
        <family val="2"/>
        <scheme val="minor"/>
      </rPr>
      <t xml:space="preserve">Valid Data: </t>
    </r>
    <r>
      <rPr>
        <sz val="11"/>
        <color theme="1"/>
        <rFont val="Calibri"/>
        <family val="2"/>
        <scheme val="minor"/>
      </rPr>
      <t xml:space="preserve">Numeric with Deciaml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</si>
  <si>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Height To Load</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4 characters.</t>
    </r>
  </si>
  <si>
    <t>Container_14</t>
  </si>
  <si>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data in all mandatory and non-mandatory fields on the </t>
    </r>
    <r>
      <rPr>
        <b/>
        <sz val="11"/>
        <color theme="1"/>
        <rFont val="Calibri"/>
        <family val="2"/>
        <scheme val="minor"/>
      </rPr>
      <t>Container</t>
    </r>
    <r>
      <rPr>
        <sz val="11"/>
        <color theme="1"/>
        <rFont val="Calibri"/>
        <family val="2"/>
        <scheme val="minor"/>
      </rPr>
      <t xml:space="preserve"> page.
5. Click the Save button and observe the system behavior.</t>
    </r>
  </si>
  <si>
    <r>
      <t xml:space="preserve">1. The system should save the record successfully.
2. A confirmation message should be displayed (e.g., “Record saved successfully.”).
3. The saved record should be listed in the </t>
    </r>
    <r>
      <rPr>
        <b/>
        <sz val="11"/>
        <color theme="1"/>
        <rFont val="Calibri"/>
        <family val="2"/>
        <scheme val="minor"/>
      </rPr>
      <t>Container Details grid</t>
    </r>
    <r>
      <rPr>
        <sz val="11"/>
        <color theme="1"/>
        <rFont val="Calibri"/>
        <family val="2"/>
        <scheme val="minor"/>
      </rPr>
      <t>.
4. The saved record should be selectable from the Container Details grid and the selected record’s data should be correctly displayed in the corresponding textboxes.</t>
    </r>
  </si>
  <si>
    <t>1. The record is saved successfully.
2. A confirmation message is displayed.
3. The record is stored in the Container Details grid.
4. The record is selectable and the record data is correctly displayed in the corresponding textboxes.</t>
  </si>
  <si>
    <t>Container_15</t>
  </si>
  <si>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mandatory and non-mandatory</t>
    </r>
    <r>
      <rPr>
        <sz val="11"/>
        <color theme="1"/>
        <rFont val="Calibri"/>
        <family val="2"/>
        <scheme val="minor"/>
      </rPr>
      <t xml:space="preserve">) fields are filled on the </t>
    </r>
    <r>
      <rPr>
        <b/>
        <sz val="11"/>
        <color theme="1"/>
        <rFont val="Calibri"/>
        <family val="2"/>
        <scheme val="minor"/>
      </rPr>
      <t>Container</t>
    </r>
    <r>
      <rPr>
        <sz val="11"/>
        <color theme="1"/>
        <rFont val="Calibri"/>
        <family val="2"/>
        <scheme val="minor"/>
      </rPr>
      <t xml:space="preserve"> page.</t>
    </r>
  </si>
  <si>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Mandatory fields</t>
    </r>
    <r>
      <rPr>
        <sz val="11"/>
        <color theme="1"/>
        <rFont val="Calibri"/>
        <family val="2"/>
        <scheme val="minor"/>
      </rPr>
      <t xml:space="preserve"> are filled and</t>
    </r>
    <r>
      <rPr>
        <b/>
        <sz val="11"/>
        <color theme="1"/>
        <rFont val="Calibri"/>
        <family val="2"/>
        <scheme val="minor"/>
      </rPr>
      <t xml:space="preserve"> Non-Mandatory</t>
    </r>
    <r>
      <rPr>
        <sz val="11"/>
        <color theme="1"/>
        <rFont val="Calibri"/>
        <family val="2"/>
        <scheme val="minor"/>
      </rPr>
      <t xml:space="preserve"> fields are left blank on the </t>
    </r>
    <r>
      <rPr>
        <b/>
        <sz val="11"/>
        <color theme="1"/>
        <rFont val="Calibri"/>
        <family val="2"/>
        <scheme val="minor"/>
      </rPr>
      <t>Container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</si>
  <si>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data in only </t>
    </r>
    <r>
      <rPr>
        <b/>
        <sz val="11"/>
        <color theme="1"/>
        <rFont val="Calibri"/>
        <family val="2"/>
        <scheme val="minor"/>
      </rPr>
      <t>Mandatory fields</t>
    </r>
    <r>
      <rPr>
        <sz val="11"/>
        <color theme="1"/>
        <rFont val="Calibri"/>
        <family val="2"/>
        <scheme val="minor"/>
      </rPr>
      <t xml:space="preserve"> and leave all Non-Mandatory fields blank.
5. Click on the Save button &amp; observe the system behaviour.</t>
    </r>
  </si>
  <si>
    <r>
      <rPr>
        <b/>
        <sz val="11"/>
        <color theme="1"/>
        <rFont val="Calibri"/>
        <family val="2"/>
        <scheme val="minor"/>
      </rPr>
      <t xml:space="preserve">1. Mandatory Fields As Per Page UI:
</t>
    </r>
    <r>
      <rPr>
        <sz val="11"/>
        <color theme="1"/>
        <rFont val="Calibri"/>
        <family val="2"/>
        <scheme val="minor"/>
      </rPr>
      <t xml:space="preserve"> -&gt; Container Type
 -&gt; Container Description
 -&gt; Container Size
</t>
    </r>
    <r>
      <rPr>
        <b/>
        <sz val="11"/>
        <color theme="1"/>
        <rFont val="Calibri"/>
        <family val="2"/>
        <scheme val="minor"/>
      </rPr>
      <t/>
    </r>
  </si>
  <si>
    <t>Container_16</t>
  </si>
  <si>
    <r>
      <t xml:space="preserve">Validate </t>
    </r>
    <r>
      <rPr>
        <b/>
        <sz val="11"/>
        <color theme="1"/>
        <rFont val="Calibri"/>
        <family val="2"/>
        <scheme val="minor"/>
      </rPr>
      <t>Save</t>
    </r>
    <r>
      <rPr>
        <sz val="11"/>
        <color theme="1"/>
        <rFont val="Calibri"/>
        <family val="2"/>
        <scheme val="minor"/>
      </rPr>
      <t xml:space="preserve"> button functionality when</t>
    </r>
    <r>
      <rPr>
        <b/>
        <sz val="11"/>
        <color theme="1"/>
        <rFont val="Calibri"/>
        <family val="2"/>
        <scheme val="minor"/>
      </rPr>
      <t xml:space="preserve"> only Non-Mandatory fields are filled </t>
    </r>
    <r>
      <rPr>
        <sz val="11"/>
        <color theme="1"/>
        <rFont val="Calibri"/>
        <family val="2"/>
        <scheme val="minor"/>
      </rPr>
      <t xml:space="preserve">and </t>
    </r>
    <r>
      <rPr>
        <b/>
        <sz val="11"/>
        <color theme="1"/>
        <rFont val="Calibri"/>
        <family val="2"/>
        <scheme val="minor"/>
      </rPr>
      <t>Mandatory fields are left blank</t>
    </r>
    <r>
      <rPr>
        <sz val="11"/>
        <color theme="1"/>
        <rFont val="Calibri"/>
        <family val="2"/>
        <scheme val="minor"/>
      </rPr>
      <t xml:space="preserve"> on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</si>
  <si>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 xml:space="preserve">4. Enter valid data in </t>
    </r>
    <r>
      <rPr>
        <b/>
        <sz val="11"/>
        <color theme="1"/>
        <rFont val="Calibri"/>
        <family val="2"/>
        <scheme val="minor"/>
      </rPr>
      <t>Non-Mandatory fields</t>
    </r>
    <r>
      <rPr>
        <sz val="11"/>
        <color theme="1"/>
        <rFont val="Calibri"/>
        <family val="2"/>
        <scheme val="minor"/>
      </rPr>
      <t xml:space="preserve"> and leave </t>
    </r>
    <r>
      <rPr>
        <b/>
        <sz val="11"/>
        <color theme="1"/>
        <rFont val="Calibri"/>
        <family val="2"/>
        <scheme val="minor"/>
      </rPr>
      <t>all Mandatory fields blank</t>
    </r>
    <r>
      <rPr>
        <sz val="11"/>
        <color theme="1"/>
        <rFont val="Calibri"/>
        <family val="2"/>
        <scheme val="minor"/>
      </rPr>
      <t>.
5. Click on the Save button &amp; observe the system behaviour.</t>
    </r>
  </si>
  <si>
    <r>
      <rPr>
        <b/>
        <sz val="11"/>
        <color theme="1"/>
        <rFont val="Calibri"/>
        <family val="2"/>
        <scheme val="minor"/>
      </rPr>
      <t xml:space="preserve">1. Non - Mandatory Fields As Per Page UI:
</t>
    </r>
    <r>
      <rPr>
        <sz val="11"/>
        <color theme="1"/>
        <rFont val="Calibri"/>
        <family val="2"/>
        <scheme val="minor"/>
      </rPr>
      <t xml:space="preserve"> -&gt; Door Height
 -&gt; Door Width
 -&gt; Dimension Length
 -&gt; Dimension Width
 -&gt; Gross Weight
 -&gt; Tare
 -&gt; Payload
 -&gt; Volume
 -&gt; Height To Load
</t>
    </r>
    <r>
      <rPr>
        <b/>
        <sz val="11"/>
        <color theme="1"/>
        <rFont val="Calibri"/>
        <family val="2"/>
        <scheme val="minor"/>
      </rPr>
      <t/>
    </r>
  </si>
  <si>
    <r>
      <t xml:space="preserve">1. The record </t>
    </r>
    <r>
      <rPr>
        <b/>
        <sz val="11"/>
        <color theme="1"/>
        <rFont val="Calibri"/>
        <family val="2"/>
        <scheme val="minor"/>
      </rPr>
      <t>must not be saved</t>
    </r>
    <r>
      <rPr>
        <sz val="11"/>
        <color theme="1"/>
        <rFont val="Calibri"/>
        <family val="2"/>
        <scheme val="minor"/>
      </rPr>
      <t xml:space="preserve"> when mandatory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Container Details grid.
 -&gt; Record should be selectable from the Container Details grid and the selected record’s data should be correctly displayed in the corresponding textboxes.</t>
    </r>
  </si>
  <si>
    <t>1. The functionality is working as expected.
2. When mandatory fields are not filled, the record is not saved.
3. Mandatory field validation messages are displayed with correct text and in the correct UI sequence.
4. After filling all mandatory fields:
 -&gt; The record is saved successfully in the Container Details grid.
 -&gt; The saved record is selectable and the record data is correctly displayed in the corresponding textboxes.</t>
  </si>
  <si>
    <t>Container_17</t>
  </si>
  <si>
    <r>
      <t>Validate Save button functionality when</t>
    </r>
    <r>
      <rPr>
        <b/>
        <sz val="11"/>
        <color theme="1"/>
        <rFont val="Calibri"/>
        <family val="2"/>
        <scheme val="minor"/>
      </rPr>
      <t xml:space="preserve"> all Mandatory and Non-Mandatory fields are left blank</t>
    </r>
    <r>
      <rPr>
        <sz val="11"/>
        <color theme="1"/>
        <rFont val="Calibri"/>
        <family val="2"/>
        <scheme val="minor"/>
      </rPr>
      <t xml:space="preserve"> on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</si>
  <si>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t>
    </r>
    <r>
      <rPr>
        <sz val="11"/>
        <color theme="1"/>
        <rFont val="Calibri"/>
        <family val="2"/>
        <scheme val="minor"/>
      </rPr>
      <t>4. Without entering any data in any field, click the Save button.
5. Observe the system behavior.</t>
    </r>
  </si>
  <si>
    <r>
      <t xml:space="preserve">1. The record </t>
    </r>
    <r>
      <rPr>
        <b/>
        <sz val="11"/>
        <color theme="1"/>
        <rFont val="Calibri"/>
        <family val="2"/>
        <scheme val="minor"/>
      </rPr>
      <t>must not be saved</t>
    </r>
    <r>
      <rPr>
        <sz val="11"/>
        <color theme="1"/>
        <rFont val="Calibri"/>
        <family val="2"/>
        <scheme val="minor"/>
      </rPr>
      <t xml:space="preserve"> when all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Container Details grid.
 -&gt; Record should be selectable from the Container Details grid and the selected record’s data should be correctly displayed in the corresponding textboxes.</t>
    </r>
  </si>
  <si>
    <t>Container_18</t>
  </si>
  <si>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</si>
  <si>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Container
</t>
    </r>
    <r>
      <rPr>
        <sz val="11"/>
        <color theme="1"/>
        <rFont val="Calibri"/>
        <family val="2"/>
        <scheme val="minor"/>
      </rPr>
      <t>4. Select an existing record from the Container Details grid.
5. Modify one or more fields with valid new data.
6. Click on the Modify button.
7. Re-select the same record and verify the updated values.</t>
    </r>
  </si>
  <si>
    <t>1. Select any existing record from the Container Details grid.
2. Modify one or more fields with new valid data.</t>
  </si>
  <si>
    <r>
      <t xml:space="preserve">1. </t>
    </r>
    <r>
      <rPr>
        <b/>
        <sz val="11"/>
        <color theme="1"/>
        <rFont val="Calibri"/>
        <family val="2"/>
        <scheme val="minor"/>
      </rPr>
      <t>Modify</t>
    </r>
    <r>
      <rPr>
        <sz val="11"/>
        <color theme="1"/>
        <rFont val="Calibri"/>
        <family val="2"/>
        <scheme val="minor"/>
      </rPr>
      <t xml:space="preserve"> button should be enabled only when a record is selected and its data is loaded into the corresponding textboxes.
2. On clicking </t>
    </r>
    <r>
      <rPr>
        <b/>
        <sz val="11"/>
        <color theme="1"/>
        <rFont val="Calibri"/>
        <family val="2"/>
        <scheme val="minor"/>
      </rPr>
      <t>Modify</t>
    </r>
    <r>
      <rPr>
        <sz val="11"/>
        <color theme="1"/>
        <rFont val="Calibri"/>
        <family val="2"/>
        <scheme val="minor"/>
      </rPr>
      <t xml:space="preserve">, the record should be updated with the new values.
3. The updated record should reflect correctly in the Container Details grid.
4. User should be able to </t>
    </r>
    <r>
      <rPr>
        <b/>
        <sz val="11"/>
        <color theme="1"/>
        <rFont val="Calibri"/>
        <family val="2"/>
        <scheme val="minor"/>
      </rPr>
      <t>modify</t>
    </r>
    <r>
      <rPr>
        <sz val="11"/>
        <color theme="1"/>
        <rFont val="Calibri"/>
        <family val="2"/>
        <scheme val="minor"/>
      </rPr>
      <t xml:space="preserve"> the same record multiple times.</t>
    </r>
  </si>
  <si>
    <t>Container_19</t>
  </si>
  <si>
    <r>
      <t xml:space="preserve">Validate the functionality of </t>
    </r>
    <r>
      <rPr>
        <b/>
        <sz val="11"/>
        <color theme="1"/>
        <rFont val="Calibri"/>
        <family val="2"/>
        <scheme val="minor"/>
      </rPr>
      <t>Delete</t>
    </r>
    <r>
      <rPr>
        <sz val="11"/>
        <color theme="1"/>
        <rFont val="Calibri"/>
        <family val="2"/>
        <scheme val="minor"/>
      </rPr>
      <t xml:space="preserve"> button on the </t>
    </r>
    <r>
      <rPr>
        <b/>
        <sz val="11"/>
        <color theme="1"/>
        <rFont val="Calibri"/>
        <family val="2"/>
        <scheme val="minor"/>
      </rPr>
      <t>Container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</si>
  <si>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Container
</t>
    </r>
    <r>
      <rPr>
        <sz val="11"/>
        <color theme="1"/>
        <rFont val="Calibri"/>
        <family val="2"/>
        <scheme val="minor"/>
      </rPr>
      <t xml:space="preserve">4. Select an existing record from the </t>
    </r>
    <r>
      <rPr>
        <b/>
        <sz val="11"/>
        <color theme="1"/>
        <rFont val="Calibri"/>
        <family val="2"/>
        <scheme val="minor"/>
      </rPr>
      <t>Container Details grid</t>
    </r>
    <r>
      <rPr>
        <sz val="11"/>
        <color theme="1"/>
        <rFont val="Calibri"/>
        <family val="2"/>
        <scheme val="minor"/>
      </rPr>
      <t xml:space="preserve">.
5. Verify that the corresponding record details are populated in the input fields.
6. Click on the </t>
    </r>
    <r>
      <rPr>
        <b/>
        <sz val="11"/>
        <color theme="1"/>
        <rFont val="Calibri"/>
        <family val="2"/>
        <scheme val="minor"/>
      </rPr>
      <t xml:space="preserve">Delete </t>
    </r>
    <r>
      <rPr>
        <sz val="11"/>
        <color theme="1"/>
        <rFont val="Calibri"/>
        <family val="2"/>
        <scheme val="minor"/>
      </rPr>
      <t>button and observe the system behavior.</t>
    </r>
  </si>
  <si>
    <t xml:space="preserve">1. Select any existing record from the Container Details grid.
</t>
  </si>
  <si>
    <r>
      <t xml:space="preserve">1. </t>
    </r>
    <r>
      <rPr>
        <b/>
        <sz val="11"/>
        <color theme="1"/>
        <rFont val="Calibri"/>
        <family val="2"/>
        <scheme val="minor"/>
      </rPr>
      <t>Delete</t>
    </r>
    <r>
      <rPr>
        <sz val="11"/>
        <color theme="1"/>
        <rFont val="Calibri"/>
        <family val="2"/>
        <scheme val="minor"/>
      </rPr>
      <t xml:space="preserv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Container Details grid.
If the user selects No -The deletion process should be cancelled and the record should remain unchanged.</t>
    </r>
  </si>
  <si>
    <t xml:space="preserve">Functionality is not working as expected.
</t>
  </si>
  <si>
    <t>Container_20</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</si>
  <si>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</si>
  <si>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Container
</t>
    </r>
    <r>
      <rPr>
        <sz val="11"/>
        <color theme="1"/>
        <rFont val="Calibri"/>
        <family val="2"/>
        <scheme val="minor"/>
      </rPr>
      <t>4. Enter values in all or few input fields.
5. Click the Clear button and observe the system behavior.</t>
    </r>
  </si>
  <si>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Container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</si>
  <si>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Container
</t>
    </r>
    <r>
      <rPr>
        <sz val="11"/>
        <color theme="1"/>
        <rFont val="Calibri"/>
        <family val="2"/>
        <scheme val="minor"/>
      </rPr>
      <t>4. Use keyword button to fill the foam and observe the system behaviour.</t>
    </r>
  </si>
  <si>
    <r>
      <t xml:space="preserve">1. Functionality is working as expected.
</t>
    </r>
    <r>
      <rPr>
        <b/>
        <sz val="11"/>
        <color theme="1"/>
        <rFont val="Calibri"/>
        <family val="2"/>
        <scheme val="minor"/>
      </rPr>
      <t xml:space="preserve">
</t>
    </r>
    <r>
      <rPr>
        <sz val="11"/>
        <color theme="1"/>
        <rFont val="Calibri"/>
        <family val="2"/>
        <scheme val="minor"/>
      </rPr>
      <t xml:space="preserve">
</t>
    </r>
  </si>
  <si>
    <t>Stuffing_Master_01</t>
  </si>
  <si>
    <t>Stuffing Master</t>
  </si>
  <si>
    <r>
      <t xml:space="preserve">Validate the functionality of </t>
    </r>
    <r>
      <rPr>
        <b/>
        <sz val="11"/>
        <color theme="1"/>
        <rFont val="Calibri"/>
        <family val="2"/>
        <scheme val="minor"/>
      </rPr>
      <t xml:space="preserve">Stuffing Master,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</si>
  <si>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Stuffing Master</t>
    </r>
  </si>
  <si>
    <r>
      <t xml:space="preserve">1. On Mouse Hovering action on </t>
    </r>
    <r>
      <rPr>
        <b/>
        <sz val="11"/>
        <color theme="1"/>
        <rFont val="Calibri"/>
        <family val="2"/>
        <scheme val="minor"/>
      </rPr>
      <t xml:space="preserve">Masters -&gt; Stuffing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</si>
  <si>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Stuffing Master </t>
    </r>
    <r>
      <rPr>
        <sz val="11"/>
        <color theme="1"/>
        <rFont val="Calibri"/>
        <family val="2"/>
        <scheme val="minor"/>
      </rPr>
      <t>Page is opening properly.</t>
    </r>
  </si>
  <si>
    <t>Daily_Currency_01</t>
  </si>
  <si>
    <t>Daily currency Rate</t>
  </si>
  <si>
    <r>
      <t xml:space="preserve">Validate the functionality of </t>
    </r>
    <r>
      <rPr>
        <b/>
        <sz val="11"/>
        <color theme="1"/>
        <rFont val="Calibri"/>
        <family val="2"/>
        <scheme val="minor"/>
      </rPr>
      <t xml:space="preserve">Daily currency Rate,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</si>
  <si>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Daily currency Rate</t>
    </r>
  </si>
  <si>
    <r>
      <t xml:space="preserve">1. On Mouse Hovering action on </t>
    </r>
    <r>
      <rPr>
        <b/>
        <sz val="11"/>
        <color theme="1"/>
        <rFont val="Calibri"/>
        <family val="2"/>
        <scheme val="minor"/>
      </rPr>
      <t xml:space="preserve">Masters -&gt; Daily currency Rate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</si>
  <si>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Daily currency Rate </t>
    </r>
    <r>
      <rPr>
        <sz val="11"/>
        <color theme="1"/>
        <rFont val="Calibri"/>
        <family val="2"/>
        <scheme val="minor"/>
      </rPr>
      <t>Page is opening properly.</t>
    </r>
  </si>
  <si>
    <t>Daily_Currency_02</t>
  </si>
  <si>
    <r>
      <t xml:space="preserve">Validate the functionality of the </t>
    </r>
    <r>
      <rPr>
        <b/>
        <sz val="11"/>
        <color theme="1"/>
        <rFont val="Calibri"/>
        <family val="2"/>
        <scheme val="minor"/>
      </rPr>
      <t xml:space="preserve">Currency Name </t>
    </r>
    <r>
      <rPr>
        <sz val="11"/>
        <color theme="1"/>
        <rFont val="Calibri"/>
        <family val="2"/>
        <scheme val="minor"/>
      </rPr>
      <t xml:space="preserve">textbox on the </t>
    </r>
    <r>
      <rPr>
        <b/>
        <sz val="11"/>
        <color theme="1"/>
        <rFont val="Calibri"/>
        <family val="2"/>
        <scheme val="minor"/>
      </rPr>
      <t>Daily currency Rate</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</si>
  <si>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 xml:space="preserve">4. In the </t>
    </r>
    <r>
      <rPr>
        <b/>
        <sz val="11"/>
        <color theme="1"/>
        <rFont val="Calibri"/>
        <family val="2"/>
        <scheme val="minor"/>
      </rPr>
      <t xml:space="preserve">Currency Name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</si>
  <si>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Currency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EURO
-&gt; Indian National Rupee</t>
    </r>
  </si>
  <si>
    <r>
      <t xml:space="preserve">1. Manual input should not be allowed in the </t>
    </r>
    <r>
      <rPr>
        <b/>
        <sz val="11"/>
        <color theme="1"/>
        <rFont val="Calibri"/>
        <family val="2"/>
        <scheme val="minor"/>
      </rPr>
      <t>Currency Name</t>
    </r>
    <r>
      <rPr>
        <sz val="11"/>
        <color theme="1"/>
        <rFont val="Calibri"/>
        <family val="2"/>
        <scheme val="minor"/>
      </rPr>
      <t xml:space="preserve"> textbox.
2. The user should be able to select a </t>
    </r>
    <r>
      <rPr>
        <b/>
        <sz val="11"/>
        <color theme="1"/>
        <rFont val="Calibri"/>
        <family val="2"/>
        <scheme val="minor"/>
      </rPr>
      <t xml:space="preserve">Currency Name </t>
    </r>
    <r>
      <rPr>
        <sz val="11"/>
        <color theme="1"/>
        <rFont val="Calibri"/>
        <family val="2"/>
        <scheme val="minor"/>
      </rPr>
      <t>value</t>
    </r>
    <r>
      <rPr>
        <b/>
        <sz val="11"/>
        <color theme="1"/>
        <rFont val="Calibri"/>
        <family val="2"/>
        <scheme val="minor"/>
      </rPr>
      <t xml:space="preserv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</si>
  <si>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Currency Name</t>
    </r>
    <r>
      <rPr>
        <sz val="11"/>
        <color theme="1"/>
        <rFont val="Calibri"/>
        <family val="2"/>
        <scheme val="minor"/>
      </rPr>
      <t xml:space="preserve"> can be selected only from the autosuggest list.</t>
    </r>
  </si>
  <si>
    <t>Daily_Currency_03</t>
  </si>
  <si>
    <r>
      <t xml:space="preserve">Validate the functionality of </t>
    </r>
    <r>
      <rPr>
        <b/>
        <sz val="11"/>
        <color theme="1"/>
        <rFont val="Calibri"/>
        <family val="2"/>
        <scheme val="minor"/>
      </rPr>
      <t>Buy Rate</t>
    </r>
    <r>
      <rPr>
        <sz val="11"/>
        <color theme="1"/>
        <rFont val="Calibri"/>
        <family val="2"/>
        <scheme val="minor"/>
      </rPr>
      <t xml:space="preserve"> textbox in the </t>
    </r>
    <r>
      <rPr>
        <b/>
        <sz val="11"/>
        <color theme="1"/>
        <rFont val="Calibri"/>
        <family val="2"/>
        <scheme val="minor"/>
      </rPr>
      <t xml:space="preserve">Daily currency Rate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</si>
  <si>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 xml:space="preserve">4. Enter Valid &amp; Invalid Data in </t>
    </r>
    <r>
      <rPr>
        <b/>
        <sz val="11"/>
        <color theme="1"/>
        <rFont val="Calibri"/>
        <family val="2"/>
        <scheme val="minor"/>
      </rPr>
      <t xml:space="preserve">Buy Rate </t>
    </r>
    <r>
      <rPr>
        <sz val="11"/>
        <color theme="1"/>
        <rFont val="Calibri"/>
        <family val="2"/>
        <scheme val="minor"/>
      </rPr>
      <t>textbox and observe the system behaviour.</t>
    </r>
  </si>
  <si>
    <r>
      <t xml:space="preserve">1. As per the use case, the </t>
    </r>
    <r>
      <rPr>
        <b/>
        <sz val="11"/>
        <color theme="1"/>
        <rFont val="Calibri"/>
        <family val="2"/>
        <scheme val="minor"/>
      </rPr>
      <t>Buy Rate</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8 characters.</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</si>
  <si>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Buy Rate
</t>
    </r>
    <r>
      <rPr>
        <b/>
        <sz val="11"/>
        <color theme="1"/>
        <rFont val="Calibri"/>
        <family val="2"/>
        <scheme val="minor"/>
      </rPr>
      <t xml:space="preserve"> Valid Data: </t>
    </r>
    <r>
      <rPr>
        <sz val="11"/>
        <color theme="1"/>
        <rFont val="Calibri"/>
        <family val="2"/>
        <scheme val="minor"/>
      </rPr>
      <t xml:space="preserve">Numeric with Deciaml value
(12345678, 123.12, .15, 16., 0.15, 18.0 etc.)
</t>
    </r>
    <r>
      <rPr>
        <b/>
        <sz val="11"/>
        <color theme="1"/>
        <rFont val="Calibri"/>
        <family val="2"/>
        <scheme val="minor"/>
      </rPr>
      <t xml:space="preserve">Invalid Data: </t>
    </r>
    <r>
      <rPr>
        <sz val="11"/>
        <color theme="1"/>
        <rFont val="Calibri"/>
        <family val="2"/>
        <scheme val="minor"/>
      </rPr>
      <t>Only space value, Only Special character and Alphabetic value.</t>
    </r>
  </si>
  <si>
    <t>Daily_Currency_04</t>
  </si>
  <si>
    <r>
      <t xml:space="preserve">Validate the functionality of </t>
    </r>
    <r>
      <rPr>
        <b/>
        <sz val="11"/>
        <color theme="1"/>
        <rFont val="Calibri"/>
        <family val="2"/>
        <scheme val="minor"/>
      </rPr>
      <t>Sale Rate</t>
    </r>
    <r>
      <rPr>
        <sz val="11"/>
        <color theme="1"/>
        <rFont val="Calibri"/>
        <family val="2"/>
        <scheme val="minor"/>
      </rPr>
      <t xml:space="preserve"> textbox in the </t>
    </r>
    <r>
      <rPr>
        <b/>
        <sz val="11"/>
        <color theme="1"/>
        <rFont val="Calibri"/>
        <family val="2"/>
        <scheme val="minor"/>
      </rPr>
      <t xml:space="preserve">Daily currency Rate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</si>
  <si>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 xml:space="preserve">4. Enter Valid &amp; Invalid Data in </t>
    </r>
    <r>
      <rPr>
        <b/>
        <sz val="11"/>
        <color theme="1"/>
        <rFont val="Calibri"/>
        <family val="2"/>
        <scheme val="minor"/>
      </rPr>
      <t xml:space="preserve">Sale Rate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</si>
  <si>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Sale Rate
</t>
    </r>
    <r>
      <rPr>
        <b/>
        <sz val="11"/>
        <color theme="1"/>
        <rFont val="Calibri"/>
        <family val="2"/>
        <scheme val="minor"/>
      </rPr>
      <t xml:space="preserve"> Valid Data: </t>
    </r>
    <r>
      <rPr>
        <sz val="11"/>
        <color theme="1"/>
        <rFont val="Calibri"/>
        <family val="2"/>
        <scheme val="minor"/>
      </rPr>
      <t xml:space="preserve">Numeric with Deciaml value
(123, 123.123, .15, 16., 0.15, 18.0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</si>
  <si>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As per the use case, the </t>
    </r>
    <r>
      <rPr>
        <b/>
        <sz val="11"/>
        <color theme="1"/>
        <rFont val="Calibri"/>
        <family val="2"/>
        <scheme val="minor"/>
      </rPr>
      <t>Sale Rate</t>
    </r>
    <r>
      <rPr>
        <sz val="11"/>
        <color theme="1"/>
        <rFont val="Calibri"/>
        <family val="2"/>
        <scheme val="minor"/>
      </rPr>
      <t xml:space="preserve"> textbox should accept numeric values only.
2. The textbox should not accept alphabetic characters,</t>
    </r>
    <r>
      <rPr>
        <b/>
        <sz val="11"/>
        <color theme="1"/>
        <rFont val="Calibri"/>
        <family val="2"/>
        <scheme val="minor"/>
      </rPr>
      <t xml:space="preserve"> special characters (except dot .)</t>
    </r>
    <r>
      <rPr>
        <sz val="11"/>
        <color theme="1"/>
        <rFont val="Calibri"/>
        <family val="2"/>
        <scheme val="minor"/>
      </rPr>
      <t>, or only space values.
3. The textbox length should be limited to 3 characters.</t>
    </r>
  </si>
  <si>
    <t>Daily_Currency_05</t>
  </si>
  <si>
    <r>
      <t xml:space="preserve">Textbox - </t>
    </r>
    <r>
      <rPr>
        <b/>
        <sz val="11"/>
        <color theme="1"/>
        <rFont val="Calibri"/>
        <family val="2"/>
        <scheme val="minor"/>
      </rPr>
      <t>Effective Date
Manual Inputs:</t>
    </r>
    <r>
      <rPr>
        <sz val="11"/>
        <color theme="1"/>
        <rFont val="Calibri"/>
        <family val="2"/>
        <scheme val="minor"/>
      </rPr>
      <t xml:space="preserve">
 -&gt; 45645456456
 -&gt; 789789787987
</t>
    </r>
    <r>
      <rPr>
        <b/>
        <sz val="11"/>
        <color theme="1"/>
        <rFont val="Calibri"/>
        <family val="2"/>
        <scheme val="minor"/>
      </rPr>
      <t>Autosuggest Value:</t>
    </r>
    <r>
      <rPr>
        <sz val="11"/>
        <color theme="1"/>
        <rFont val="Calibri"/>
        <family val="2"/>
        <scheme val="minor"/>
      </rPr>
      <t xml:space="preserve">
 -&gt; 07/01/2026
</t>
    </r>
  </si>
  <si>
    <r>
      <t xml:space="preserve">1. Manual typing should not be allowed in the </t>
    </r>
    <r>
      <rPr>
        <b/>
        <sz val="11"/>
        <color theme="1"/>
        <rFont val="Calibri"/>
        <family val="2"/>
        <scheme val="minor"/>
      </rPr>
      <t>Effective Date</t>
    </r>
    <r>
      <rPr>
        <sz val="11"/>
        <color theme="1"/>
        <rFont val="Calibri"/>
        <family val="2"/>
        <scheme val="minor"/>
      </rPr>
      <t xml:space="preserve"> textbox.
2. The user should be able to select the date only </t>
    </r>
    <r>
      <rPr>
        <b/>
        <sz val="11"/>
        <color theme="1"/>
        <rFont val="Calibri"/>
        <family val="2"/>
        <scheme val="minor"/>
      </rPr>
      <t>via the calendar autosuggest</t>
    </r>
    <r>
      <rPr>
        <sz val="11"/>
        <color theme="1"/>
        <rFont val="Calibri"/>
        <family val="2"/>
        <scheme val="minor"/>
      </rPr>
      <t xml:space="preserve">.
3. If an invalid date or format is entered:
 -&gt; The field should either clear automatically or
 -&gt; Display a validation message.
4. Selected date should be displayed in </t>
    </r>
    <r>
      <rPr>
        <b/>
        <sz val="11"/>
        <color theme="1"/>
        <rFont val="Calibri"/>
        <family val="2"/>
        <scheme val="minor"/>
      </rPr>
      <t>DD-MM-YYYY</t>
    </r>
    <r>
      <rPr>
        <sz val="11"/>
        <color theme="1"/>
        <rFont val="Calibri"/>
        <family val="2"/>
        <scheme val="minor"/>
      </rPr>
      <t xml:space="preserve"> format.
5. The </t>
    </r>
    <r>
      <rPr>
        <b/>
        <sz val="11"/>
        <color theme="1"/>
        <rFont val="Calibri"/>
        <family val="2"/>
        <scheme val="minor"/>
      </rPr>
      <t>From Date</t>
    </r>
    <r>
      <rPr>
        <sz val="11"/>
        <color theme="1"/>
        <rFont val="Calibri"/>
        <family val="2"/>
        <scheme val="minor"/>
      </rPr>
      <t xml:space="preserve"> textbox should accept a maximum of </t>
    </r>
    <r>
      <rPr>
        <b/>
        <sz val="11"/>
        <color theme="1"/>
        <rFont val="Calibri"/>
        <family val="2"/>
        <scheme val="minor"/>
      </rPr>
      <t>10 characters</t>
    </r>
    <r>
      <rPr>
        <sz val="11"/>
        <color theme="1"/>
        <rFont val="Calibri"/>
        <family val="2"/>
        <scheme val="minor"/>
      </rPr>
      <t xml:space="preserve">.
</t>
    </r>
  </si>
  <si>
    <r>
      <t xml:space="preserve">Validate the functionality of the </t>
    </r>
    <r>
      <rPr>
        <b/>
        <sz val="11"/>
        <color theme="1"/>
        <rFont val="Calibri"/>
        <family val="2"/>
        <scheme val="minor"/>
      </rPr>
      <t xml:space="preserve">Effective Date </t>
    </r>
    <r>
      <rPr>
        <sz val="11"/>
        <color theme="1"/>
        <rFont val="Calibri"/>
        <family val="2"/>
        <scheme val="minor"/>
      </rPr>
      <t xml:space="preserve">textbox in the </t>
    </r>
    <r>
      <rPr>
        <b/>
        <sz val="11"/>
        <color theme="1"/>
        <rFont val="Calibri"/>
        <family val="2"/>
        <scheme val="minor"/>
      </rPr>
      <t>Daily Currency Rate</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</si>
  <si>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 xml:space="preserve">4. Try entering manual input in the </t>
    </r>
    <r>
      <rPr>
        <b/>
        <sz val="11"/>
        <color theme="1"/>
        <rFont val="Calibri"/>
        <family val="2"/>
        <scheme val="minor"/>
      </rPr>
      <t xml:space="preserve">Effective Date </t>
    </r>
    <r>
      <rPr>
        <sz val="11"/>
        <color theme="1"/>
        <rFont val="Calibri"/>
        <family val="2"/>
        <scheme val="minor"/>
      </rPr>
      <t>textbox.
5. Select a date using the calendar autosuggest.
6. Observe the system behavior.</t>
    </r>
  </si>
  <si>
    <r>
      <t>1. Functionality is working as expected.
2. Manual typing is allowed in the</t>
    </r>
    <r>
      <rPr>
        <b/>
        <sz val="11"/>
        <color theme="1"/>
        <rFont val="Calibri"/>
        <family val="2"/>
        <scheme val="minor"/>
      </rPr>
      <t xml:space="preserve"> Effective Date</t>
    </r>
    <r>
      <rPr>
        <sz val="11"/>
        <color theme="1"/>
        <rFont val="Calibri"/>
        <family val="2"/>
        <scheme val="minor"/>
      </rPr>
      <t xml:space="preserve"> textbox.
 -&gt; If an invalid date is entered manually, </t>
    </r>
    <r>
      <rPr>
        <b/>
        <sz val="11"/>
        <color theme="1"/>
        <rFont val="Calibri"/>
        <family val="2"/>
        <scheme val="minor"/>
      </rPr>
      <t>a validation message is displayed.</t>
    </r>
    <r>
      <rPr>
        <sz val="11"/>
        <color theme="1"/>
        <rFont val="Calibri"/>
        <family val="2"/>
        <scheme val="minor"/>
      </rPr>
      <t xml:space="preserve">
3. </t>
    </r>
    <r>
      <rPr>
        <b/>
        <sz val="11"/>
        <color theme="1"/>
        <rFont val="Calibri"/>
        <family val="2"/>
        <scheme val="minor"/>
      </rPr>
      <t>Date validation</t>
    </r>
    <r>
      <rPr>
        <sz val="11"/>
        <color theme="1"/>
        <rFont val="Calibri"/>
        <family val="2"/>
        <scheme val="minor"/>
      </rPr>
      <t xml:space="preserve"> for </t>
    </r>
    <r>
      <rPr>
        <b/>
        <sz val="11"/>
        <color theme="1"/>
        <rFont val="Calibri"/>
        <family val="2"/>
        <scheme val="minor"/>
      </rPr>
      <t>DD-MM-YYYY</t>
    </r>
    <r>
      <rPr>
        <sz val="11"/>
        <color theme="1"/>
        <rFont val="Calibri"/>
        <family val="2"/>
        <scheme val="minor"/>
      </rPr>
      <t xml:space="preserve"> format is correctly implemented.
4. </t>
    </r>
    <r>
      <rPr>
        <b/>
        <sz val="11"/>
        <color theme="1"/>
        <rFont val="Calibri"/>
        <family val="2"/>
        <scheme val="minor"/>
      </rPr>
      <t xml:space="preserve">Effective Date </t>
    </r>
    <r>
      <rPr>
        <sz val="11"/>
        <color theme="1"/>
        <rFont val="Calibri"/>
        <family val="2"/>
        <scheme val="minor"/>
      </rPr>
      <t>textbox does not accept more than 10 characters.</t>
    </r>
  </si>
  <si>
    <t>Daily_Currency_06</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</si>
  <si>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on the </t>
    </r>
    <r>
      <rPr>
        <b/>
        <sz val="11"/>
        <color theme="1"/>
        <rFont val="Calibri"/>
        <family val="2"/>
        <scheme val="minor"/>
      </rPr>
      <t>Daily Currency Rate</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</si>
  <si>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 xml:space="preserve">4. Enter valid data in all mandatory and non-mandatory fields on the </t>
    </r>
    <r>
      <rPr>
        <b/>
        <sz val="11"/>
        <color theme="1"/>
        <rFont val="Calibri"/>
        <family val="2"/>
        <scheme val="minor"/>
      </rPr>
      <t>Daily currency Rate</t>
    </r>
    <r>
      <rPr>
        <sz val="11"/>
        <color theme="1"/>
        <rFont val="Calibri"/>
        <family val="2"/>
        <scheme val="minor"/>
      </rPr>
      <t xml:space="preserve"> page.
5. Click the Save button and observe the system behavior.</t>
    </r>
  </si>
  <si>
    <r>
      <t xml:space="preserve">1. The system should save the record successfully.
2. A confirmation message should be displayed (e.g., “Record saved successfully.”).
3. The saved record should be listed in the </t>
    </r>
    <r>
      <rPr>
        <b/>
        <sz val="11"/>
        <color theme="1"/>
        <rFont val="Calibri"/>
        <family val="2"/>
        <scheme val="minor"/>
      </rPr>
      <t>Currency Details grid</t>
    </r>
    <r>
      <rPr>
        <sz val="11"/>
        <color theme="1"/>
        <rFont val="Calibri"/>
        <family val="2"/>
        <scheme val="minor"/>
      </rPr>
      <t>.
4. The saved record should be selectable from the Currency Details grid and the selected record’s data should be correctly displayed in the corresponding textboxes.</t>
    </r>
  </si>
  <si>
    <t>1. The record is saved successfully.
2. A confirmation message is displayed.
3. The record is stored in the Currency Details grid.
4. The record is selectable and the record data is correctly displayed in the corresponding textboxes.</t>
  </si>
  <si>
    <t>Daily_Currency_07</t>
  </si>
  <si>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4. Without entering any data in any field, click the Save button.
5. Observe the system behavior.</t>
    </r>
  </si>
  <si>
    <r>
      <t xml:space="preserve">1. The record </t>
    </r>
    <r>
      <rPr>
        <b/>
        <sz val="11"/>
        <color theme="1"/>
        <rFont val="Calibri"/>
        <family val="2"/>
        <scheme val="minor"/>
      </rPr>
      <t>must not be saved</t>
    </r>
    <r>
      <rPr>
        <sz val="11"/>
        <color theme="1"/>
        <rFont val="Calibri"/>
        <family val="2"/>
        <scheme val="minor"/>
      </rPr>
      <t xml:space="preserve"> when all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Currency Details grid.
 -&gt; Record should be selectable from the Currency Details grid and the selected record’s data should be correctly displayed in the corresponding textboxes.</t>
    </r>
  </si>
  <si>
    <t>All fields are in this page are mandatory fields as per the Page UI.</t>
  </si>
  <si>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all fields are left blank</t>
    </r>
    <r>
      <rPr>
        <sz val="11"/>
        <color theme="1"/>
        <rFont val="Calibri"/>
        <family val="2"/>
        <scheme val="minor"/>
      </rPr>
      <t xml:space="preserve"> on the </t>
    </r>
    <r>
      <rPr>
        <b/>
        <sz val="11"/>
        <color theme="1"/>
        <rFont val="Calibri"/>
        <family val="2"/>
        <scheme val="minor"/>
      </rPr>
      <t>Daily Currency Rate</t>
    </r>
    <r>
      <rPr>
        <sz val="11"/>
        <color theme="1"/>
        <rFont val="Calibri"/>
        <family val="2"/>
        <scheme val="minor"/>
      </rPr>
      <t xml:space="preserve"> page.</t>
    </r>
  </si>
  <si>
    <r>
      <t xml:space="preserve">1. Record is not saved when all fields are left blank.
2. Validation messages are displayed for all mandatory fields; however:
 -&gt; Validation message text does not match the respective textbox labels.
</t>
    </r>
    <r>
      <rPr>
        <b/>
        <sz val="11"/>
        <color theme="1"/>
        <rFont val="Calibri"/>
        <family val="2"/>
        <scheme val="minor"/>
      </rPr>
      <t>Buy Rate → Displayed: “Please Enter Valid Exchange Rate”
Expected: “Please Enter Valid Buy Rate”</t>
    </r>
    <r>
      <rPr>
        <sz val="11"/>
        <color theme="1"/>
        <rFont val="Calibri"/>
        <family val="2"/>
        <scheme val="minor"/>
      </rPr>
      <t xml:space="preserve">
</t>
    </r>
    <r>
      <rPr>
        <b/>
        <sz val="11"/>
        <color theme="1"/>
        <rFont val="Calibri"/>
        <family val="2"/>
        <scheme val="minor"/>
      </rPr>
      <t>Sale Rate → Displayed: “Please Enter Valid Exchange Rate”
Expected: “Please Enter Valid Sale Rate”</t>
    </r>
    <r>
      <rPr>
        <sz val="11"/>
        <color theme="1"/>
        <rFont val="Calibri"/>
        <family val="2"/>
        <scheme val="minor"/>
      </rPr>
      <t xml:space="preserve">
3. After filling all mandatory fields, the record is saved successfully.
4. Saved record appears in the Currency Details grid.
5. Selected record displays correct data in the corresponding textboxes.
</t>
    </r>
  </si>
  <si>
    <t>Daily_Currency_08</t>
  </si>
  <si>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Daily Currency Rate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</si>
  <si>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4. Select an existing record from the Currency Details grid.
5. Verify that the selected record’s data is populated in the corresponding textboxes.
6. Modify one or more editable fields with valid new data.
7. Click the Modify button.
8. Re-select the same record from the grid.
9. Verify that the updated values are displayed correctly.</t>
    </r>
  </si>
  <si>
    <t>1. Select any existing record from the Currency Details grid.
2. New valid values for:
 -&gt; Buy Rate
 -&gt; Sale Rate</t>
  </si>
  <si>
    <r>
      <t xml:space="preserve">1. Modify button should be enabled only after a record is selected from the Currency Details grid.
2. On record selection:
 -&gt; </t>
    </r>
    <r>
      <rPr>
        <b/>
        <sz val="11"/>
        <color theme="1"/>
        <rFont val="Calibri"/>
        <family val="2"/>
        <scheme val="minor"/>
      </rPr>
      <t xml:space="preserve">Currency Name field should be disabled.
</t>
    </r>
    <r>
      <rPr>
        <sz val="11"/>
        <color theme="1"/>
        <rFont val="Calibri"/>
        <family val="2"/>
        <scheme val="minor"/>
      </rPr>
      <t xml:space="preserve"> -&gt; </t>
    </r>
    <r>
      <rPr>
        <b/>
        <sz val="11"/>
        <color theme="1"/>
        <rFont val="Calibri"/>
        <family val="2"/>
        <scheme val="minor"/>
      </rPr>
      <t>Effective Date field should be disabled.</t>
    </r>
    <r>
      <rPr>
        <sz val="11"/>
        <color theme="1"/>
        <rFont val="Calibri"/>
        <family val="2"/>
        <scheme val="minor"/>
      </rPr>
      <t xml:space="preserve">
 -&gt; </t>
    </r>
    <r>
      <rPr>
        <b/>
        <sz val="11"/>
        <color theme="1"/>
        <rFont val="Calibri"/>
        <family val="2"/>
        <scheme val="minor"/>
      </rPr>
      <t>Only Buy Rate and Sale Rate fields should be editable</t>
    </r>
    <r>
      <rPr>
        <sz val="11"/>
        <color theme="1"/>
        <rFont val="Calibri"/>
        <family val="2"/>
        <scheme val="minor"/>
      </rPr>
      <t>.
3. After clicking Modify:
 -&gt; The updated values should be saved successfully.
 -&gt; The modified data should reflect correctly in the Currency Details grid.
 -&gt; User should be able to modify the same record multiple times without issues.</t>
    </r>
  </si>
  <si>
    <t>Daily_Currency_09</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</si>
  <si>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Daily Currency Rate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</si>
  <si>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Daily currency Rate
</t>
    </r>
    <r>
      <rPr>
        <sz val="11"/>
        <color theme="1"/>
        <rFont val="Calibri"/>
        <family val="2"/>
        <scheme val="minor"/>
      </rPr>
      <t>4. Enter values in all or few input fields.
5. Click the Clear button and observe the system behavior.</t>
    </r>
  </si>
  <si>
    <t>Daily_Currency_10</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</si>
  <si>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Daily Currency Rate </t>
    </r>
    <r>
      <rPr>
        <sz val="11"/>
        <color theme="1"/>
        <rFont val="Calibri"/>
        <family val="2"/>
        <scheme val="minor"/>
      </rPr>
      <t>page.</t>
    </r>
  </si>
  <si>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Daily Currency Rate</t>
    </r>
    <r>
      <rPr>
        <sz val="11"/>
        <color theme="1"/>
        <rFont val="Calibri"/>
        <family val="2"/>
        <scheme val="minor"/>
      </rPr>
      <t xml:space="preserve"> page.</t>
    </r>
  </si>
  <si>
    <t>Daily_Currency_11</t>
  </si>
  <si>
    <r>
      <t xml:space="preserve">1. Open the application and log in 
2. Select Branch: AHMEDABAD, Export Type: Export Sea, FY 2025–2026, click OK.
3. Navigate to </t>
    </r>
    <r>
      <rPr>
        <b/>
        <sz val="11"/>
        <color theme="1"/>
        <rFont val="Calibri"/>
        <family val="2"/>
        <scheme val="minor"/>
      </rPr>
      <t xml:space="preserve">Masters → Daily currency Rate
</t>
    </r>
    <r>
      <rPr>
        <sz val="11"/>
        <color theme="1"/>
        <rFont val="Calibri"/>
        <family val="2"/>
        <scheme val="minor"/>
      </rPr>
      <t>4. Enter valid data in all required input fields.
5. Click on the Save button.
6. From the Currency Details grid, select the newly saved record.
7. Observe the value displayed in the Entered By textbox.</t>
    </r>
  </si>
  <si>
    <r>
      <t xml:space="preserve">1. Open the application and log in 
2. Select Branch: AHMEDABAD, Export Type: Export Sea, FY 2025–2026, click OK.
3. Navigate to </t>
    </r>
    <r>
      <rPr>
        <b/>
        <sz val="11"/>
        <color theme="1"/>
        <rFont val="Calibri"/>
        <family val="2"/>
        <scheme val="minor"/>
      </rPr>
      <t>Masters → Daily currency Rate</t>
    </r>
    <r>
      <rPr>
        <sz val="11"/>
        <color theme="1"/>
        <rFont val="Calibri"/>
        <family val="2"/>
        <scheme val="minor"/>
      </rPr>
      <t xml:space="preserve">
4. Enter valid data in all required input fields.
5. Click on the Save button.
6. From the Currency Details grid, select the newly saved record.
7. Observe the value displayed in the Entered Date textbox.</t>
    </r>
  </si>
  <si>
    <t>Daily_Currency_12</t>
  </si>
  <si>
    <r>
      <t xml:space="preserve">1. Open the application and log in 
2. Select Branch: AHMEDABAD, Export Type: Export Sea, FY 2025–2026, click OK.
3. Navigate to </t>
    </r>
    <r>
      <rPr>
        <b/>
        <sz val="11"/>
        <color theme="1"/>
        <rFont val="Calibri"/>
        <family val="2"/>
        <scheme val="minor"/>
      </rPr>
      <t>Masters → Daily currency Rate</t>
    </r>
    <r>
      <rPr>
        <sz val="11"/>
        <color theme="1"/>
        <rFont val="Calibri"/>
        <family val="2"/>
        <scheme val="minor"/>
      </rPr>
      <t xml:space="preserve">
4. Select</t>
    </r>
    <r>
      <rPr>
        <b/>
        <sz val="11"/>
        <color theme="1"/>
        <rFont val="Calibri"/>
        <family val="2"/>
        <scheme val="minor"/>
      </rPr>
      <t xml:space="preserve"> Currency Name</t>
    </r>
    <r>
      <rPr>
        <sz val="11"/>
        <color theme="1"/>
        <rFont val="Calibri"/>
        <family val="2"/>
        <scheme val="minor"/>
      </rPr>
      <t xml:space="preserve"> radio button.
5. Select a value from the autosuggest list in the Search textbox and click the </t>
    </r>
    <r>
      <rPr>
        <b/>
        <sz val="11"/>
        <color theme="1"/>
        <rFont val="Calibri"/>
        <family val="2"/>
        <scheme val="minor"/>
      </rPr>
      <t>Search</t>
    </r>
    <r>
      <rPr>
        <sz val="11"/>
        <color theme="1"/>
        <rFont val="Calibri"/>
        <family val="2"/>
        <scheme val="minor"/>
      </rPr>
      <t xml:space="preserve"> button.
6. Observe the system behavior.
7. Select </t>
    </r>
    <r>
      <rPr>
        <b/>
        <sz val="11"/>
        <color theme="1"/>
        <rFont val="Calibri"/>
        <family val="2"/>
        <scheme val="minor"/>
      </rPr>
      <t>Currency Code</t>
    </r>
    <r>
      <rPr>
        <sz val="11"/>
        <color theme="1"/>
        <rFont val="Calibri"/>
        <family val="2"/>
        <scheme val="minor"/>
      </rPr>
      <t xml:space="preserve"> radio button.
8. Select a value from the autosuggest list in the Search textbox and click the </t>
    </r>
    <r>
      <rPr>
        <b/>
        <sz val="11"/>
        <color theme="1"/>
        <rFont val="Calibri"/>
        <family val="2"/>
        <scheme val="minor"/>
      </rPr>
      <t>Search</t>
    </r>
    <r>
      <rPr>
        <sz val="11"/>
        <color theme="1"/>
        <rFont val="Calibri"/>
        <family val="2"/>
        <scheme val="minor"/>
      </rPr>
      <t xml:space="preserve"> button.
9. Observe the system behavior.</t>
    </r>
  </si>
  <si>
    <r>
      <t xml:space="preserve">Radio Button Options:
 -&gt; Currency Name
 -&gt; Currency Code
</t>
    </r>
    <r>
      <rPr>
        <b/>
        <sz val="11"/>
        <color theme="1"/>
        <rFont val="Calibri"/>
        <family val="2"/>
        <scheme val="minor"/>
      </rPr>
      <t>Search Textbox:</t>
    </r>
    <r>
      <rPr>
        <sz val="11"/>
        <color theme="1"/>
        <rFont val="Calibri"/>
        <family val="2"/>
        <scheme val="minor"/>
      </rPr>
      <t xml:space="preserve">
 -&gt; Autosuggest values based on selected radio button</t>
    </r>
  </si>
  <si>
    <r>
      <t xml:space="preserve">1. Only </t>
    </r>
    <r>
      <rPr>
        <b/>
        <sz val="11"/>
        <color theme="1"/>
        <rFont val="Calibri"/>
        <family val="2"/>
        <scheme val="minor"/>
      </rPr>
      <t>one radio button</t>
    </r>
    <r>
      <rPr>
        <sz val="11"/>
        <color theme="1"/>
        <rFont val="Calibri"/>
        <family val="2"/>
        <scheme val="minor"/>
      </rPr>
      <t xml:space="preserve"> should be selectable at a time, and the user should be able to </t>
    </r>
    <r>
      <rPr>
        <b/>
        <sz val="11"/>
        <color theme="1"/>
        <rFont val="Calibri"/>
        <family val="2"/>
        <scheme val="minor"/>
      </rPr>
      <t>switch between radio buttons</t>
    </r>
    <r>
      <rPr>
        <sz val="11"/>
        <color theme="1"/>
        <rFont val="Calibri"/>
        <family val="2"/>
        <scheme val="minor"/>
      </rPr>
      <t xml:space="preserve"> as per the requirement.
2. When the</t>
    </r>
    <r>
      <rPr>
        <b/>
        <sz val="11"/>
        <color theme="1"/>
        <rFont val="Calibri"/>
        <family val="2"/>
        <scheme val="minor"/>
      </rPr>
      <t xml:space="preserve"> Currency Name radio button</t>
    </r>
    <r>
      <rPr>
        <sz val="11"/>
        <color theme="1"/>
        <rFont val="Calibri"/>
        <family val="2"/>
        <scheme val="minor"/>
      </rPr>
      <t xml:space="preserve"> is selected:
 -&gt; The Search textbox should display </t>
    </r>
    <r>
      <rPr>
        <b/>
        <sz val="11"/>
        <color theme="1"/>
        <rFont val="Calibri"/>
        <family val="2"/>
        <scheme val="minor"/>
      </rPr>
      <t>autosuggest values of Currency Name only.</t>
    </r>
    <r>
      <rPr>
        <sz val="11"/>
        <color theme="1"/>
        <rFont val="Calibri"/>
        <family val="2"/>
        <scheme val="minor"/>
      </rPr>
      <t xml:space="preserve">
3. When the</t>
    </r>
    <r>
      <rPr>
        <b/>
        <sz val="11"/>
        <color theme="1"/>
        <rFont val="Calibri"/>
        <family val="2"/>
        <scheme val="minor"/>
      </rPr>
      <t xml:space="preserve"> Currency Code radio button</t>
    </r>
    <r>
      <rPr>
        <sz val="11"/>
        <color theme="1"/>
        <rFont val="Calibri"/>
        <family val="2"/>
        <scheme val="minor"/>
      </rPr>
      <t xml:space="preserve"> is selected:
 -&gt; The Search textbox should display </t>
    </r>
    <r>
      <rPr>
        <b/>
        <sz val="11"/>
        <color theme="1"/>
        <rFont val="Calibri"/>
        <family val="2"/>
        <scheme val="minor"/>
      </rPr>
      <t>autosuggest values of Currency Code only.</t>
    </r>
    <r>
      <rPr>
        <sz val="11"/>
        <color theme="1"/>
        <rFont val="Calibri"/>
        <family val="2"/>
        <scheme val="minor"/>
      </rPr>
      <t xml:space="preserve">
4. After searching using </t>
    </r>
    <r>
      <rPr>
        <b/>
        <sz val="11"/>
        <color theme="1"/>
        <rFont val="Calibri"/>
        <family val="2"/>
        <scheme val="minor"/>
      </rPr>
      <t>Currency Name:</t>
    </r>
    <r>
      <rPr>
        <sz val="11"/>
        <color theme="1"/>
        <rFont val="Calibri"/>
        <family val="2"/>
        <scheme val="minor"/>
      </rPr>
      <t xml:space="preserve">
 -&gt; Only records related to the </t>
    </r>
    <r>
      <rPr>
        <b/>
        <sz val="11"/>
        <color theme="1"/>
        <rFont val="Calibri"/>
        <family val="2"/>
        <scheme val="minor"/>
      </rPr>
      <t>selected currency name should be displayed in the grid.</t>
    </r>
    <r>
      <rPr>
        <sz val="11"/>
        <color theme="1"/>
        <rFont val="Calibri"/>
        <family val="2"/>
        <scheme val="minor"/>
      </rPr>
      <t xml:space="preserve">
5. After searching using </t>
    </r>
    <r>
      <rPr>
        <b/>
        <sz val="11"/>
        <color theme="1"/>
        <rFont val="Calibri"/>
        <family val="2"/>
        <scheme val="minor"/>
      </rPr>
      <t>Currency Code:</t>
    </r>
    <r>
      <rPr>
        <sz val="11"/>
        <color theme="1"/>
        <rFont val="Calibri"/>
        <family val="2"/>
        <scheme val="minor"/>
      </rPr>
      <t xml:space="preserve">
 -&gt; Only records related to the </t>
    </r>
    <r>
      <rPr>
        <b/>
        <sz val="11"/>
        <color theme="1"/>
        <rFont val="Calibri"/>
        <family val="2"/>
        <scheme val="minor"/>
      </rPr>
      <t>selected currency code should be displayed in the grid.</t>
    </r>
    <r>
      <rPr>
        <sz val="11"/>
        <color theme="1"/>
        <rFont val="Calibri"/>
        <family val="2"/>
        <scheme val="minor"/>
      </rPr>
      <t xml:space="preserve">
6. If the search keyword does not match any record:
 -&gt; An empty list (no records) should be displayed.</t>
    </r>
  </si>
  <si>
    <t>Functionality is working ex expected.</t>
  </si>
  <si>
    <t>Daily_Currency_13</t>
  </si>
  <si>
    <r>
      <t xml:space="preserve">Validate the functionality of </t>
    </r>
    <r>
      <rPr>
        <b/>
        <sz val="11"/>
        <color theme="1"/>
        <rFont val="Calibri"/>
        <family val="2"/>
        <scheme val="minor"/>
      </rPr>
      <t xml:space="preserve">Search textbox and Search button </t>
    </r>
    <r>
      <rPr>
        <sz val="11"/>
        <color theme="1"/>
        <rFont val="Calibri"/>
        <family val="2"/>
        <scheme val="minor"/>
      </rPr>
      <t xml:space="preserve">on the </t>
    </r>
    <r>
      <rPr>
        <b/>
        <sz val="11"/>
        <color theme="1"/>
        <rFont val="Calibri"/>
        <family val="2"/>
        <scheme val="minor"/>
      </rPr>
      <t xml:space="preserve">Daily Currency Rate </t>
    </r>
    <r>
      <rPr>
        <sz val="11"/>
        <color theme="1"/>
        <rFont val="Calibri"/>
        <family val="2"/>
        <scheme val="minor"/>
      </rPr>
      <t>page.</t>
    </r>
  </si>
  <si>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Daily Currency Rate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</si>
  <si>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Daily currency Rate
</t>
    </r>
    <r>
      <rPr>
        <sz val="11"/>
        <color theme="1"/>
        <rFont val="Calibri"/>
        <family val="2"/>
        <scheme val="minor"/>
      </rPr>
      <t>4. Use keyword button to fill the foam and observe the system behaviour.</t>
    </r>
  </si>
  <si>
    <t xml:space="preserve">1. The Keyboard Action (TAB key) feature should function correctly across all fields.
 -&gt; Textboxes
 -&gt; Auto-suggest textbox
 -&gt; Radio button
</t>
  </si>
  <si>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Daily Currency Rate </t>
    </r>
    <r>
      <rPr>
        <sz val="11"/>
        <color theme="1"/>
        <rFont val="Calibri"/>
        <family val="2"/>
        <scheme val="minor"/>
      </rPr>
      <t>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</si>
  <si>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Daily Currency Rate </t>
    </r>
    <r>
      <rPr>
        <sz val="11"/>
        <color theme="1"/>
        <rFont val="Calibri"/>
        <family val="2"/>
        <scheme val="minor"/>
      </rPr>
      <t>page.</t>
    </r>
  </si>
  <si>
    <t>Container Yard Master</t>
  </si>
  <si>
    <t xml:space="preserve">Remarks - Testing </t>
  </si>
  <si>
    <t>Container_Yard_01</t>
  </si>
  <si>
    <r>
      <t xml:space="preserve">Validate the functionality of </t>
    </r>
    <r>
      <rPr>
        <b/>
        <sz val="11"/>
        <color theme="1"/>
        <rFont val="Calibri"/>
        <family val="2"/>
        <scheme val="minor"/>
      </rPr>
      <t xml:space="preserve">Container Yard Master,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</si>
  <si>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Container Yard Master</t>
    </r>
  </si>
  <si>
    <r>
      <t xml:space="preserve">1. On Mouse Hovering action on </t>
    </r>
    <r>
      <rPr>
        <b/>
        <sz val="11"/>
        <color theme="1"/>
        <rFont val="Calibri"/>
        <family val="2"/>
        <scheme val="minor"/>
      </rPr>
      <t xml:space="preserve">Masters -&gt; Container Yard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</si>
  <si>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Container Yard Master </t>
    </r>
    <r>
      <rPr>
        <sz val="11"/>
        <color theme="1"/>
        <rFont val="Calibri"/>
        <family val="2"/>
        <scheme val="minor"/>
      </rPr>
      <t>Page is opening properly.</t>
    </r>
  </si>
  <si>
    <t>Container_Yard_02</t>
  </si>
  <si>
    <r>
      <t xml:space="preserve">Validate the functionality of the </t>
    </r>
    <r>
      <rPr>
        <b/>
        <sz val="11"/>
        <color theme="1"/>
        <rFont val="Calibri"/>
        <family val="2"/>
        <scheme val="minor"/>
      </rPr>
      <t xml:space="preserve">Search textbox </t>
    </r>
    <r>
      <rPr>
        <sz val="11"/>
        <color theme="1"/>
        <rFont val="Calibri"/>
        <family val="2"/>
        <scheme val="minor"/>
      </rPr>
      <t xml:space="preserve">in the left-side panel on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</si>
  <si>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Enter different search keywords in the left side Search textbox.
5. Observe the filtered records in the left-side list panel.</t>
    </r>
  </si>
  <si>
    <t>Search Data:
 -&gt; SACHIN CONTAINER YARD</t>
  </si>
  <si>
    <r>
      <t xml:space="preserve">1. </t>
    </r>
    <r>
      <rPr>
        <b/>
        <sz val="11"/>
        <color theme="1"/>
        <rFont val="Calibri"/>
        <family val="2"/>
        <scheme val="minor"/>
      </rPr>
      <t>Search textbox</t>
    </r>
    <r>
      <rPr>
        <sz val="11"/>
        <color theme="1"/>
        <rFont val="Calibri"/>
        <family val="2"/>
        <scheme val="minor"/>
      </rPr>
      <t xml:space="preserve"> should return all matching records for:
 -&gt; Full match
 -&gt; Partial match (any word in the record name)
 -&gt; Case-insensitive input
2. Records should dynamically filter based on the entered search keyword.
3. If no record matches the keyword, the list should appear empty.</t>
    </r>
  </si>
  <si>
    <t>Container_Yard_03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</si>
  <si>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behaviour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</si>
  <si>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</si>
  <si>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Container_Yard_04</t>
  </si>
  <si>
    <r>
      <t xml:space="preserve">1. Open the application and log in.
2. Select Branch: AHMEDABAD, Export Type: Export Sea, FY: 2025–2026, and click OK.
3. Navigate to </t>
    </r>
    <r>
      <rPr>
        <b/>
        <sz val="11"/>
        <color theme="1"/>
        <rFont val="Calibri"/>
        <family val="2"/>
        <scheme val="minor"/>
      </rPr>
      <t>Masters -&gt; Container Yard Master</t>
    </r>
    <r>
      <rPr>
        <sz val="11"/>
        <color theme="1"/>
        <rFont val="Calibri"/>
        <family val="2"/>
        <scheme val="minor"/>
      </rPr>
      <t xml:space="preserve">
4. From the left-side list panel, select any record and verify that the corresponding details are displayed in the Grid.
5. Select a different record and confirm that the grid updates accordingly.
6.Verify that the previously selected record returns to the default (non-highlighted) color.</t>
    </r>
  </si>
  <si>
    <r>
      <t xml:space="preserve">Validate that the selected record from the </t>
    </r>
    <r>
      <rPr>
        <b/>
        <sz val="11"/>
        <color theme="1"/>
        <rFont val="Calibri"/>
        <family val="2"/>
        <scheme val="minor"/>
      </rPr>
      <t xml:space="preserve">left-side list </t>
    </r>
    <r>
      <rPr>
        <sz val="11"/>
        <color theme="1"/>
        <rFont val="Calibri"/>
        <family val="2"/>
        <scheme val="minor"/>
      </rPr>
      <t xml:space="preserve">is correctly reflected in the </t>
    </r>
    <r>
      <rPr>
        <b/>
        <sz val="11"/>
        <color theme="1"/>
        <rFont val="Calibri"/>
        <family val="2"/>
        <scheme val="minor"/>
      </rPr>
      <t>Grid</t>
    </r>
    <r>
      <rPr>
        <sz val="11"/>
        <color theme="1"/>
        <rFont val="Calibri"/>
        <family val="2"/>
        <scheme val="minor"/>
      </rPr>
      <t xml:space="preserve"> on the </t>
    </r>
    <r>
      <rPr>
        <b/>
        <sz val="11"/>
        <color theme="1"/>
        <rFont val="Calibri"/>
        <family val="2"/>
        <scheme val="minor"/>
      </rPr>
      <t xml:space="preserve">Container Yard Master </t>
    </r>
    <r>
      <rPr>
        <sz val="11"/>
        <color theme="1"/>
        <rFont val="Calibri"/>
        <family val="2"/>
        <scheme val="minor"/>
      </rPr>
      <t>page.</t>
    </r>
  </si>
  <si>
    <r>
      <t xml:space="preserve">1. Selected record details should be displayed correctly in the </t>
    </r>
    <r>
      <rPr>
        <b/>
        <sz val="11"/>
        <color theme="1"/>
        <rFont val="Calibri"/>
        <family val="2"/>
        <scheme val="minor"/>
      </rPr>
      <t>Grid.</t>
    </r>
    <r>
      <rPr>
        <sz val="11"/>
        <color theme="1"/>
        <rFont val="Calibri"/>
        <family val="2"/>
        <scheme val="minor"/>
      </rPr>
      <t xml:space="preserve">
2. When another record is selected, the </t>
    </r>
    <r>
      <rPr>
        <b/>
        <sz val="11"/>
        <color theme="1"/>
        <rFont val="Calibri"/>
        <family val="2"/>
        <scheme val="minor"/>
      </rPr>
      <t xml:space="preserve">Grid </t>
    </r>
    <r>
      <rPr>
        <sz val="11"/>
        <color theme="1"/>
        <rFont val="Calibri"/>
        <family val="2"/>
        <scheme val="minor"/>
      </rPr>
      <t>should be update with</t>
    </r>
    <r>
      <rPr>
        <b/>
        <sz val="11"/>
        <color theme="1"/>
        <rFont val="Calibri"/>
        <family val="2"/>
        <scheme val="minor"/>
      </rPr>
      <t xml:space="preserve"> </t>
    </r>
    <r>
      <rPr>
        <sz val="11"/>
        <color theme="1"/>
        <rFont val="Calibri"/>
        <family val="2"/>
        <scheme val="minor"/>
      </rPr>
      <t xml:space="preserve">newly selected record’s details.
3. The previously selected record should </t>
    </r>
    <r>
      <rPr>
        <b/>
        <sz val="11"/>
        <color theme="1"/>
        <rFont val="Calibri"/>
        <family val="2"/>
        <scheme val="minor"/>
      </rPr>
      <t xml:space="preserve">lose highlight </t>
    </r>
    <r>
      <rPr>
        <sz val="11"/>
        <color theme="1"/>
        <rFont val="Calibri"/>
        <family val="2"/>
        <scheme val="minor"/>
      </rPr>
      <t>and return to the default (white) color.</t>
    </r>
  </si>
  <si>
    <t>Container_Yard_05</t>
  </si>
  <si>
    <r>
      <t xml:space="preserve">Validate that a record selected from the </t>
    </r>
    <r>
      <rPr>
        <b/>
        <sz val="11"/>
        <color theme="1"/>
        <rFont val="Calibri"/>
        <family val="2"/>
        <scheme val="minor"/>
      </rPr>
      <t>Grid</t>
    </r>
    <r>
      <rPr>
        <sz val="11"/>
        <color theme="1"/>
        <rFont val="Calibri"/>
        <family val="2"/>
        <scheme val="minor"/>
      </rPr>
      <t xml:space="preserve"> is correctly reflected in the corresponding textboxes on the</t>
    </r>
    <r>
      <rPr>
        <b/>
        <sz val="11"/>
        <color theme="1"/>
        <rFont val="Calibri"/>
        <family val="2"/>
        <scheme val="minor"/>
      </rPr>
      <t xml:space="preserve"> Container Yard Master</t>
    </r>
    <r>
      <rPr>
        <sz val="11"/>
        <color theme="1"/>
        <rFont val="Calibri"/>
        <family val="2"/>
        <scheme val="minor"/>
      </rPr>
      <t xml:space="preserve"> page.</t>
    </r>
  </si>
  <si>
    <r>
      <t>1. Open the application and log in.
2. Select Branch: AHMEDABAD, Export Type: Export Sea, FY: 2025–2026, and click OK.
3. Navigate to</t>
    </r>
    <r>
      <rPr>
        <b/>
        <sz val="11"/>
        <color theme="1"/>
        <rFont val="Calibri"/>
        <family val="2"/>
        <scheme val="minor"/>
      </rPr>
      <t xml:space="preserve"> Masters -&gt; Container Yard Master
</t>
    </r>
    <r>
      <rPr>
        <sz val="11"/>
        <color theme="1"/>
        <rFont val="Calibri"/>
        <family val="2"/>
        <scheme val="minor"/>
      </rPr>
      <t xml:space="preserve">4. From the left-side panel list, click </t>
    </r>
    <r>
      <rPr>
        <b/>
        <sz val="11"/>
        <color theme="1"/>
        <rFont val="Calibri"/>
        <family val="2"/>
        <scheme val="minor"/>
      </rPr>
      <t>Select</t>
    </r>
    <r>
      <rPr>
        <sz val="11"/>
        <color theme="1"/>
        <rFont val="Calibri"/>
        <family val="2"/>
        <scheme val="minor"/>
      </rPr>
      <t xml:space="preserve"> on any existing record.
5. Verify that the </t>
    </r>
    <r>
      <rPr>
        <b/>
        <sz val="11"/>
        <color theme="1"/>
        <rFont val="Calibri"/>
        <family val="2"/>
        <scheme val="minor"/>
      </rPr>
      <t>Grid</t>
    </r>
    <r>
      <rPr>
        <sz val="11"/>
        <color theme="1"/>
        <rFont val="Calibri"/>
        <family val="2"/>
        <scheme val="minor"/>
      </rPr>
      <t xml:space="preserve"> is populated for the selected record.
6. In the Grid, click </t>
    </r>
    <r>
      <rPr>
        <b/>
        <sz val="11"/>
        <color theme="1"/>
        <rFont val="Calibri"/>
        <family val="2"/>
        <scheme val="minor"/>
      </rPr>
      <t>Select</t>
    </r>
    <r>
      <rPr>
        <sz val="11"/>
        <color theme="1"/>
        <rFont val="Calibri"/>
        <family val="2"/>
        <scheme val="minor"/>
      </rPr>
      <t xml:space="preserve"> on any grid record.
7. Verify that the selected grid record’s data is reflected in the corresponding textboxes on the page.
8. Observe the Total Entry Count label.
9. Click the </t>
    </r>
    <r>
      <rPr>
        <b/>
        <sz val="11"/>
        <color theme="1"/>
        <rFont val="Calibri"/>
        <family val="2"/>
        <scheme val="minor"/>
      </rPr>
      <t xml:space="preserve">Clear button </t>
    </r>
    <r>
      <rPr>
        <sz val="11"/>
        <color theme="1"/>
        <rFont val="Calibri"/>
        <family val="2"/>
        <scheme val="minor"/>
      </rPr>
      <t>and observe whether:
 -&gt; All textboxes are cleared
 -&gt; The Save button is enabled for a new entry</t>
    </r>
  </si>
  <si>
    <t>1. The selected record from the left-side panel list should be displayed correctly in the Grid.
2. Selecting a record in the Grid should populate all corresponding textboxes with accurate data.
3. Total Entry Count should dynamically update based on the number of records available in the Grid.
4. If the Grid is empty, Total Entry Count should display 0.
5. After clicking the Clear button:
 -&gt; All textboxes should be cleared
 -&gt; The Save button should be enabled to allow a new record entry</t>
  </si>
  <si>
    <r>
      <t xml:space="preserve">1. Selected record details are displayed correctly in the Grid.
2. Selected grid record data is correctly reflected in the corresponding textboxes.
</t>
    </r>
    <r>
      <rPr>
        <b/>
        <sz val="11"/>
        <color theme="1"/>
        <rFont val="Calibri"/>
        <family val="2"/>
        <scheme val="minor"/>
      </rPr>
      <t>3. Total Entry Count does not update when records are added or removed from the Grid.
4. After clicking the Clear button, all textboxes are cleared, but the Save button remains disabled.
 -&gt; The Save button becomes enabled only after refreshing or reopening the page.</t>
    </r>
    <r>
      <rPr>
        <sz val="11"/>
        <color theme="1"/>
        <rFont val="Calibri"/>
        <family val="2"/>
        <scheme val="minor"/>
      </rPr>
      <t xml:space="preserve">
</t>
    </r>
  </si>
  <si>
    <t>Container_Yard_06</t>
  </si>
  <si>
    <r>
      <t xml:space="preserve">Validate the functionality of </t>
    </r>
    <r>
      <rPr>
        <b/>
        <sz val="11"/>
        <color theme="1"/>
        <rFont val="Calibri"/>
        <family val="2"/>
        <scheme val="minor"/>
      </rPr>
      <t>'Code'</t>
    </r>
    <r>
      <rPr>
        <sz val="11"/>
        <color theme="1"/>
        <rFont val="Calibri"/>
        <family val="2"/>
        <scheme val="minor"/>
      </rPr>
      <t xml:space="preserve"> textbox in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</si>
  <si>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 xml:space="preserve">4. Enter Valid &amp; Invalid Data in </t>
    </r>
    <r>
      <rPr>
        <b/>
        <sz val="11"/>
        <color theme="1"/>
        <rFont val="Calibri"/>
        <family val="2"/>
        <scheme val="minor"/>
      </rPr>
      <t xml:space="preserve">Code </t>
    </r>
    <r>
      <rPr>
        <sz val="11"/>
        <color theme="1"/>
        <rFont val="Calibri"/>
        <family val="2"/>
        <scheme val="minor"/>
      </rPr>
      <t>textbox and observe the system behaviour.</t>
    </r>
  </si>
  <si>
    <r>
      <t xml:space="preserve">1. As per the use case, The </t>
    </r>
    <r>
      <rPr>
        <b/>
        <sz val="11"/>
        <color theme="1"/>
        <rFont val="Calibri"/>
        <family val="2"/>
        <scheme val="minor"/>
      </rPr>
      <t>Code</t>
    </r>
    <r>
      <rPr>
        <sz val="11"/>
        <color theme="1"/>
        <rFont val="Calibri"/>
        <family val="2"/>
        <scheme val="minor"/>
      </rPr>
      <t xml:space="preserve"> textbox should accept alphanumeric values.
2. </t>
    </r>
    <r>
      <rPr>
        <b/>
        <sz val="11"/>
        <color theme="1"/>
        <rFont val="Calibri"/>
        <family val="2"/>
        <scheme val="minor"/>
      </rPr>
      <t>Code</t>
    </r>
    <r>
      <rPr>
        <sz val="11"/>
        <color theme="1"/>
        <rFont val="Calibri"/>
        <family val="2"/>
        <scheme val="minor"/>
      </rPr>
      <t xml:space="preserve"> textbox should not accept special character value, only space value and combination of character value.
3. The textbox length should be limited to 13 characters.</t>
    </r>
  </si>
  <si>
    <r>
      <t xml:space="preserve">1. The </t>
    </r>
    <r>
      <rPr>
        <b/>
        <sz val="11"/>
        <color theme="1"/>
        <rFont val="Calibri"/>
        <family val="2"/>
        <scheme val="minor"/>
      </rPr>
      <t>Code</t>
    </r>
    <r>
      <rPr>
        <sz val="11"/>
        <color theme="1"/>
        <rFont val="Calibri"/>
        <family val="2"/>
        <scheme val="minor"/>
      </rPr>
      <t xml:space="preserve"> textbox accepts:
 -&gt; Alphabetic values
 -&gt; Numeric values
 -&gt; Special character values
2. The 13-character limit is implemented correctly.</t>
    </r>
  </si>
  <si>
    <t>Container_Yard_07</t>
  </si>
  <si>
    <r>
      <t xml:space="preserve">Validate the functionality of </t>
    </r>
    <r>
      <rPr>
        <b/>
        <sz val="11"/>
        <color theme="1"/>
        <rFont val="Calibri"/>
        <family val="2"/>
        <scheme val="minor"/>
      </rPr>
      <t>'Name'</t>
    </r>
    <r>
      <rPr>
        <sz val="11"/>
        <color theme="1"/>
        <rFont val="Calibri"/>
        <family val="2"/>
        <scheme val="minor"/>
      </rPr>
      <t xml:space="preserve"> textbox in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</si>
  <si>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Container Yard Master</t>
    </r>
    <r>
      <rPr>
        <sz val="11"/>
        <color theme="1"/>
        <rFont val="Calibri"/>
        <family val="2"/>
        <scheme val="minor"/>
      </rPr>
      <t xml:space="preserve">
4. Enter Valid &amp; Invalid Data in </t>
    </r>
    <r>
      <rPr>
        <b/>
        <sz val="11"/>
        <color theme="1"/>
        <rFont val="Calibri"/>
        <family val="2"/>
        <scheme val="minor"/>
      </rPr>
      <t xml:space="preserve">Name </t>
    </r>
    <r>
      <rPr>
        <sz val="11"/>
        <color theme="1"/>
        <rFont val="Calibri"/>
        <family val="2"/>
        <scheme val="minor"/>
      </rPr>
      <t>textbox and observe the system behaviour.</t>
    </r>
  </si>
  <si>
    <r>
      <t xml:space="preserve">1. As per the use case, The </t>
    </r>
    <r>
      <rPr>
        <b/>
        <sz val="11"/>
        <color theme="1"/>
        <rFont val="Calibri"/>
        <family val="2"/>
        <scheme val="minor"/>
      </rPr>
      <t>Name</t>
    </r>
    <r>
      <rPr>
        <sz val="11"/>
        <color theme="1"/>
        <rFont val="Calibri"/>
        <family val="2"/>
        <scheme val="minor"/>
      </rPr>
      <t xml:space="preserve"> textbox should accept alphanumeric values.
2. </t>
    </r>
    <r>
      <rPr>
        <b/>
        <sz val="11"/>
        <color theme="1"/>
        <rFont val="Calibri"/>
        <family val="2"/>
        <scheme val="minor"/>
      </rPr>
      <t>Name</t>
    </r>
    <r>
      <rPr>
        <sz val="11"/>
        <color theme="1"/>
        <rFont val="Calibri"/>
        <family val="2"/>
        <scheme val="minor"/>
      </rPr>
      <t xml:space="preserve"> textbox should not accept special character value, only space value and combination of character value.
2. The textbox length should be limited to 100 characters.</t>
    </r>
  </si>
  <si>
    <r>
      <t xml:space="preserve">1. The </t>
    </r>
    <r>
      <rPr>
        <b/>
        <sz val="11"/>
        <color theme="1"/>
        <rFont val="Calibri"/>
        <family val="2"/>
        <scheme val="minor"/>
      </rPr>
      <t>Name</t>
    </r>
    <r>
      <rPr>
        <sz val="11"/>
        <color theme="1"/>
        <rFont val="Calibri"/>
        <family val="2"/>
        <scheme val="minor"/>
      </rPr>
      <t xml:space="preserve"> textbox accepts:
 -&gt; Alphabetic values
 -&gt; Numeric values
 -&gt; Special character values
2. The 100-character limit is implemented correctly.
Note: </t>
    </r>
    <r>
      <rPr>
        <b/>
        <sz val="11"/>
        <color theme="1"/>
        <rFont val="Calibri"/>
        <family val="2"/>
        <scheme val="minor"/>
      </rPr>
      <t>As per business Rule, Name textbox should accept alphanumeric value and following special characters: Dot (.), Comma (,), Percentage (%), Ampersand (&amp;), Hyphen (-),  Underscore (_), Forward slash (/), Backward slash (\)</t>
    </r>
  </si>
  <si>
    <t>Container_Yard_08</t>
  </si>
  <si>
    <r>
      <t xml:space="preserve">Validate the functionality of </t>
    </r>
    <r>
      <rPr>
        <b/>
        <sz val="11"/>
        <color theme="1"/>
        <rFont val="Calibri"/>
        <family val="2"/>
        <scheme val="minor"/>
      </rPr>
      <t>'Address'</t>
    </r>
    <r>
      <rPr>
        <sz val="11"/>
        <color theme="1"/>
        <rFont val="Calibri"/>
        <family val="2"/>
        <scheme val="minor"/>
      </rPr>
      <t xml:space="preserve"> textbox in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</si>
  <si>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Container Yard Master</t>
    </r>
    <r>
      <rPr>
        <sz val="11"/>
        <color theme="1"/>
        <rFont val="Calibri"/>
        <family val="2"/>
        <scheme val="minor"/>
      </rPr>
      <t xml:space="preserve">
4. Enter Valid &amp; Invalid Data in </t>
    </r>
    <r>
      <rPr>
        <b/>
        <sz val="11"/>
        <color theme="1"/>
        <rFont val="Calibri"/>
        <family val="2"/>
        <scheme val="minor"/>
      </rPr>
      <t xml:space="preserve">Address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</si>
  <si>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Address</t>
    </r>
    <r>
      <rPr>
        <b/>
        <sz val="11"/>
        <color theme="1"/>
        <rFont val="Calibri"/>
        <family val="2"/>
        <scheme val="minor"/>
      </rPr>
      <t xml:space="preserve">
 </t>
    </r>
  </si>
  <si>
    <r>
      <t xml:space="preserve">1. As per the use case, The </t>
    </r>
    <r>
      <rPr>
        <b/>
        <sz val="11"/>
        <color theme="1"/>
        <rFont val="Calibri"/>
        <family val="2"/>
        <scheme val="minor"/>
      </rPr>
      <t>Address</t>
    </r>
    <r>
      <rPr>
        <sz val="11"/>
        <color theme="1"/>
        <rFont val="Calibri"/>
        <family val="2"/>
        <scheme val="minor"/>
      </rPr>
      <t xml:space="preserve"> textbox should accept alphanumeric values.
2. </t>
    </r>
    <r>
      <rPr>
        <b/>
        <sz val="11"/>
        <color theme="1"/>
        <rFont val="Calibri"/>
        <family val="2"/>
        <scheme val="minor"/>
      </rPr>
      <t>Address</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</si>
  <si>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Address</t>
    </r>
    <r>
      <rPr>
        <sz val="11"/>
        <color theme="1"/>
        <rFont val="Calibri"/>
        <family val="2"/>
        <scheme val="minor"/>
      </rPr>
      <t xml:space="preserve"> textbox accepts:
 -&gt; Alphabetic values
 -&gt; Numeric values
 -&gt; Special character values
2. The 100-character limit is implemented correctly.
Note: </t>
    </r>
    <r>
      <rPr>
        <b/>
        <sz val="11"/>
        <color theme="1"/>
        <rFont val="Calibri"/>
        <family val="2"/>
        <scheme val="minor"/>
      </rPr>
      <t>As per business Rule, Address textbox should accept all type value.</t>
    </r>
  </si>
  <si>
    <t>Container_Yard_09</t>
  </si>
  <si>
    <r>
      <t xml:space="preserve">Validate the functionality of </t>
    </r>
    <r>
      <rPr>
        <b/>
        <sz val="11"/>
        <color theme="1"/>
        <rFont val="Calibri"/>
        <family val="2"/>
        <scheme val="minor"/>
      </rPr>
      <t>'Contact'</t>
    </r>
    <r>
      <rPr>
        <sz val="11"/>
        <color theme="1"/>
        <rFont val="Calibri"/>
        <family val="2"/>
        <scheme val="minor"/>
      </rPr>
      <t xml:space="preserve"> textbox in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</si>
  <si>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Container Yard Master</t>
    </r>
    <r>
      <rPr>
        <sz val="11"/>
        <color theme="1"/>
        <rFont val="Calibri"/>
        <family val="2"/>
        <scheme val="minor"/>
      </rPr>
      <t xml:space="preserve">
4. Enter Valid &amp; Invalid Data in </t>
    </r>
    <r>
      <rPr>
        <b/>
        <sz val="11"/>
        <color theme="1"/>
        <rFont val="Calibri"/>
        <family val="2"/>
        <scheme val="minor"/>
      </rPr>
      <t xml:space="preserve">Contact </t>
    </r>
    <r>
      <rPr>
        <sz val="11"/>
        <color theme="1"/>
        <rFont val="Calibri"/>
        <family val="2"/>
        <scheme val="minor"/>
      </rPr>
      <t>textbox and observe the system behaviour.</t>
    </r>
  </si>
  <si>
    <t>Container_Yard_10</t>
  </si>
  <si>
    <r>
      <t xml:space="preserve">Validate the functionality of </t>
    </r>
    <r>
      <rPr>
        <b/>
        <sz val="11"/>
        <color theme="1"/>
        <rFont val="Calibri"/>
        <family val="2"/>
        <scheme val="minor"/>
      </rPr>
      <t>'Display Status'</t>
    </r>
    <r>
      <rPr>
        <sz val="11"/>
        <color theme="1"/>
        <rFont val="Calibri"/>
        <family val="2"/>
        <scheme val="minor"/>
      </rPr>
      <t xml:space="preserve"> dropdown textbpx in the </t>
    </r>
    <r>
      <rPr>
        <b/>
        <sz val="11"/>
        <color theme="1"/>
        <rFont val="Calibri"/>
        <family val="2"/>
        <scheme val="minor"/>
      </rPr>
      <t>Container Yard Master</t>
    </r>
    <r>
      <rPr>
        <sz val="11"/>
        <color theme="1"/>
        <rFont val="Calibri"/>
        <family val="2"/>
        <scheme val="minor"/>
      </rPr>
      <t xml:space="preserve"> page.</t>
    </r>
  </si>
  <si>
    <r>
      <t>1. Open the application and log in 
2. Select Branch: AHMEDABAD, Export Type: Export Sea, FY 2025–2026, click OK.
3. Navigate to</t>
    </r>
    <r>
      <rPr>
        <b/>
        <sz val="11"/>
        <color theme="1"/>
        <rFont val="Calibri"/>
        <family val="2"/>
        <scheme val="minor"/>
      </rPr>
      <t xml:space="preserve"> Masters -&gt; Container Yard Master</t>
    </r>
    <r>
      <rPr>
        <sz val="11"/>
        <color theme="1"/>
        <rFont val="Calibri"/>
        <family val="2"/>
        <scheme val="minor"/>
      </rPr>
      <t xml:space="preserve">
4.  select a value from the dropdown list and oberve the system behaviour.</t>
    </r>
  </si>
  <si>
    <t>Container_Yard_11</t>
  </si>
  <si>
    <r>
      <t xml:space="preserve">Validate the functionality of </t>
    </r>
    <r>
      <rPr>
        <b/>
        <sz val="11"/>
        <color theme="1"/>
        <rFont val="Calibri"/>
        <family val="2"/>
        <scheme val="minor"/>
      </rPr>
      <t>'Note'</t>
    </r>
    <r>
      <rPr>
        <sz val="11"/>
        <color theme="1"/>
        <rFont val="Calibri"/>
        <family val="2"/>
        <scheme val="minor"/>
      </rPr>
      <t xml:space="preserve"> textbox in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</si>
  <si>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 xml:space="preserve">4. Enter Valid &amp; Invalid Data in </t>
    </r>
    <r>
      <rPr>
        <b/>
        <sz val="11"/>
        <color theme="1"/>
        <rFont val="Calibri"/>
        <family val="2"/>
        <scheme val="minor"/>
      </rPr>
      <t xml:space="preserve">Note </t>
    </r>
    <r>
      <rPr>
        <sz val="11"/>
        <color theme="1"/>
        <rFont val="Calibri"/>
        <family val="2"/>
        <scheme val="minor"/>
      </rPr>
      <t>textbox and observe the system behaviour.</t>
    </r>
  </si>
  <si>
    <t>Container_Yard_12</t>
  </si>
  <si>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Contact</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</si>
  <si>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Contact</t>
    </r>
    <r>
      <rPr>
        <sz val="11"/>
        <color theme="1"/>
        <rFont val="Calibri"/>
        <family val="2"/>
        <scheme val="minor"/>
      </rPr>
      <t xml:space="preserve"> textbox should accept alphanumeric values.
2. </t>
    </r>
    <r>
      <rPr>
        <b/>
        <sz val="11"/>
        <color theme="1"/>
        <rFont val="Calibri"/>
        <family val="2"/>
        <scheme val="minor"/>
      </rPr>
      <t>Contact</t>
    </r>
    <r>
      <rPr>
        <sz val="11"/>
        <color theme="1"/>
        <rFont val="Calibri"/>
        <family val="2"/>
        <scheme val="minor"/>
      </rPr>
      <t xml:space="preserve"> textbox should not accept special character value, only space value and combination of character value.
2. The textbox length should be limited to 250 characters.</t>
    </r>
  </si>
  <si>
    <r>
      <t xml:space="preserve">1. The </t>
    </r>
    <r>
      <rPr>
        <b/>
        <sz val="11"/>
        <color theme="1"/>
        <rFont val="Calibri"/>
        <family val="2"/>
        <scheme val="minor"/>
      </rPr>
      <t>Contact</t>
    </r>
    <r>
      <rPr>
        <sz val="11"/>
        <color theme="1"/>
        <rFont val="Calibri"/>
        <family val="2"/>
        <scheme val="minor"/>
      </rPr>
      <t xml:space="preserve"> textbox accepts:
 -&gt; Alphabetic values
 -&gt; Numeric values
 -&gt; Special character values
2. The 250-character limit is implemented correctly.
Note: </t>
    </r>
    <r>
      <rPr>
        <b/>
        <sz val="11"/>
        <color theme="1"/>
        <rFont val="Calibri"/>
        <family val="2"/>
        <scheme val="minor"/>
      </rPr>
      <t>As per business Rule, Contact textbox should accept alphanumeric value and following special characters: Dot (.), Comma (,), Percentage (%), Ampersand (&amp;), Hyphen (-),  Underscore (_), Forward slash (/), Backward slash (\)</t>
    </r>
  </si>
  <si>
    <r>
      <t xml:space="preserve">Validate the functionality of the </t>
    </r>
    <r>
      <rPr>
        <b/>
        <sz val="11"/>
        <color theme="1"/>
        <rFont val="Calibri"/>
        <family val="2"/>
        <scheme val="minor"/>
      </rPr>
      <t>Save</t>
    </r>
    <r>
      <rPr>
        <sz val="11"/>
        <color theme="1"/>
        <rFont val="Calibri"/>
        <family val="2"/>
        <scheme val="minor"/>
      </rPr>
      <t xml:space="preserve"> button when all (</t>
    </r>
    <r>
      <rPr>
        <b/>
        <sz val="11"/>
        <color theme="1"/>
        <rFont val="Calibri"/>
        <family val="2"/>
        <scheme val="minor"/>
      </rPr>
      <t xml:space="preserve">Mandatory </t>
    </r>
    <r>
      <rPr>
        <sz val="11"/>
        <color theme="1"/>
        <rFont val="Calibri"/>
        <family val="2"/>
        <scheme val="minor"/>
      </rPr>
      <t xml:space="preserve">&amp; </t>
    </r>
    <r>
      <rPr>
        <b/>
        <sz val="11"/>
        <color theme="1"/>
        <rFont val="Calibri"/>
        <family val="2"/>
        <scheme val="minor"/>
      </rPr>
      <t>Non-Mandatory</t>
    </r>
    <r>
      <rPr>
        <sz val="11"/>
        <color theme="1"/>
        <rFont val="Calibri"/>
        <family val="2"/>
        <scheme val="minor"/>
      </rPr>
      <t xml:space="preserve">) fields are filled in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</si>
  <si>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 xml:space="preserve">4. Enter valid data in all fields on the </t>
    </r>
    <r>
      <rPr>
        <b/>
        <sz val="11"/>
        <color theme="1"/>
        <rFont val="Calibri"/>
        <family val="2"/>
        <scheme val="minor"/>
      </rPr>
      <t>Container Yard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</si>
  <si>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r>
      <rPr>
        <b/>
        <sz val="11"/>
        <color theme="1"/>
        <rFont val="Calibri"/>
        <family val="2"/>
        <scheme val="minor"/>
      </rPr>
      <t xml:space="preserve">1. </t>
    </r>
    <r>
      <rPr>
        <sz val="11"/>
        <color theme="1"/>
        <rFont val="Calibri"/>
        <family val="2"/>
        <scheme val="minor"/>
      </rPr>
      <t xml:space="preserve">Fill valid data in all textbox and click on save button.
</t>
    </r>
    <r>
      <rPr>
        <b/>
        <sz val="11"/>
        <color theme="1"/>
        <rFont val="Calibri"/>
        <family val="2"/>
        <scheme val="minor"/>
      </rPr>
      <t/>
    </r>
  </si>
  <si>
    <r>
      <t xml:space="preserve">1. Record is saved successfully.
2. Confirmation message is displayed.
3. Saved record appears in the left-side list.
4. Record is searchable and selectable.
</t>
    </r>
    <r>
      <rPr>
        <b/>
        <sz val="11"/>
        <color theme="1"/>
        <rFont val="Calibri"/>
        <family val="2"/>
        <scheme val="minor"/>
      </rPr>
      <t>Note: Save button is disabled after clicking on clear button (Coved in Test Case No. 5) - It should be enable for new entry</t>
    </r>
  </si>
  <si>
    <t>Container_Yard_13</t>
  </si>
  <si>
    <r>
      <t xml:space="preserve">Validate the functionality of the </t>
    </r>
    <r>
      <rPr>
        <b/>
        <sz val="11"/>
        <color theme="1"/>
        <rFont val="Calibri"/>
        <family val="2"/>
        <scheme val="minor"/>
      </rPr>
      <t>Save</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in the</t>
    </r>
    <r>
      <rPr>
        <b/>
        <sz val="11"/>
        <color theme="1"/>
        <rFont val="Calibri"/>
        <family val="2"/>
        <scheme val="minor"/>
      </rPr>
      <t xml:space="preserve"> 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</si>
  <si>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Enter valid data in all mandatory fields only.
5. Leave all non-mandatory fields blank.
6. Click on the Save button.</t>
    </r>
  </si>
  <si>
    <r>
      <rPr>
        <b/>
        <sz val="11"/>
        <color theme="1"/>
        <rFont val="Calibri"/>
        <family val="2"/>
        <scheme val="minor"/>
      </rPr>
      <t>Mandatory Fields as per the Page UI:</t>
    </r>
    <r>
      <rPr>
        <sz val="11"/>
        <color theme="1"/>
        <rFont val="Calibri"/>
        <family val="2"/>
        <scheme val="minor"/>
      </rPr>
      <t xml:space="preserve">
 -&gt; Code
 -&gt; Name
 -&gt; Address
 - Contact
 -&gt; Display Status</t>
    </r>
  </si>
  <si>
    <r>
      <t xml:space="preserve">1. The record should be </t>
    </r>
    <r>
      <rPr>
        <b/>
        <sz val="11"/>
        <color theme="1"/>
        <rFont val="Calibri"/>
        <family val="2"/>
        <scheme val="minor"/>
      </rPr>
      <t>saved successfully</t>
    </r>
    <r>
      <rPr>
        <sz val="11"/>
        <color theme="1"/>
        <rFont val="Calibri"/>
        <family val="2"/>
        <scheme val="minor"/>
      </rPr>
      <t xml:space="preserve"> when all mandatory fields are filled.
2. A confirmation message should be displayed (e.g., “Record saved successfully”).
3. The saved record should appear in the left-side panel list.
4. The newly saved record should be searchable and selectable from the left panel.</t>
    </r>
  </si>
  <si>
    <r>
      <t xml:space="preserve">1. Record is saved successfully.
2. Confirmation message is displayed.
3. Saved record appears in the left-side list.
4. Record is searchable and selectable.
</t>
    </r>
    <r>
      <rPr>
        <b/>
        <sz val="11"/>
        <color theme="1"/>
        <rFont val="Calibri"/>
        <family val="2"/>
        <scheme val="minor"/>
      </rPr>
      <t>Note: Save button is disabled after clicking on clear button (Coved in Test Case No. 5) - It should be enable for new entry</t>
    </r>
  </si>
  <si>
    <t>Container_Yard_14</t>
  </si>
  <si>
    <r>
      <t xml:space="preserve">Validate the functionality of the </t>
    </r>
    <r>
      <rPr>
        <b/>
        <sz val="11"/>
        <color theme="1"/>
        <rFont val="Calibri"/>
        <family val="2"/>
        <scheme val="minor"/>
      </rPr>
      <t>Save</t>
    </r>
    <r>
      <rPr>
        <sz val="11"/>
        <color theme="1"/>
        <rFont val="Calibri"/>
        <family val="2"/>
        <scheme val="minor"/>
      </rPr>
      <t xml:space="preserve"> button when only </t>
    </r>
    <r>
      <rPr>
        <b/>
        <sz val="11"/>
        <color theme="1"/>
        <rFont val="Calibri"/>
        <family val="2"/>
        <scheme val="minor"/>
      </rPr>
      <t>Non - Mandatory fields are filled</t>
    </r>
    <r>
      <rPr>
        <sz val="11"/>
        <color theme="1"/>
        <rFont val="Calibri"/>
        <family val="2"/>
        <scheme val="minor"/>
      </rPr>
      <t xml:space="preserve"> and </t>
    </r>
    <r>
      <rPr>
        <b/>
        <sz val="11"/>
        <color theme="1"/>
        <rFont val="Calibri"/>
        <family val="2"/>
        <scheme val="minor"/>
      </rPr>
      <t>Mandatory fields are left blank</t>
    </r>
    <r>
      <rPr>
        <sz val="11"/>
        <color theme="1"/>
        <rFont val="Calibri"/>
        <family val="2"/>
        <scheme val="minor"/>
      </rPr>
      <t xml:space="preserve"> in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</si>
  <si>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Enter valid values in non-mandatory fields only.
5. Leave all mandatory fields blank.
6. Click on the Save button and observe the system behaviour.</t>
    </r>
  </si>
  <si>
    <r>
      <rPr>
        <b/>
        <sz val="11"/>
        <color theme="1"/>
        <rFont val="Calibri"/>
        <family val="2"/>
        <scheme val="minor"/>
      </rPr>
      <t>Non - Mandatory Fields as per the Page UI:</t>
    </r>
    <r>
      <rPr>
        <sz val="11"/>
        <color theme="1"/>
        <rFont val="Calibri"/>
        <family val="2"/>
        <scheme val="minor"/>
      </rPr>
      <t xml:space="preserve">
 -&gt; Note</t>
    </r>
  </si>
  <si>
    <r>
      <t xml:space="preserve">1. The record is not saved when only non-mandatory fields are filled 
2. Mandatory field validation messages are displayed, </t>
    </r>
    <r>
      <rPr>
        <b/>
        <sz val="11"/>
        <color theme="1"/>
        <rFont val="Calibri"/>
        <family val="2"/>
        <scheme val="minor"/>
      </rPr>
      <t>but the message does not match the respective textbox.</t>
    </r>
    <r>
      <rPr>
        <sz val="11"/>
        <color theme="1"/>
        <rFont val="Calibri"/>
        <family val="2"/>
        <scheme val="minor"/>
      </rPr>
      <t xml:space="preserve">
 -&gt; Textbox: </t>
    </r>
    <r>
      <rPr>
        <b/>
        <sz val="11"/>
        <color theme="1"/>
        <rFont val="Calibri"/>
        <family val="2"/>
        <scheme val="minor"/>
      </rPr>
      <t>Display Status</t>
    </r>
    <r>
      <rPr>
        <sz val="11"/>
        <color theme="1"/>
        <rFont val="Calibri"/>
        <family val="2"/>
        <scheme val="minor"/>
      </rPr>
      <t xml:space="preserve">
 -&gt; Current Message: </t>
    </r>
    <r>
      <rPr>
        <b/>
        <sz val="11"/>
        <color theme="1"/>
        <rFont val="Calibri"/>
        <family val="2"/>
        <scheme val="minor"/>
      </rPr>
      <t>Please enter Lov Status.</t>
    </r>
    <r>
      <rPr>
        <sz val="11"/>
        <color theme="1"/>
        <rFont val="Calibri"/>
        <family val="2"/>
        <scheme val="minor"/>
      </rPr>
      <t xml:space="preserve">
 -&gt; Expected Message: </t>
    </r>
    <r>
      <rPr>
        <b/>
        <sz val="11"/>
        <color theme="1"/>
        <rFont val="Calibri"/>
        <family val="2"/>
        <scheme val="minor"/>
      </rPr>
      <t>Please select Display Status.</t>
    </r>
    <r>
      <rPr>
        <sz val="11"/>
        <color theme="1"/>
        <rFont val="Calibri"/>
        <family val="2"/>
        <scheme val="minor"/>
      </rPr>
      <t xml:space="preserve">
</t>
    </r>
  </si>
  <si>
    <t>Container_Yard_15</t>
  </si>
  <si>
    <r>
      <t xml:space="preserve">Validate </t>
    </r>
    <r>
      <rPr>
        <b/>
        <sz val="11"/>
        <color theme="1"/>
        <rFont val="Calibri"/>
        <family val="2"/>
        <scheme val="minor"/>
      </rPr>
      <t>Save</t>
    </r>
    <r>
      <rPr>
        <sz val="11"/>
        <color theme="1"/>
        <rFont val="Calibri"/>
        <family val="2"/>
        <scheme val="minor"/>
      </rPr>
      <t xml:space="preserve"> button functionality when</t>
    </r>
    <r>
      <rPr>
        <b/>
        <sz val="11"/>
        <color theme="1"/>
        <rFont val="Calibri"/>
        <family val="2"/>
        <scheme val="minor"/>
      </rPr>
      <t xml:space="preserve"> all fields are left blank</t>
    </r>
    <r>
      <rPr>
        <sz val="11"/>
        <color theme="1"/>
        <rFont val="Calibri"/>
        <family val="2"/>
        <scheme val="minor"/>
      </rPr>
      <t xml:space="preserve"> on the</t>
    </r>
    <r>
      <rPr>
        <b/>
        <sz val="11"/>
        <color theme="1"/>
        <rFont val="Calibri"/>
        <family val="2"/>
        <scheme val="minor"/>
      </rPr>
      <t xml:space="preserve"> 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</si>
  <si>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Without entering any data in any field, click the Save button.
5. Observe the system behavior.</t>
    </r>
  </si>
  <si>
    <r>
      <t xml:space="preserve">1. The record </t>
    </r>
    <r>
      <rPr>
        <b/>
        <sz val="11"/>
        <color theme="1"/>
        <rFont val="Calibri"/>
        <family val="2"/>
        <scheme val="minor"/>
      </rPr>
      <t>must not be saved</t>
    </r>
    <r>
      <rPr>
        <sz val="11"/>
        <color theme="1"/>
        <rFont val="Calibri"/>
        <family val="2"/>
        <scheme val="minor"/>
      </rPr>
      <t xml:space="preserve"> when all fields are left blank.
2. Mandatory field validations should trigger correctly:
 -&gt; Validation message should be displayed for</t>
    </r>
    <r>
      <rPr>
        <b/>
        <sz val="11"/>
        <color theme="1"/>
        <rFont val="Calibri"/>
        <family val="2"/>
        <scheme val="minor"/>
      </rPr>
      <t xml:space="preserve"> each missing mandatory field</t>
    </r>
    <r>
      <rPr>
        <sz val="11"/>
        <color theme="1"/>
        <rFont val="Calibri"/>
        <family val="2"/>
        <scheme val="minor"/>
      </rPr>
      <t xml:space="preserve">.
 -&gt; Validation messages should appear in the </t>
    </r>
    <r>
      <rPr>
        <b/>
        <sz val="11"/>
        <color theme="1"/>
        <rFont val="Calibri"/>
        <family val="2"/>
        <scheme val="minor"/>
      </rPr>
      <t>same sequence as the UI fields</t>
    </r>
    <r>
      <rPr>
        <sz val="11"/>
        <color theme="1"/>
        <rFont val="Calibri"/>
        <family val="2"/>
        <scheme val="minor"/>
      </rPr>
      <t xml:space="preserve">.
 -&gt; Validation message text should </t>
    </r>
    <r>
      <rPr>
        <b/>
        <sz val="11"/>
        <color theme="1"/>
        <rFont val="Calibri"/>
        <family val="2"/>
        <scheme val="minor"/>
      </rPr>
      <t>match the respective textbox labels</t>
    </r>
    <r>
      <rPr>
        <sz val="11"/>
        <color theme="1"/>
        <rFont val="Calibri"/>
        <family val="2"/>
        <scheme val="minor"/>
      </rPr>
      <t>.
3. After filling all mandatory fields and clicking Save:
 -&gt; Record should be saved successfully.
 -&gt; Saved record should appear in the left side panel list.
 -&gt; Record should be selectable and selectable.</t>
    </r>
  </si>
  <si>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 xml:space="preserve">Container Yard Master </t>
    </r>
    <r>
      <rPr>
        <sz val="11"/>
        <color theme="1"/>
        <rFont val="Calibri"/>
        <family val="2"/>
        <scheme val="minor"/>
      </rPr>
      <t>page.</t>
    </r>
  </si>
  <si>
    <r>
      <t xml:space="preserve">1. </t>
    </r>
    <r>
      <rPr>
        <b/>
        <sz val="11"/>
        <color theme="1"/>
        <rFont val="Calibri"/>
        <family val="2"/>
        <scheme val="minor"/>
      </rPr>
      <t>Modify</t>
    </r>
    <r>
      <rPr>
        <sz val="11"/>
        <color theme="1"/>
        <rFont val="Calibri"/>
        <family val="2"/>
        <scheme val="minor"/>
      </rPr>
      <t xml:space="preserve"> button should be enabled only when a record is selected and its data is loaded into the corresponding textboxes.
2. On clicking </t>
    </r>
    <r>
      <rPr>
        <b/>
        <sz val="11"/>
        <color theme="1"/>
        <rFont val="Calibri"/>
        <family val="2"/>
        <scheme val="minor"/>
      </rPr>
      <t>Modify</t>
    </r>
    <r>
      <rPr>
        <sz val="11"/>
        <color theme="1"/>
        <rFont val="Calibri"/>
        <family val="2"/>
        <scheme val="minor"/>
      </rPr>
      <t xml:space="preserve">, the record should be updated with the new values.
3. The updated record should reflect correctly in the left side panel list.
4. User should be able to </t>
    </r>
    <r>
      <rPr>
        <b/>
        <sz val="11"/>
        <color theme="1"/>
        <rFont val="Calibri"/>
        <family val="2"/>
        <scheme val="minor"/>
      </rPr>
      <t>modify</t>
    </r>
    <r>
      <rPr>
        <sz val="11"/>
        <color theme="1"/>
        <rFont val="Calibri"/>
        <family val="2"/>
        <scheme val="minor"/>
      </rPr>
      <t xml:space="preserve"> the same record multiple times.</t>
    </r>
  </si>
  <si>
    <r>
      <t xml:space="preserve">1. Open the application and log in 
2. Select Branch: AHMEDABAD, Export Type: Export Sea, FY 2025–2026, click OK.
3. Navigate to </t>
    </r>
    <r>
      <rPr>
        <b/>
        <sz val="11"/>
        <color theme="1"/>
        <rFont val="Calibri"/>
        <family val="2"/>
        <scheme val="minor"/>
      </rPr>
      <t xml:space="preserve">Masters → Container Yard Master
</t>
    </r>
    <r>
      <rPr>
        <sz val="11"/>
        <color theme="1"/>
        <rFont val="Calibri"/>
        <family val="2"/>
        <scheme val="minor"/>
      </rPr>
      <t>4. Select an existing record from the left side panel list.
5. Modify one or more fields with valid new data.
6. Click on the Modify button.
7. Re-select the same record and verify the updated values.</t>
    </r>
  </si>
  <si>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</si>
  <si>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Container Yard Master
</t>
    </r>
    <r>
      <rPr>
        <sz val="11"/>
        <color theme="1"/>
        <rFont val="Calibri"/>
        <family val="2"/>
        <scheme val="minor"/>
      </rPr>
      <t>4. Enter values in all or few input fields.
5. Click the Clear button and observe the system behavior.</t>
    </r>
  </si>
  <si>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Container Yard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</si>
  <si>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Container Yard Master
</t>
    </r>
    <r>
      <rPr>
        <sz val="11"/>
        <color theme="1"/>
        <rFont val="Calibri"/>
        <family val="2"/>
        <scheme val="minor"/>
      </rPr>
      <t>4. Use keyword button to fill the foam and observe the system behaviour.</t>
    </r>
  </si>
  <si>
    <r>
      <t xml:space="preserve">Validate the functionality of the </t>
    </r>
    <r>
      <rPr>
        <b/>
        <sz val="11"/>
        <color theme="1"/>
        <rFont val="Calibri"/>
        <family val="2"/>
        <scheme val="minor"/>
      </rPr>
      <t xml:space="preserve">Page Responsiveness </t>
    </r>
    <r>
      <rPr>
        <sz val="11"/>
        <color theme="1"/>
        <rFont val="Calibri"/>
        <family val="2"/>
        <scheme val="minor"/>
      </rPr>
      <t xml:space="preserve">on the </t>
    </r>
    <r>
      <rPr>
        <b/>
        <sz val="11"/>
        <color theme="1"/>
        <rFont val="Calibri"/>
        <family val="2"/>
        <scheme val="minor"/>
      </rPr>
      <t xml:space="preserve">Container Yard Master </t>
    </r>
    <r>
      <rPr>
        <sz val="11"/>
        <color theme="1"/>
        <rFont val="Calibri"/>
        <family val="2"/>
        <scheme val="minor"/>
      </rPr>
      <t>page.</t>
    </r>
  </si>
  <si>
    <r>
      <t>Validate the functionality of</t>
    </r>
    <r>
      <rPr>
        <b/>
        <sz val="11"/>
        <color theme="1"/>
        <rFont val="Calibri"/>
        <family val="2"/>
        <scheme val="minor"/>
      </rPr>
      <t xml:space="preserve"> Session timeout</t>
    </r>
    <r>
      <rPr>
        <sz val="11"/>
        <color theme="1"/>
        <rFont val="Calibri"/>
        <family val="2"/>
        <scheme val="minor"/>
      </rPr>
      <t xml:space="preserve"> of the </t>
    </r>
    <r>
      <rPr>
        <b/>
        <sz val="11"/>
        <color theme="1"/>
        <rFont val="Calibri"/>
        <family val="2"/>
        <scheme val="minor"/>
      </rPr>
      <t xml:space="preserve">Container Yard Master </t>
    </r>
    <r>
      <rPr>
        <sz val="11"/>
        <color theme="1"/>
        <rFont val="Calibri"/>
        <family val="2"/>
        <scheme val="minor"/>
      </rPr>
      <t>page.</t>
    </r>
  </si>
  <si>
    <t>Stuffing_Master_02</t>
  </si>
  <si>
    <r>
      <t xml:space="preserve">Validate the functionality of the </t>
    </r>
    <r>
      <rPr>
        <b/>
        <sz val="11"/>
        <color theme="1"/>
        <rFont val="Calibri"/>
        <family val="2"/>
        <scheme val="minor"/>
      </rPr>
      <t xml:space="preserve">Stuffing Name </t>
    </r>
    <r>
      <rPr>
        <sz val="11"/>
        <color theme="1"/>
        <rFont val="Calibri"/>
        <family val="2"/>
        <scheme val="minor"/>
      </rPr>
      <t xml:space="preserve">Search textbox in the left-side panel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</si>
  <si>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Stuffing Master
</t>
    </r>
    <r>
      <rPr>
        <sz val="11"/>
        <color theme="1"/>
        <rFont val="Calibri"/>
        <family val="2"/>
        <scheme val="minor"/>
      </rPr>
      <t xml:space="preserve">4. Enter different search keywords in the left side </t>
    </r>
    <r>
      <rPr>
        <b/>
        <sz val="11"/>
        <color theme="1"/>
        <rFont val="Calibri"/>
        <family val="2"/>
        <scheme val="minor"/>
      </rPr>
      <t>Stuffing Name</t>
    </r>
    <r>
      <rPr>
        <sz val="11"/>
        <color theme="1"/>
        <rFont val="Calibri"/>
        <family val="2"/>
        <scheme val="minor"/>
      </rPr>
      <t xml:space="preserve"> Search textbox.
5. Observe the filtered records in the left-side list panel.</t>
    </r>
  </si>
  <si>
    <t xml:space="preserve">Search Data:
 -&gt; </t>
  </si>
  <si>
    <r>
      <t xml:space="preserve">1. </t>
    </r>
    <r>
      <rPr>
        <b/>
        <sz val="11"/>
        <color theme="1"/>
        <rFont val="Calibri"/>
        <family val="2"/>
        <scheme val="minor"/>
      </rPr>
      <t>Stuffing Name</t>
    </r>
    <r>
      <rPr>
        <sz val="11"/>
        <color theme="1"/>
        <rFont val="Calibri"/>
        <family val="2"/>
        <scheme val="minor"/>
      </rPr>
      <t xml:space="preserve"> Search textbox should return all matching records for:
 -&gt; Full match
 -&gt; Partial match (any word in the record name)
 -&gt; Case-insensitive input
2. Records should dynamically filter based on the entered search keyword.
3. If no record matches the keyword, the list should appear empty.</t>
    </r>
  </si>
  <si>
    <t>Stuffing_Master_03</t>
  </si>
  <si>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behaviour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</si>
  <si>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Stuffing Master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</si>
  <si>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Stuffing_Master_04</t>
  </si>
  <si>
    <r>
      <t xml:space="preserve">Validate that the selected record from the </t>
    </r>
    <r>
      <rPr>
        <b/>
        <sz val="11"/>
        <color theme="1"/>
        <rFont val="Calibri"/>
        <family val="2"/>
        <scheme val="minor"/>
      </rPr>
      <t>left-side panel list</t>
    </r>
    <r>
      <rPr>
        <sz val="11"/>
        <color theme="1"/>
        <rFont val="Calibri"/>
        <family val="2"/>
        <scheme val="minor"/>
      </rPr>
      <t xml:space="preserve"> is correctly reflected in the corresponding textbox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</si>
  <si>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and click OK.
3. Navigate to </t>
    </r>
    <r>
      <rPr>
        <b/>
        <sz val="11"/>
        <color theme="1"/>
        <rFont val="Calibri"/>
        <family val="2"/>
        <scheme val="minor"/>
      </rPr>
      <t>Masters -&gt; Stuffing Master</t>
    </r>
    <r>
      <rPr>
        <sz val="11"/>
        <color theme="1"/>
        <rFont val="Calibri"/>
        <family val="2"/>
        <scheme val="minor"/>
      </rPr>
      <t xml:space="preserve">
4. From the left-side list panel, select any record.
5. Verify that the selected record details are reflected in the corresponding textbox fields on the </t>
    </r>
    <r>
      <rPr>
        <b/>
        <sz val="11"/>
        <color theme="1"/>
        <rFont val="Calibri"/>
        <family val="2"/>
        <scheme val="minor"/>
      </rPr>
      <t>Stuffing Master</t>
    </r>
    <r>
      <rPr>
        <sz val="11"/>
        <color theme="1"/>
        <rFont val="Calibri"/>
        <family val="2"/>
        <scheme val="minor"/>
      </rPr>
      <t xml:space="preserve"> page.
6. Select a different record from the left-side list.
7. Verify that the textbox fields update with the newly selected record’s data.
8. Verify that the previously selected record returns to the default (non-highlighted) color.</t>
    </r>
  </si>
  <si>
    <r>
      <t xml:space="preserve">1. Selected record details should be displayed correctly in the corresponding textbox fields on the </t>
    </r>
    <r>
      <rPr>
        <b/>
        <sz val="11"/>
        <color theme="1"/>
        <rFont val="Calibri"/>
        <family val="2"/>
        <scheme val="minor"/>
      </rPr>
      <t>Stuffing Master</t>
    </r>
    <r>
      <rPr>
        <sz val="11"/>
        <color theme="1"/>
        <rFont val="Calibri"/>
        <family val="2"/>
        <scheme val="minor"/>
      </rPr>
      <t xml:space="preserve"> page.
2. When another record is selected, the textbox fields should update with the newly selected record’s data.
3. The previously selected record should lose highlight and return to the default (white) color.
4. The selected record should not be removed from the left-side panel list and should remain available.</t>
    </r>
  </si>
  <si>
    <t>Stuffing_Master_05</t>
  </si>
  <si>
    <r>
      <t xml:space="preserve">Validate the functionality of </t>
    </r>
    <r>
      <rPr>
        <b/>
        <sz val="11"/>
        <color theme="1"/>
        <rFont val="Calibri"/>
        <family val="2"/>
        <scheme val="minor"/>
      </rPr>
      <t>Stuffing Name</t>
    </r>
    <r>
      <rPr>
        <sz val="11"/>
        <color theme="1"/>
        <rFont val="Calibri"/>
        <family val="2"/>
        <scheme val="minor"/>
      </rPr>
      <t xml:space="preserve"> textbox in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</si>
  <si>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-&gt; Stuffing Master</t>
    </r>
    <r>
      <rPr>
        <sz val="11"/>
        <color theme="1"/>
        <rFont val="Calibri"/>
        <family val="2"/>
        <scheme val="minor"/>
      </rPr>
      <t xml:space="preserve">
4. Enter Valid &amp; Invalid Data in </t>
    </r>
    <r>
      <rPr>
        <b/>
        <sz val="11"/>
        <color theme="1"/>
        <rFont val="Calibri"/>
        <family val="2"/>
        <scheme val="minor"/>
      </rPr>
      <t xml:space="preserve">Stuffing Name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</si>
  <si>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Stuffing Name</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</si>
  <si>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Stuffing Name</t>
    </r>
    <r>
      <rPr>
        <sz val="11"/>
        <color theme="1"/>
        <rFont val="Calibri"/>
        <family val="2"/>
        <scheme val="minor"/>
      </rPr>
      <t xml:space="preserve"> textbox should accept alphanumeric values.
2. </t>
    </r>
    <r>
      <rPr>
        <b/>
        <sz val="11"/>
        <color theme="1"/>
        <rFont val="Calibri"/>
        <family val="2"/>
        <scheme val="minor"/>
      </rPr>
      <t>Stuffing Name</t>
    </r>
    <r>
      <rPr>
        <sz val="11"/>
        <color theme="1"/>
        <rFont val="Calibri"/>
        <family val="2"/>
        <scheme val="minor"/>
      </rPr>
      <t xml:space="preserve"> textbox should not accept special character value, only space value and combination of character value.
2. The textbox length should be limited to 100 characters.</t>
    </r>
  </si>
  <si>
    <r>
      <t xml:space="preserve">1. The </t>
    </r>
    <r>
      <rPr>
        <b/>
        <sz val="11"/>
        <color theme="1"/>
        <rFont val="Calibri"/>
        <family val="2"/>
        <scheme val="minor"/>
      </rPr>
      <t>Stuffing Name</t>
    </r>
    <r>
      <rPr>
        <sz val="11"/>
        <color theme="1"/>
        <rFont val="Calibri"/>
        <family val="2"/>
        <scheme val="minor"/>
      </rPr>
      <t xml:space="preserve"> textbox accepts:
 -&gt; Alphabetic values
 -&gt; Numeric values
 -&gt; Special character values
2. The 100-character limit is not implemented correctly. It is accepting more than 100 character value.
Note: </t>
    </r>
    <r>
      <rPr>
        <b/>
        <sz val="11"/>
        <color theme="1"/>
        <rFont val="Calibri"/>
        <family val="2"/>
        <scheme val="minor"/>
      </rPr>
      <t>As per business Rule, Stuffing Name textbox should accept alphanumeric value and following special characters: Dot (.), Comma (,), Percentage (%), Ampersand (&amp;), Hyphen (-),  Underscore (_), Forward slash (/), Backward slash (\)</t>
    </r>
  </si>
  <si>
    <t>Stuffing_Master_06</t>
  </si>
  <si>
    <r>
      <t xml:space="preserve">Validate the functionality of </t>
    </r>
    <r>
      <rPr>
        <b/>
        <sz val="11"/>
        <color theme="1"/>
        <rFont val="Calibri"/>
        <family val="2"/>
        <scheme val="minor"/>
      </rPr>
      <t>'Refer To'</t>
    </r>
    <r>
      <rPr>
        <sz val="11"/>
        <color theme="1"/>
        <rFont val="Calibri"/>
        <family val="2"/>
        <scheme val="minor"/>
      </rPr>
      <t xml:space="preserve"> textbox in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</si>
  <si>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Stuffing Master</t>
    </r>
    <r>
      <rPr>
        <sz val="11"/>
        <color theme="1"/>
        <rFont val="Calibri"/>
        <family val="2"/>
        <scheme val="minor"/>
      </rPr>
      <t xml:space="preserve">
4. Enter Valid &amp; Invalid Data in </t>
    </r>
    <r>
      <rPr>
        <b/>
        <sz val="11"/>
        <color theme="1"/>
        <rFont val="Calibri"/>
        <family val="2"/>
        <scheme val="minor"/>
      </rPr>
      <t xml:space="preserve">Refer To </t>
    </r>
    <r>
      <rPr>
        <sz val="11"/>
        <color theme="1"/>
        <rFont val="Calibri"/>
        <family val="2"/>
        <scheme val="minor"/>
      </rPr>
      <t>textbox and observe the system behaviour.</t>
    </r>
  </si>
  <si>
    <r>
      <t xml:space="preserve">1. The </t>
    </r>
    <r>
      <rPr>
        <b/>
        <sz val="11"/>
        <color theme="1"/>
        <rFont val="Calibri"/>
        <family val="2"/>
        <scheme val="minor"/>
      </rPr>
      <t>Refer To</t>
    </r>
    <r>
      <rPr>
        <sz val="11"/>
        <color theme="1"/>
        <rFont val="Calibri"/>
        <family val="2"/>
        <scheme val="minor"/>
      </rPr>
      <t xml:space="preserve"> textbox should accept alphanumeric values.
2. </t>
    </r>
    <r>
      <rPr>
        <b/>
        <sz val="11"/>
        <color theme="1"/>
        <rFont val="Calibri"/>
        <family val="2"/>
        <scheme val="minor"/>
      </rPr>
      <t>Refer To</t>
    </r>
    <r>
      <rPr>
        <sz val="11"/>
        <color theme="1"/>
        <rFont val="Calibri"/>
        <family val="2"/>
        <scheme val="minor"/>
      </rPr>
      <t xml:space="preserve"> textbox should not accept special character value, only space value and combination of character value.
2. The textbox length should be limited to 30 characters.</t>
    </r>
  </si>
  <si>
    <t>Stuffing_Master_07</t>
  </si>
  <si>
    <r>
      <t xml:space="preserve">Validate the functionality of the </t>
    </r>
    <r>
      <rPr>
        <b/>
        <sz val="11"/>
        <color theme="1"/>
        <rFont val="Calibri"/>
        <family val="2"/>
        <scheme val="minor"/>
      </rPr>
      <t>Entered By</t>
    </r>
    <r>
      <rPr>
        <sz val="11"/>
        <color theme="1"/>
        <rFont val="Calibri"/>
        <family val="2"/>
        <scheme val="minor"/>
      </rPr>
      <t xml:space="preserve"> textbox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</si>
  <si>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4. Enter valid data in all required input fields.
5. Click on the Save button.
6. From the left side panel list, select the newly saved record.
7. Observe the value displayed in the Entered By textbox.</t>
    </r>
  </si>
  <si>
    <t>Stuffing_Master_08</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</si>
  <si>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</si>
  <si>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Stuffing Master</t>
    </r>
    <r>
      <rPr>
        <sz val="11"/>
        <color theme="1"/>
        <rFont val="Calibri"/>
        <family val="2"/>
        <scheme val="minor"/>
      </rPr>
      <t xml:space="preserve">
4. Enter valid data in all required input fields.
5. Click on the Save button.
6. From the left side panel list, select the newly saved record.
7. Observe the value displayed in the Entered Date textbox.</t>
    </r>
  </si>
  <si>
    <t>Stuffing_Master_09</t>
  </si>
  <si>
    <r>
      <t xml:space="preserve">Validate the functionality of </t>
    </r>
    <r>
      <rPr>
        <b/>
        <sz val="11"/>
        <color theme="1"/>
        <rFont val="Calibri"/>
        <family val="2"/>
        <scheme val="minor"/>
      </rPr>
      <t xml:space="preserve">Modified By </t>
    </r>
    <r>
      <rPr>
        <sz val="11"/>
        <color theme="1"/>
        <rFont val="Calibri"/>
        <family val="2"/>
        <scheme val="minor"/>
      </rPr>
      <t xml:space="preserve">textbox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</si>
  <si>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-&gt; Stuffing Master
</t>
    </r>
    <r>
      <rPr>
        <sz val="11"/>
        <color theme="1"/>
        <rFont val="Calibri"/>
        <family val="2"/>
        <scheme val="minor"/>
      </rPr>
      <t xml:space="preserve">4. Select an existing record from the left side panel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 side panel list.
8. Observe the value displayed in the </t>
    </r>
    <r>
      <rPr>
        <b/>
        <sz val="11"/>
        <color theme="1"/>
        <rFont val="Calibri"/>
        <family val="2"/>
        <scheme val="minor"/>
      </rPr>
      <t>Modified By</t>
    </r>
    <r>
      <rPr>
        <sz val="11"/>
        <color theme="1"/>
        <rFont val="Calibri"/>
        <family val="2"/>
        <scheme val="minor"/>
      </rPr>
      <t xml:space="preserve"> textbox.</t>
    </r>
  </si>
  <si>
    <t>Stuffing_Master_10</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</si>
  <si>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</si>
  <si>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 xml:space="preserve">4. Select an existing record from the left side panel list.
5. Modify any editable field value.
6. Click on the Modify button.
7. Re-select the same record from the left side list.
8. Observe the value displayed in the </t>
    </r>
    <r>
      <rPr>
        <b/>
        <sz val="11"/>
        <color theme="1"/>
        <rFont val="Calibri"/>
        <family val="2"/>
        <scheme val="minor"/>
      </rPr>
      <t>Modified Date</t>
    </r>
    <r>
      <rPr>
        <sz val="11"/>
        <color theme="1"/>
        <rFont val="Calibri"/>
        <family val="2"/>
        <scheme val="minor"/>
      </rPr>
      <t xml:space="preserve"> textbox.</t>
    </r>
  </si>
  <si>
    <t>Stuffing_Master_11</t>
  </si>
  <si>
    <r>
      <t xml:space="preserve">Validate the functionality of the </t>
    </r>
    <r>
      <rPr>
        <b/>
        <sz val="11"/>
        <color theme="1"/>
        <rFont val="Calibri"/>
        <family val="2"/>
        <scheme val="minor"/>
      </rPr>
      <t>Save</t>
    </r>
    <r>
      <rPr>
        <sz val="11"/>
        <color theme="1"/>
        <rFont val="Calibri"/>
        <family val="2"/>
        <scheme val="minor"/>
      </rPr>
      <t xml:space="preserve"> button when all fields are filled in the </t>
    </r>
    <r>
      <rPr>
        <b/>
        <sz val="11"/>
        <color theme="1"/>
        <rFont val="Calibri"/>
        <family val="2"/>
        <scheme val="minor"/>
      </rPr>
      <t>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</si>
  <si>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 xml:space="preserve">4. Enter valid data in all fields on the </t>
    </r>
    <r>
      <rPr>
        <b/>
        <sz val="11"/>
        <color theme="1"/>
        <rFont val="Calibri"/>
        <family val="2"/>
        <scheme val="minor"/>
      </rPr>
      <t>Stuffing Master</t>
    </r>
    <r>
      <rPr>
        <sz val="11"/>
        <color theme="1"/>
        <rFont val="Calibri"/>
        <family val="2"/>
        <scheme val="minor"/>
      </rPr>
      <t xml:space="preserve"> page.
5. Click on the </t>
    </r>
    <r>
      <rPr>
        <b/>
        <sz val="11"/>
        <color theme="1"/>
        <rFont val="Calibri"/>
        <family val="2"/>
        <scheme val="minor"/>
      </rPr>
      <t xml:space="preserve">Save </t>
    </r>
    <r>
      <rPr>
        <sz val="11"/>
        <color theme="1"/>
        <rFont val="Calibri"/>
        <family val="2"/>
        <scheme val="minor"/>
      </rPr>
      <t>button and observe the system behaviour.</t>
    </r>
  </si>
  <si>
    <r>
      <rPr>
        <b/>
        <sz val="11"/>
        <color theme="1"/>
        <rFont val="Calibri"/>
        <family val="2"/>
        <scheme val="minor"/>
      </rPr>
      <t xml:space="preserve">1. </t>
    </r>
    <r>
      <rPr>
        <sz val="11"/>
        <color theme="1"/>
        <rFont val="Calibri"/>
        <family val="2"/>
        <scheme val="minor"/>
      </rPr>
      <t xml:space="preserve">Fill valid data in all textbox and click on save button.
 -&gt; Stuffing Name
 -&gt; Refer To
</t>
    </r>
    <r>
      <rPr>
        <b/>
        <sz val="11"/>
        <color theme="1"/>
        <rFont val="Calibri"/>
        <family val="2"/>
        <scheme val="minor"/>
      </rPr>
      <t/>
    </r>
  </si>
  <si>
    <t>Stuffing_Master_12</t>
  </si>
  <si>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the </t>
    </r>
    <r>
      <rPr>
        <b/>
        <sz val="11"/>
        <color theme="1"/>
        <rFont val="Calibri"/>
        <family val="2"/>
        <scheme val="minor"/>
      </rPr>
      <t>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</si>
  <si>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 xml:space="preserve">4. Without entering any data in any field, click the </t>
    </r>
    <r>
      <rPr>
        <b/>
        <sz val="11"/>
        <color theme="1"/>
        <rFont val="Calibri"/>
        <family val="2"/>
        <scheme val="minor"/>
      </rPr>
      <t>Save</t>
    </r>
    <r>
      <rPr>
        <sz val="11"/>
        <color theme="1"/>
        <rFont val="Calibri"/>
        <family val="2"/>
        <scheme val="minor"/>
      </rPr>
      <t xml:space="preserve"> button.
5. Observe the system behavior.</t>
    </r>
  </si>
  <si>
    <t>Stuffing_Master_13</t>
  </si>
  <si>
    <r>
      <t xml:space="preserve">Validate the functionality of the </t>
    </r>
    <r>
      <rPr>
        <b/>
        <sz val="11"/>
        <color theme="1"/>
        <rFont val="Calibri"/>
        <family val="2"/>
        <scheme val="minor"/>
      </rPr>
      <t>Modify</t>
    </r>
    <r>
      <rPr>
        <sz val="11"/>
        <color theme="1"/>
        <rFont val="Calibri"/>
        <family val="2"/>
        <scheme val="minor"/>
      </rPr>
      <t xml:space="preserve"> button on the </t>
    </r>
    <r>
      <rPr>
        <b/>
        <sz val="11"/>
        <color theme="1"/>
        <rFont val="Calibri"/>
        <family val="2"/>
        <scheme val="minor"/>
      </rPr>
      <t>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</si>
  <si>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4. Select an existing record from the left-side panel list.
5. Modify one or more fields</t>
    </r>
    <r>
      <rPr>
        <sz val="11"/>
        <color theme="1"/>
        <rFont val="Calibri"/>
        <family val="2"/>
        <scheme val="minor"/>
      </rPr>
      <t xml:space="preserve"> with valid new data.
6. Click on the Modify button.
7. Re-select the same record and verify the updated values.</t>
    </r>
  </si>
  <si>
    <t>Stuffing_Master_14</t>
  </si>
  <si>
    <r>
      <t xml:space="preserve">Validate the functionality of </t>
    </r>
    <r>
      <rPr>
        <b/>
        <sz val="11"/>
        <color theme="1"/>
        <rFont val="Calibri"/>
        <family val="2"/>
        <scheme val="minor"/>
      </rPr>
      <t>Delete</t>
    </r>
    <r>
      <rPr>
        <sz val="11"/>
        <color theme="1"/>
        <rFont val="Calibri"/>
        <family val="2"/>
        <scheme val="minor"/>
      </rPr>
      <t xml:space="preserve"> button on the </t>
    </r>
    <r>
      <rPr>
        <b/>
        <sz val="11"/>
        <color theme="1"/>
        <rFont val="Calibri"/>
        <family val="2"/>
        <scheme val="minor"/>
      </rPr>
      <t>Stuffing Master</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</si>
  <si>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4. Select an existing record from the left side panel list.
5. Verify that the corresponding record details are populated in the input fields.
6. Click on the Delete button and observe the system behavior.</t>
    </r>
  </si>
  <si>
    <t>Stuffing_Master_15</t>
  </si>
  <si>
    <r>
      <t xml:space="preserve">Validate the functionality of </t>
    </r>
    <r>
      <rPr>
        <b/>
        <sz val="11"/>
        <color theme="1"/>
        <rFont val="Calibri"/>
        <family val="2"/>
        <scheme val="minor"/>
      </rPr>
      <t>Clear</t>
    </r>
    <r>
      <rPr>
        <sz val="11"/>
        <color theme="1"/>
        <rFont val="Calibri"/>
        <family val="2"/>
        <scheme val="minor"/>
      </rPr>
      <t xml:space="preserve"> button 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</si>
  <si>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4. Enter values in all or few input fields.
5. Click the Clear button and observe the system behavior.</t>
    </r>
  </si>
  <si>
    <t>Stuffing_Master_16</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</si>
  <si>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on the </t>
    </r>
    <r>
      <rPr>
        <b/>
        <sz val="11"/>
        <color theme="1"/>
        <rFont val="Calibri"/>
        <family val="2"/>
        <scheme val="minor"/>
      </rPr>
      <t xml:space="preserve">Stuffing Master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</si>
  <si>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Stuffing Master
</t>
    </r>
    <r>
      <rPr>
        <sz val="11"/>
        <color theme="1"/>
        <rFont val="Calibri"/>
        <family val="2"/>
        <scheme val="minor"/>
      </rPr>
      <t>4. Use keyword button to fill the foam and observe the system behaviour.</t>
    </r>
  </si>
  <si>
    <t>Pooja/Suraj Rana</t>
  </si>
  <si>
    <t>BA-428</t>
  </si>
  <si>
    <t>BA-430</t>
  </si>
  <si>
    <t>BA-431</t>
  </si>
  <si>
    <t>BA-432</t>
  </si>
  <si>
    <t>BA-433</t>
  </si>
  <si>
    <t>BA-434</t>
  </si>
  <si>
    <t>BA-435</t>
  </si>
  <si>
    <t>BA-436</t>
  </si>
  <si>
    <t>BA-437</t>
  </si>
  <si>
    <t>BA-438</t>
  </si>
  <si>
    <t>BA-439</t>
  </si>
  <si>
    <r>
      <t xml:space="preserve">1. Open the application and log in 
2. Select Branch: AHMEDABAD, Export Type: Export Sea, FY 2025–2026, click OK.
3. Navigate to </t>
    </r>
    <r>
      <rPr>
        <b/>
        <sz val="11"/>
        <color theme="1"/>
        <rFont val="Calibri"/>
        <family val="2"/>
        <scheme val="minor"/>
      </rPr>
      <t xml:space="preserve">Masters → Destuffing
</t>
    </r>
    <r>
      <rPr>
        <sz val="11"/>
        <color theme="1"/>
        <rFont val="Calibri"/>
        <family val="2"/>
        <scheme val="minor"/>
      </rPr>
      <t xml:space="preserve">4. Select an existing record from the left side panel list.
5. Modify any editable field value.
6. Click on the </t>
    </r>
    <r>
      <rPr>
        <b/>
        <sz val="11"/>
        <color theme="1"/>
        <rFont val="Calibri"/>
        <family val="2"/>
        <scheme val="minor"/>
      </rPr>
      <t>Modify</t>
    </r>
    <r>
      <rPr>
        <sz val="11"/>
        <color theme="1"/>
        <rFont val="Calibri"/>
        <family val="2"/>
        <scheme val="minor"/>
      </rPr>
      <t xml:space="preserve"> button.
7. Re-select the same record from the left side panel list.
8. Observe the value displayed in the </t>
    </r>
    <r>
      <rPr>
        <b/>
        <sz val="11"/>
        <color theme="1"/>
        <rFont val="Calibri"/>
        <family val="2"/>
        <scheme val="minor"/>
      </rPr>
      <t>Modified By</t>
    </r>
    <r>
      <rPr>
        <sz val="11"/>
        <color theme="1"/>
        <rFont val="Calibri"/>
        <family val="2"/>
        <scheme val="minor"/>
      </rPr>
      <t xml:space="preserve"> textbox.</t>
    </r>
  </si>
  <si>
    <t>BA-440</t>
  </si>
  <si>
    <t>BA-441</t>
  </si>
  <si>
    <t>Branch_01</t>
  </si>
  <si>
    <t>Create Branch</t>
  </si>
  <si>
    <r>
      <t xml:space="preserve">Validate the functionality of </t>
    </r>
    <r>
      <rPr>
        <b/>
        <sz val="11"/>
        <color theme="1"/>
        <rFont val="Calibri"/>
        <family val="2"/>
        <scheme val="minor"/>
      </rPr>
      <t xml:space="preserve">Create Branch,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</si>
  <si>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Create Branch</t>
    </r>
  </si>
  <si>
    <r>
      <t xml:space="preserve">1. On Mouse Hovering action on </t>
    </r>
    <r>
      <rPr>
        <b/>
        <sz val="11"/>
        <color theme="1"/>
        <rFont val="Calibri"/>
        <family val="2"/>
        <scheme val="minor"/>
      </rPr>
      <t xml:space="preserve">Masters -&gt; Create Branch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</si>
  <si>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Create Branch </t>
    </r>
    <r>
      <rPr>
        <sz val="11"/>
        <color theme="1"/>
        <rFont val="Calibri"/>
        <family val="2"/>
        <scheme val="minor"/>
      </rPr>
      <t>Page is opening properly.</t>
    </r>
  </si>
  <si>
    <t>Branch_02</t>
  </si>
  <si>
    <r>
      <t xml:space="preserve">1. Open the application and log in 
2. Select Branch: AHMEDABAD, Export Type: Export Sea, FY 2025–2026, click OK.
3. Navigate to </t>
    </r>
    <r>
      <rPr>
        <b/>
        <sz val="11"/>
        <color theme="1"/>
        <rFont val="Calibri"/>
        <family val="2"/>
        <scheme val="minor"/>
      </rPr>
      <t xml:space="preserve">Masters -&gt; Create Branch
</t>
    </r>
    <r>
      <rPr>
        <sz val="11"/>
        <color theme="1"/>
        <rFont val="Calibri"/>
        <family val="2"/>
        <scheme val="minor"/>
      </rPr>
      <t>4. Enter different search keywords in the left side Search textbox.
5. Observe the filtered records in the left-side list panel.</t>
    </r>
  </si>
  <si>
    <r>
      <t>1. The</t>
    </r>
    <r>
      <rPr>
        <b/>
        <sz val="11"/>
        <color theme="1"/>
        <rFont val="Calibri"/>
        <family val="2"/>
        <scheme val="minor"/>
      </rPr>
      <t xml:space="preserve"> Search textbox</t>
    </r>
    <r>
      <rPr>
        <sz val="11"/>
        <color theme="1"/>
        <rFont val="Calibri"/>
        <family val="2"/>
        <scheme val="minor"/>
      </rPr>
      <t xml:space="preserve"> is working only for the first word of the record name.
</t>
    </r>
    <r>
      <rPr>
        <b/>
        <sz val="11"/>
        <color theme="1"/>
        <rFont val="Calibri"/>
        <family val="2"/>
        <scheme val="minor"/>
      </rPr>
      <t/>
    </r>
  </si>
  <si>
    <t>Branch_03</t>
  </si>
  <si>
    <r>
      <t xml:space="preserve">1. Open the application and log in 
2. Select Branch: AHMEDABAD, Export Type: Export Sea, FY 2025–2026, click OK.
3. Navigate to </t>
    </r>
    <r>
      <rPr>
        <b/>
        <sz val="11"/>
        <color theme="1"/>
        <rFont val="Calibri"/>
        <family val="2"/>
        <scheme val="minor"/>
      </rPr>
      <t xml:space="preserve">Masters -&gt; Create Branch
</t>
    </r>
    <r>
      <rPr>
        <sz val="11"/>
        <color theme="1"/>
        <rFont val="Calibri"/>
        <family val="2"/>
        <scheme val="minor"/>
      </rPr>
      <t>4. In the left-side list panel:
 -&gt; Click Sort Ascending and observe the list order.
 -&gt; Click Sort Descending and observe the list order.
 -&gt; Select all column checkboxes and verify column visibility.
 -&gt; Deselect all column checkboxes and verify column visibility.</t>
    </r>
  </si>
  <si>
    <t>Branch_04</t>
  </si>
  <si>
    <r>
      <t xml:space="preserve">1. Open the application and log in.
2. Select Branch: AHMEDABAD, Export Type: Export Sea, FY: 2025–2026, and click OK.
3. Navigate to </t>
    </r>
    <r>
      <rPr>
        <b/>
        <sz val="11"/>
        <color theme="1"/>
        <rFont val="Calibri"/>
        <family val="2"/>
        <scheme val="minor"/>
      </rPr>
      <t>Masters -&gt; Create Branch</t>
    </r>
    <r>
      <rPr>
        <sz val="11"/>
        <color theme="1"/>
        <rFont val="Calibri"/>
        <family val="2"/>
        <scheme val="minor"/>
      </rPr>
      <t xml:space="preserve">
4. From the left-side list panel, select any record.
5. Verify that the selected record details are reflected in the corresponding textbox fields on the </t>
    </r>
    <r>
      <rPr>
        <b/>
        <sz val="11"/>
        <color theme="1"/>
        <rFont val="Calibri"/>
        <family val="2"/>
        <scheme val="minor"/>
      </rPr>
      <t>Branch</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page.
6. Select a different record from the left-side list.
7. Verify that the textbox fields update with the newly selected record’s data.</t>
    </r>
  </si>
  <si>
    <r>
      <t xml:space="preserve">1. Selected record details should be displayed correctly in the corresponding textbox fields on the </t>
    </r>
    <r>
      <rPr>
        <b/>
        <sz val="11"/>
        <color theme="1"/>
        <rFont val="Calibri"/>
        <family val="2"/>
        <scheme val="minor"/>
      </rPr>
      <t>Branch Details</t>
    </r>
    <r>
      <rPr>
        <sz val="11"/>
        <color theme="1"/>
        <rFont val="Calibri"/>
        <family val="2"/>
        <scheme val="minor"/>
      </rPr>
      <t xml:space="preserve"> page.
2. When another record is selected, the textbox fields should update with the newly selected record’s data.
3. The previously selected record should lose highlight and return to the default (white) color.
4. The selected record should not be removed from the left-side panel list and should remain available.</t>
    </r>
  </si>
  <si>
    <r>
      <t xml:space="preserve">1. Selected record details are displayed correctly in the </t>
    </r>
    <r>
      <rPr>
        <b/>
        <sz val="11"/>
        <color theme="1"/>
        <rFont val="Calibri"/>
        <family val="2"/>
        <scheme val="minor"/>
      </rPr>
      <t>Branch Details</t>
    </r>
    <r>
      <rPr>
        <sz val="11"/>
        <color theme="1"/>
        <rFont val="Calibri"/>
        <family val="2"/>
        <scheme val="minor"/>
      </rPr>
      <t xml:space="preserve"> page.
2. When another record is selected, the textboxes update with the new record’s data.</t>
    </r>
  </si>
  <si>
    <t>Branch_05</t>
  </si>
  <si>
    <r>
      <t xml:space="preserve">Validate the functionality of the Branch </t>
    </r>
    <r>
      <rPr>
        <b/>
        <sz val="11"/>
        <color theme="1"/>
        <rFont val="Calibri"/>
        <family val="2"/>
        <scheme val="minor"/>
      </rPr>
      <t xml:space="preserve">Search textbox </t>
    </r>
    <r>
      <rPr>
        <sz val="11"/>
        <color theme="1"/>
        <rFont val="Calibri"/>
        <family val="2"/>
        <scheme val="minor"/>
      </rPr>
      <t xml:space="preserve">in the left-side panel on the </t>
    </r>
    <r>
      <rPr>
        <b/>
        <sz val="11"/>
        <color theme="1"/>
        <rFont val="Calibri"/>
        <family val="2"/>
        <scheme val="minor"/>
      </rPr>
      <t xml:space="preserve">Branch Details </t>
    </r>
    <r>
      <rPr>
        <sz val="11"/>
        <color theme="1"/>
        <rFont val="Calibri"/>
        <family val="2"/>
        <scheme val="minor"/>
      </rPr>
      <t>page.</t>
    </r>
  </si>
  <si>
    <r>
      <t xml:space="preserve">Validate </t>
    </r>
    <r>
      <rPr>
        <b/>
        <sz val="11"/>
        <color theme="1"/>
        <rFont val="Calibri"/>
        <family val="2"/>
        <scheme val="minor"/>
      </rPr>
      <t xml:space="preserve">Sort Ascending </t>
    </r>
    <r>
      <rPr>
        <sz val="11"/>
        <color theme="1"/>
        <rFont val="Calibri"/>
        <family val="2"/>
        <scheme val="minor"/>
      </rPr>
      <t xml:space="preserve">/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Column Checkbox selection</t>
    </r>
    <r>
      <rPr>
        <sz val="11"/>
        <color theme="1"/>
        <rFont val="Calibri"/>
        <family val="2"/>
        <scheme val="minor"/>
      </rPr>
      <t xml:space="preserve"> behaviour in </t>
    </r>
    <r>
      <rPr>
        <b/>
        <sz val="11"/>
        <color theme="1"/>
        <rFont val="Calibri"/>
        <family val="2"/>
        <scheme val="minor"/>
      </rPr>
      <t>Left-Side List</t>
    </r>
    <r>
      <rPr>
        <sz val="11"/>
        <color theme="1"/>
        <rFont val="Calibri"/>
        <family val="2"/>
        <scheme val="minor"/>
      </rPr>
      <t xml:space="preserve"> on</t>
    </r>
    <r>
      <rPr>
        <b/>
        <sz val="11"/>
        <color theme="1"/>
        <rFont val="Calibri"/>
        <family val="2"/>
        <scheme val="minor"/>
      </rPr>
      <t xml:space="preserve"> Branch Details </t>
    </r>
    <r>
      <rPr>
        <sz val="11"/>
        <color theme="1"/>
        <rFont val="Calibri"/>
        <family val="2"/>
        <scheme val="minor"/>
      </rPr>
      <t>page.</t>
    </r>
  </si>
  <si>
    <r>
      <t xml:space="preserve">Validate that the selected record from the </t>
    </r>
    <r>
      <rPr>
        <b/>
        <sz val="11"/>
        <color theme="1"/>
        <rFont val="Calibri"/>
        <family val="2"/>
        <scheme val="minor"/>
      </rPr>
      <t>left-side panel list</t>
    </r>
    <r>
      <rPr>
        <sz val="11"/>
        <color theme="1"/>
        <rFont val="Calibri"/>
        <family val="2"/>
        <scheme val="minor"/>
      </rPr>
      <t xml:space="preserve"> is correctly reflected in the corresponding textbox on the</t>
    </r>
    <r>
      <rPr>
        <b/>
        <sz val="11"/>
        <color theme="1"/>
        <rFont val="Calibri"/>
        <family val="2"/>
        <scheme val="minor"/>
      </rPr>
      <t xml:space="preserve"> Branch Details </t>
    </r>
    <r>
      <rPr>
        <sz val="11"/>
        <color theme="1"/>
        <rFont val="Calibri"/>
        <family val="2"/>
        <scheme val="minor"/>
      </rPr>
      <t>page.</t>
    </r>
  </si>
  <si>
    <r>
      <t xml:space="preserve">Validate the functionality of </t>
    </r>
    <r>
      <rPr>
        <b/>
        <sz val="11"/>
        <color theme="1"/>
        <rFont val="Calibri"/>
        <family val="2"/>
        <scheme val="minor"/>
      </rPr>
      <t>'Branch Name'</t>
    </r>
    <r>
      <rPr>
        <sz val="11"/>
        <color theme="1"/>
        <rFont val="Calibri"/>
        <family val="2"/>
        <scheme val="minor"/>
      </rPr>
      <t xml:space="preserve"> textbox in the </t>
    </r>
    <r>
      <rPr>
        <b/>
        <sz val="11"/>
        <color theme="1"/>
        <rFont val="Calibri"/>
        <family val="2"/>
        <scheme val="minor"/>
      </rPr>
      <t>Branch Details</t>
    </r>
    <r>
      <rPr>
        <sz val="11"/>
        <color theme="1"/>
        <rFont val="Calibri"/>
        <family val="2"/>
        <scheme val="minor"/>
      </rPr>
      <t xml:space="preserve"> page.</t>
    </r>
  </si>
  <si>
    <t>1. Select any existing record from the left side panel list.
2. Modify Branch Name Textbox with valid data.</t>
  </si>
  <si>
    <r>
      <t xml:space="preserve">1. The </t>
    </r>
    <r>
      <rPr>
        <b/>
        <sz val="11"/>
        <color theme="1"/>
        <rFont val="Calibri"/>
        <family val="2"/>
        <scheme val="minor"/>
      </rPr>
      <t>Branch</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accepts:
 -&gt; Alphabetic values
 -&gt; Numeric values
 -&gt; Special character values
2. The 25-character limit is implemented correctly.
Note: </t>
    </r>
    <r>
      <rPr>
        <b/>
        <sz val="11"/>
        <color theme="1"/>
        <rFont val="Calibri"/>
        <family val="2"/>
        <scheme val="minor"/>
      </rPr>
      <t>As per business Rule, Branch Name textbox should accept alphanumeric value and following special characters: Dot (.), Comma (,), Percentage (%), Ampersand (&amp;), Hyphen (-),  Underscore (_), Forward slash (/), Backward slash (\)</t>
    </r>
  </si>
  <si>
    <r>
      <t xml:space="preserve">1. As per the use case, The </t>
    </r>
    <r>
      <rPr>
        <b/>
        <sz val="11"/>
        <color theme="1"/>
        <rFont val="Calibri"/>
        <family val="2"/>
        <scheme val="minor"/>
      </rPr>
      <t>Branch Name</t>
    </r>
    <r>
      <rPr>
        <sz val="11"/>
        <color theme="1"/>
        <rFont val="Calibri"/>
        <family val="2"/>
        <scheme val="minor"/>
      </rPr>
      <t xml:space="preserve"> textbox should accept alphanumeric values.
2. </t>
    </r>
    <r>
      <rPr>
        <b/>
        <sz val="11"/>
        <color theme="1"/>
        <rFont val="Calibri"/>
        <family val="2"/>
        <scheme val="minor"/>
      </rPr>
      <t>Branch</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should not accept special character value, only space value and combination of character value.
3. On clicking Modify, the updated </t>
    </r>
    <r>
      <rPr>
        <b/>
        <sz val="11"/>
        <color theme="1"/>
        <rFont val="Calibri"/>
        <family val="2"/>
        <scheme val="minor"/>
      </rPr>
      <t>Branch Name</t>
    </r>
    <r>
      <rPr>
        <sz val="11"/>
        <color theme="1"/>
        <rFont val="Calibri"/>
        <family val="2"/>
        <scheme val="minor"/>
      </rPr>
      <t xml:space="preserve"> should be saved successfully.
4. After re-selecting the same record, the updated </t>
    </r>
    <r>
      <rPr>
        <b/>
        <sz val="11"/>
        <color theme="1"/>
        <rFont val="Calibri"/>
        <family val="2"/>
        <scheme val="minor"/>
      </rPr>
      <t>Branch Name</t>
    </r>
    <r>
      <rPr>
        <sz val="11"/>
        <color theme="1"/>
        <rFont val="Calibri"/>
        <family val="2"/>
        <scheme val="minor"/>
      </rPr>
      <t xml:space="preserve"> should be correctly displayed.
5. The maximum length of the Branch Name textbox should be 25 characters.</t>
    </r>
  </si>
  <si>
    <t>Branch_06</t>
  </si>
  <si>
    <r>
      <t xml:space="preserve">Validate the functionality of </t>
    </r>
    <r>
      <rPr>
        <b/>
        <sz val="11"/>
        <color theme="1"/>
        <rFont val="Calibri"/>
        <family val="2"/>
        <scheme val="minor"/>
      </rPr>
      <t>Branch</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</si>
  <si>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Branch Code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</si>
  <si>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t>08-01-2026
12-01-2026</t>
  </si>
  <si>
    <r>
      <t xml:space="preserve">Validate the functionality of the </t>
    </r>
    <r>
      <rPr>
        <b/>
        <sz val="11"/>
        <rFont val="Calibri"/>
        <family val="2"/>
        <scheme val="minor"/>
      </rPr>
      <t>Search field</t>
    </r>
    <r>
      <rPr>
        <sz val="11"/>
        <rFont val="Calibri"/>
        <family val="2"/>
        <scheme val="minor"/>
      </rPr>
      <t xml:space="preserve"> in the left-side '</t>
    </r>
    <r>
      <rPr>
        <b/>
        <sz val="11"/>
        <rFont val="Calibri"/>
        <family val="2"/>
        <scheme val="minor"/>
      </rPr>
      <t>Select RITC'</t>
    </r>
    <r>
      <rPr>
        <sz val="11"/>
        <rFont val="Calibri"/>
        <family val="2"/>
        <scheme val="minor"/>
      </rPr>
      <t xml:space="preserve"> panel in the RITC Page.</t>
    </r>
  </si>
  <si>
    <r>
      <t>1. The user must be logged into the application with valid credentials.
2. After successful login, the user should select “</t>
    </r>
    <r>
      <rPr>
        <b/>
        <sz val="11"/>
        <rFont val="Calibri"/>
        <family val="2"/>
        <scheme val="minor"/>
      </rPr>
      <t>AHMEDABAD</t>
    </r>
    <r>
      <rPr>
        <sz val="11"/>
        <rFont val="Calibri"/>
        <family val="2"/>
        <scheme val="minor"/>
      </rPr>
      <t>” as the branch, “</t>
    </r>
    <r>
      <rPr>
        <b/>
        <sz val="11"/>
        <rFont val="Calibri"/>
        <family val="2"/>
        <scheme val="minor"/>
      </rPr>
      <t>Export Sea</t>
    </r>
    <r>
      <rPr>
        <sz val="11"/>
        <rFont val="Calibri"/>
        <family val="2"/>
        <scheme val="minor"/>
      </rPr>
      <t xml:space="preserve">” as the radio button option, and Financial Year: </t>
    </r>
    <r>
      <rPr>
        <b/>
        <sz val="11"/>
        <rFont val="Calibri"/>
        <family val="2"/>
        <scheme val="minor"/>
      </rPr>
      <t>2025–2026</t>
    </r>
    <r>
      <rPr>
        <sz val="11"/>
        <rFont val="Calibri"/>
        <family val="2"/>
        <scheme val="minor"/>
      </rPr>
      <t>.</t>
    </r>
  </si>
  <si>
    <r>
      <t xml:space="preserve">1. Open the application and log in 
2. Select Branch: AHMEDABAD, Export Type: Export Sea, FY 2025–2026, click OK.
3. Navigate to </t>
    </r>
    <r>
      <rPr>
        <b/>
        <sz val="11"/>
        <rFont val="Calibri"/>
        <family val="2"/>
        <scheme val="minor"/>
      </rPr>
      <t>Masters</t>
    </r>
    <r>
      <rPr>
        <sz val="11"/>
        <rFont val="Calibri"/>
        <family val="2"/>
        <scheme val="minor"/>
      </rPr>
      <t xml:space="preserve"> → </t>
    </r>
    <r>
      <rPr>
        <b/>
        <sz val="11"/>
        <rFont val="Calibri"/>
        <family val="2"/>
        <scheme val="minor"/>
      </rPr>
      <t>EDI Master</t>
    </r>
    <r>
      <rPr>
        <sz val="11"/>
        <rFont val="Calibri"/>
        <family val="2"/>
        <scheme val="minor"/>
      </rPr>
      <t xml:space="preserve"> → </t>
    </r>
    <r>
      <rPr>
        <b/>
        <sz val="11"/>
        <rFont val="Calibri"/>
        <family val="2"/>
        <scheme val="minor"/>
      </rPr>
      <t xml:space="preserve">RITC.
</t>
    </r>
    <r>
      <rPr>
        <sz val="11"/>
        <rFont val="Calibri"/>
        <family val="2"/>
        <scheme val="minor"/>
      </rPr>
      <t>4. Select the Code radio button and enter different search inputs (valid / invalid / special characters / spaces) and observe the displayed list.
5. Now select the Description radio button and enter different description search inputs (full, partial, invalid) and observe the displayed list.</t>
    </r>
  </si>
  <si>
    <r>
      <rPr>
        <b/>
        <sz val="11"/>
        <rFont val="Calibri"/>
        <family val="2"/>
        <scheme val="minor"/>
      </rPr>
      <t xml:space="preserve">Radio Button - Code </t>
    </r>
    <r>
      <rPr>
        <sz val="11"/>
        <rFont val="Calibri"/>
        <family val="2"/>
        <scheme val="minor"/>
      </rPr>
      <t xml:space="preserve">
</t>
    </r>
    <r>
      <rPr>
        <b/>
        <sz val="11"/>
        <rFont val="Calibri"/>
        <family val="2"/>
        <scheme val="minor"/>
      </rPr>
      <t>Searched Value</t>
    </r>
    <r>
      <rPr>
        <sz val="11"/>
        <rFont val="Calibri"/>
        <family val="2"/>
        <scheme val="minor"/>
      </rPr>
      <t xml:space="preserve"> 
24039100, 1234, Single/multiple spaces
Special characters , Alphanumeric + special characters
</t>
    </r>
    <r>
      <rPr>
        <b/>
        <sz val="11"/>
        <rFont val="Calibri"/>
        <family val="2"/>
        <scheme val="minor"/>
      </rPr>
      <t>Radio Buttob - Description</t>
    </r>
    <r>
      <rPr>
        <sz val="11"/>
        <rFont val="Calibri"/>
        <family val="2"/>
        <scheme val="minor"/>
      </rPr>
      <t xml:space="preserve">
Searched value - Bulls, Cow, Single/multiple spaces
Special characters , Alphanumeric + special characters</t>
    </r>
  </si>
  <si>
    <r>
      <t xml:space="preserve">1. </t>
    </r>
    <r>
      <rPr>
        <b/>
        <sz val="11"/>
        <rFont val="Calibri"/>
        <family val="2"/>
        <scheme val="minor"/>
      </rPr>
      <t xml:space="preserve">When Code radio button is selected:
</t>
    </r>
    <r>
      <rPr>
        <sz val="11"/>
        <rFont val="Calibri"/>
        <family val="2"/>
        <scheme val="minor"/>
      </rPr>
      <t xml:space="preserve">Search must work only on RITC Code values.
If the entered value matches the starting value or complete code, the matching records must be displayed.
2. </t>
    </r>
    <r>
      <rPr>
        <b/>
        <sz val="11"/>
        <rFont val="Calibri"/>
        <family val="2"/>
        <scheme val="minor"/>
      </rPr>
      <t>When Description radio button is selected:</t>
    </r>
    <r>
      <rPr>
        <sz val="11"/>
        <rFont val="Calibri"/>
        <family val="2"/>
        <scheme val="minor"/>
      </rPr>
      <t xml:space="preserve">
Search must support:
Full match
Partial match
Match anywhere within the description, not only from the beginning.
Matching description records must be displayed accordingly.
3. If search value does not match any record - No records should be displayed.</t>
    </r>
  </si>
  <si>
    <t>1. Only one RITC radio button (0–9) should be selectable at a time.
2. When a radio button is selected, the left panel should display only those RITC codes whose first character matches the selected digit.
  -&gt; Example: If radio button 5 is selected, system should display all RITC codes starting with '5'.
3. When the user switches to another radio button, the left-panel list should refresh immediately and display only the relevant RITC codes matching the newly selected digit.</t>
  </si>
  <si>
    <t>Local
UAT (https://idp.icaffe.co.in/demouat/)</t>
  </si>
  <si>
    <t>Local 
UAT
(https://idp.icaffe.co.in/demouat/)</t>
  </si>
  <si>
    <t>Local
UAT 
(https://idp.icaffe.co.in/demouat/)</t>
  </si>
  <si>
    <t>06-01-2026
12-01-2026</t>
  </si>
  <si>
    <t xml:space="preserve">Fixed
</t>
  </si>
  <si>
    <t>29-11-2025
12-01-2026</t>
  </si>
  <si>
    <r>
      <t xml:space="preserve">Local Environment
Testing Environment
</t>
    </r>
    <r>
      <rPr>
        <b/>
        <sz val="11"/>
        <color theme="1"/>
        <rFont val="Calibri"/>
        <family val="2"/>
        <scheme val="minor"/>
      </rPr>
      <t>(https://idp.icaffe.co.in/demouat/)</t>
    </r>
  </si>
  <si>
    <t>.11, 0.11 - after saving it is 0
As discussed with Lalchand Sir, this field is currently not required, so it can be left as is, No need to work on that fields</t>
  </si>
  <si>
    <t>As discussed with Lalchand Sir, this field is currently not required, so it can be left as is, No need to work on that fields</t>
  </si>
  <si>
    <r>
      <t xml:space="preserve">1. Functionality is working as expected.
2. The textbox is not accepting:
 -&gt; Special characters
 -&gt; Alphabetic values
 -&gt; Only spaces
 -&gt; Alphanumeric values
3. The 5-character limit is not implemented correctly.
 -&gt; Without decimal point → correctly accepts only 5 characters
-&gt; With decimal point → incorrectly allows up to 8 characters
Example: 12345.567 (9 characters) → accepted
</t>
    </r>
    <r>
      <rPr>
        <b/>
        <sz val="11"/>
        <color theme="1"/>
        <rFont val="Calibri"/>
        <family val="2"/>
        <scheme val="minor"/>
      </rPr>
      <t xml:space="preserve">
Total length with Decimal - 9 digit (After Decimnal 4digit allow - 1234.1234)
Total length Without decimal - 5 digit (12345)
</t>
    </r>
  </si>
  <si>
    <r>
      <t xml:space="preserve">1. Functionality is working as expected.
2. The textbox is not accepting:
 -&gt; Special characters
 -&gt; Alphabetic values
 -&gt; Only spaces
 -&gt; Alphanumeric values
3. The 5-character limit is not implemented correctly.
 -&gt; Without decimal point → correctly accepts only 5 characters
-&gt; With decimal point → incorrectly allows up to 9 characters
Example: 12345.567 (9 characters) → accepted
</t>
    </r>
    <r>
      <rPr>
        <b/>
        <sz val="11"/>
        <color theme="1"/>
        <rFont val="Calibri"/>
        <family val="2"/>
        <scheme val="minor"/>
      </rPr>
      <t xml:space="preserve">
Total length with Decimal - 9 digit (After Decimnal 4digit allow - 1234.1234)
Total length Without decimal - 5 digit (12345</t>
    </r>
  </si>
  <si>
    <r>
      <t xml:space="preserve">Validate the functionality of </t>
    </r>
    <r>
      <rPr>
        <b/>
        <sz val="11"/>
        <rFont val="Calibri"/>
        <family val="2"/>
        <scheme val="minor"/>
      </rPr>
      <t>'Search Zone'</t>
    </r>
    <r>
      <rPr>
        <sz val="11"/>
        <rFont val="Calibri"/>
        <family val="2"/>
        <scheme val="minor"/>
      </rPr>
      <t xml:space="preserve"> textbox of the left side panel in Zone Master Page</t>
    </r>
  </si>
  <si>
    <r>
      <t xml:space="preserve">1. Open the application and log in 
2. Select Branch: AHMEDABAD, Export Type: Export Sea, FY 2025–2026, click OK.
3. Navigate to </t>
    </r>
    <r>
      <rPr>
        <b/>
        <sz val="11"/>
        <rFont val="Calibri"/>
        <family val="2"/>
        <scheme val="minor"/>
      </rPr>
      <t>Masters</t>
    </r>
    <r>
      <rPr>
        <sz val="11"/>
        <rFont val="Calibri"/>
        <family val="2"/>
        <scheme val="minor"/>
      </rPr>
      <t xml:space="preserve"> -&gt; </t>
    </r>
    <r>
      <rPr>
        <b/>
        <sz val="11"/>
        <rFont val="Calibri"/>
        <family val="2"/>
        <scheme val="minor"/>
      </rPr>
      <t>Regional Master</t>
    </r>
    <r>
      <rPr>
        <sz val="11"/>
        <rFont val="Calibri"/>
        <family val="2"/>
        <scheme val="minor"/>
      </rPr>
      <t xml:space="preserve"> -&gt; </t>
    </r>
    <r>
      <rPr>
        <b/>
        <sz val="11"/>
        <rFont val="Calibri"/>
        <family val="2"/>
        <scheme val="minor"/>
      </rPr>
      <t>Zone Master</t>
    </r>
  </si>
  <si>
    <r>
      <t xml:space="preserve">Search Data - </t>
    </r>
    <r>
      <rPr>
        <sz val="11"/>
        <rFont val="Calibri"/>
        <family val="2"/>
        <scheme val="minor"/>
      </rPr>
      <t>GUJRAT ZONE</t>
    </r>
  </si>
  <si>
    <r>
      <t xml:space="preserve">1. The search textbox should return all matching records for:
</t>
    </r>
    <r>
      <rPr>
        <b/>
        <sz val="11"/>
        <rFont val="Calibri"/>
        <family val="2"/>
        <scheme val="minor"/>
      </rPr>
      <t>Full matches
Partial matches
Case-insensitive matches (both upper and lower case)</t>
    </r>
    <r>
      <rPr>
        <sz val="11"/>
        <rFont val="Calibri"/>
        <family val="2"/>
        <scheme val="minor"/>
      </rPr>
      <t xml:space="preserve">
</t>
    </r>
  </si>
  <si>
    <r>
      <t xml:space="preserve">1. Search textbox is functional but only returns records where the search term matches the first word.
</t>
    </r>
    <r>
      <rPr>
        <b/>
        <sz val="11"/>
        <rFont val="Calibri"/>
        <family val="2"/>
        <scheme val="minor"/>
      </rPr>
      <t>Example:</t>
    </r>
    <r>
      <rPr>
        <sz val="11"/>
        <rFont val="Calibri"/>
        <family val="2"/>
        <scheme val="minor"/>
      </rPr>
      <t xml:space="preserve"> “</t>
    </r>
    <r>
      <rPr>
        <b/>
        <sz val="11"/>
        <rFont val="Calibri"/>
        <family val="2"/>
        <scheme val="minor"/>
      </rPr>
      <t>GUJRAT ZONE</t>
    </r>
    <r>
      <rPr>
        <sz val="11"/>
        <rFont val="Calibri"/>
        <family val="2"/>
        <scheme val="minor"/>
      </rPr>
      <t xml:space="preserve">” appears in the list, but searching for </t>
    </r>
    <r>
      <rPr>
        <b/>
        <sz val="11"/>
        <rFont val="Calibri"/>
        <family val="2"/>
        <scheme val="minor"/>
      </rPr>
      <t>“ZONE”</t>
    </r>
    <r>
      <rPr>
        <sz val="11"/>
        <rFont val="Calibri"/>
        <family val="2"/>
        <scheme val="minor"/>
      </rPr>
      <t xml:space="preserve"> returns no results.
</t>
    </r>
    <r>
      <rPr>
        <b/>
        <sz val="11"/>
        <rFont val="Calibri"/>
        <family val="2"/>
        <scheme val="minor"/>
      </rPr>
      <t>Select Zone - It should be Search Zone.</t>
    </r>
    <r>
      <rPr>
        <sz val="11"/>
        <rFont val="Calibri"/>
        <family val="2"/>
        <scheme val="minor"/>
      </rPr>
      <t xml:space="preserve">
</t>
    </r>
  </si>
  <si>
    <r>
      <t xml:space="preserve">Validate whether the selected </t>
    </r>
    <r>
      <rPr>
        <b/>
        <sz val="11"/>
        <rFont val="Calibri"/>
        <family val="2"/>
        <scheme val="minor"/>
      </rPr>
      <t xml:space="preserve">Zone Record </t>
    </r>
    <r>
      <rPr>
        <sz val="11"/>
        <rFont val="Calibri"/>
        <family val="2"/>
        <scheme val="minor"/>
      </rPr>
      <t xml:space="preserve">from the </t>
    </r>
    <r>
      <rPr>
        <b/>
        <sz val="11"/>
        <rFont val="Calibri"/>
        <family val="2"/>
        <scheme val="minor"/>
      </rPr>
      <t xml:space="preserve">ZONE Master Detail Grid View Panel </t>
    </r>
    <r>
      <rPr>
        <sz val="11"/>
        <rFont val="Calibri"/>
        <family val="2"/>
        <scheme val="minor"/>
      </rPr>
      <t>is reflected in the corresponding textboxes</t>
    </r>
  </si>
  <si>
    <r>
      <t xml:space="preserve">1. Open the application and log in 
2. Select Branch: AHMEDABAD, Export Type: Export Sea, FY 2025–2026, click OK.
3. Navigate to </t>
    </r>
    <r>
      <rPr>
        <b/>
        <sz val="11"/>
        <rFont val="Calibri"/>
        <family val="2"/>
        <scheme val="minor"/>
      </rPr>
      <t>Masters -&gt; Regional Master -&gt; Zone Master</t>
    </r>
    <r>
      <rPr>
        <sz val="11"/>
        <rFont val="Calibri"/>
        <family val="2"/>
        <scheme val="minor"/>
      </rPr>
      <t xml:space="preserve">
4. From the </t>
    </r>
    <r>
      <rPr>
        <b/>
        <sz val="11"/>
        <rFont val="Calibri"/>
        <family val="2"/>
        <scheme val="minor"/>
      </rPr>
      <t>Zone Master Detail Grid View Panel</t>
    </r>
    <r>
      <rPr>
        <sz val="11"/>
        <rFont val="Calibri"/>
        <family val="2"/>
        <scheme val="minor"/>
      </rPr>
      <t>, click Select on a record.
5. Verify the Total Entry Count value after selection.
6. Verify that record is refelected co-responding textbox or not.</t>
    </r>
  </si>
  <si>
    <r>
      <rPr>
        <b/>
        <sz val="11"/>
        <rFont val="Calibri"/>
        <family val="2"/>
        <scheme val="minor"/>
      </rPr>
      <t>On clicking Select from the Zone Master Detail Grid View:</t>
    </r>
    <r>
      <rPr>
        <sz val="11"/>
        <rFont val="Calibri"/>
        <family val="2"/>
        <scheme val="minor"/>
      </rPr>
      <t xml:space="preserve">
1. The chosen record values should reflect correctly in the corresponding textboxes on the main page.
2. The Total Entry Count should be changed based on entry count, if no entry available in grid view panel then total entry count should be 0.</t>
    </r>
  </si>
  <si>
    <r>
      <t xml:space="preserve">Validate the functionality of </t>
    </r>
    <r>
      <rPr>
        <b/>
        <sz val="11"/>
        <rFont val="Calibri"/>
        <family val="2"/>
        <scheme val="minor"/>
      </rPr>
      <t>'Code'</t>
    </r>
    <r>
      <rPr>
        <sz val="11"/>
        <rFont val="Calibri"/>
        <family val="2"/>
        <scheme val="minor"/>
      </rPr>
      <t xml:space="preserve"> textbox  in Zone Master Page</t>
    </r>
  </si>
  <si>
    <r>
      <t xml:space="preserve">1. Open the application and log in 
2. Select Branch: AHMEDABAD, Export Type: Export Sea, FY 2025–2026, click OK.
3. Navigate to </t>
    </r>
    <r>
      <rPr>
        <b/>
        <sz val="11"/>
        <rFont val="Calibri"/>
        <family val="2"/>
        <scheme val="minor"/>
      </rPr>
      <t>Masters -&gt; Regional Master -&gt; Zone Master</t>
    </r>
    <r>
      <rPr>
        <sz val="11"/>
        <rFont val="Calibri"/>
        <family val="2"/>
        <scheme val="minor"/>
      </rPr>
      <t xml:space="preserve">
4. Enter Valid &amp; Invalid Data in Code textbox and observe the system behaviour.</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</si>
  <si>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Code</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 space and combination of character.</t>
    </r>
  </si>
  <si>
    <r>
      <t>1. As Per the Use Case, Textbox should accept only alphanumeric values.
2.Textbox should reject - S</t>
    </r>
    <r>
      <rPr>
        <b/>
        <sz val="11"/>
        <rFont val="Calibri"/>
        <family val="2"/>
        <scheme val="minor"/>
      </rPr>
      <t>pecial characters, Only spaces and Character + special character combinations.</t>
    </r>
    <r>
      <rPr>
        <sz val="11"/>
        <rFont val="Calibri"/>
        <family val="2"/>
        <scheme val="minor"/>
      </rPr>
      <t xml:space="preserve">
3. Textbox length must be limited to 5 characters.</t>
    </r>
  </si>
  <si>
    <r>
      <t xml:space="preserve">1. Functionality is not working as expected. </t>
    </r>
    <r>
      <rPr>
        <b/>
        <sz val="11"/>
        <rFont val="Calibri"/>
        <family val="2"/>
        <scheme val="minor"/>
      </rPr>
      <t>Textbox is accepting invalid inputs Only space values, Special characters.</t>
    </r>
    <r>
      <rPr>
        <sz val="11"/>
        <rFont val="Calibri"/>
        <family val="2"/>
        <scheme val="minor"/>
      </rPr>
      <t xml:space="preserve">
3. Textbox character limit of 5 characters is correctly implemented.</t>
    </r>
  </si>
  <si>
    <r>
      <t xml:space="preserve">Validate the functionality of </t>
    </r>
    <r>
      <rPr>
        <b/>
        <sz val="11"/>
        <rFont val="Calibri"/>
        <family val="2"/>
        <scheme val="minor"/>
      </rPr>
      <t>'Name'</t>
    </r>
    <r>
      <rPr>
        <sz val="11"/>
        <rFont val="Calibri"/>
        <family val="2"/>
        <scheme val="minor"/>
      </rPr>
      <t xml:space="preserve"> textbox  in Zone Master Page</t>
    </r>
  </si>
  <si>
    <r>
      <t xml:space="preserve">1. Open the application and log in 
2. Select Branch: AHMEDABAD, Export Type: Export Sea, FY 2025–2026, click OK.
3. Navigate to </t>
    </r>
    <r>
      <rPr>
        <b/>
        <sz val="11"/>
        <rFont val="Calibri"/>
        <family val="2"/>
        <scheme val="minor"/>
      </rPr>
      <t>Masters -&gt; Regional Master -&gt; Zone Master</t>
    </r>
    <r>
      <rPr>
        <sz val="11"/>
        <rFont val="Calibri"/>
        <family val="2"/>
        <scheme val="minor"/>
      </rPr>
      <t xml:space="preserve">
4. Enter Valid &amp; Invalid Data in Name textbox and observe the system behaviour.</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</si>
  <si>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Name</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 space and combination of character.</t>
    </r>
  </si>
  <si>
    <r>
      <t xml:space="preserve">1. As Per the Use Case, Textbox should accept only alphanumeric values.
2.Textbox should reject - </t>
    </r>
    <r>
      <rPr>
        <b/>
        <sz val="11"/>
        <rFont val="Calibri"/>
        <family val="2"/>
        <scheme val="minor"/>
      </rPr>
      <t>Special characters, Only spaces and Character + special character combinations.</t>
    </r>
    <r>
      <rPr>
        <sz val="11"/>
        <rFont val="Calibri"/>
        <family val="2"/>
        <scheme val="minor"/>
      </rPr>
      <t xml:space="preserve">
3. Textbox length must be limited to 50 characters.</t>
    </r>
  </si>
  <si>
    <r>
      <t xml:space="preserve">1. Functionality is not working as expected. </t>
    </r>
    <r>
      <rPr>
        <b/>
        <sz val="11"/>
        <rFont val="Calibri"/>
        <family val="2"/>
        <scheme val="minor"/>
      </rPr>
      <t>Textbox is accepting invalid inputs Special characters.</t>
    </r>
    <r>
      <rPr>
        <sz val="11"/>
        <rFont val="Calibri"/>
        <family val="2"/>
        <scheme val="minor"/>
      </rPr>
      <t xml:space="preserve">
3. Textbox character limit of 50 characters is correctly implemented.
Note:</t>
    </r>
    <r>
      <rPr>
        <b/>
        <sz val="11"/>
        <rFont val="Calibri"/>
        <family val="2"/>
        <scheme val="minor"/>
      </rPr>
      <t xml:space="preserve"> As per business Rule, This textbox should accept alphanumeric value with space and following special character:  
Dot (.), Comma (,), Percent (%), Hyphen (-), Forward Slash(/), Backslash (\), Ampersand (&amp;),  Underscore ( _)</t>
    </r>
  </si>
  <si>
    <r>
      <t xml:space="preserve">Validate </t>
    </r>
    <r>
      <rPr>
        <b/>
        <sz val="11"/>
        <rFont val="Calibri"/>
        <family val="2"/>
        <scheme val="minor"/>
      </rPr>
      <t>Save</t>
    </r>
    <r>
      <rPr>
        <sz val="11"/>
        <rFont val="Calibri"/>
        <family val="2"/>
        <scheme val="minor"/>
      </rPr>
      <t xml:space="preserve"> button functionality when only </t>
    </r>
    <r>
      <rPr>
        <b/>
        <sz val="11"/>
        <rFont val="Calibri"/>
        <family val="2"/>
        <scheme val="minor"/>
      </rPr>
      <t xml:space="preserve">Non-mandatory fields are filled and mandatory fields are left blank </t>
    </r>
    <r>
      <rPr>
        <sz val="11"/>
        <rFont val="Calibri"/>
        <family val="2"/>
        <scheme val="minor"/>
      </rPr>
      <t>on the Zone Master Page.</t>
    </r>
  </si>
  <si>
    <r>
      <t xml:space="preserve">1. Open the application and log in 
2. Select Branch: AHMEDABAD, Export Type: Export Sea, FY 2025–2026, click OK.
3. Navigate to </t>
    </r>
    <r>
      <rPr>
        <b/>
        <sz val="11"/>
        <rFont val="Calibri"/>
        <family val="2"/>
        <scheme val="minor"/>
      </rPr>
      <t>Masters -&gt; Regional Master -&gt; Zone Master</t>
    </r>
    <r>
      <rPr>
        <sz val="11"/>
        <rFont val="Calibri"/>
        <family val="2"/>
        <scheme val="minor"/>
      </rPr>
      <t xml:space="preserve">
4. Enter valid values in Non - mandatory fields only and leave mandatory fields blank.
5. Click Save and observe system behavior.</t>
    </r>
  </si>
  <si>
    <r>
      <rPr>
        <b/>
        <sz val="11"/>
        <rFont val="Calibri"/>
        <family val="2"/>
        <scheme val="minor"/>
      </rPr>
      <t>Code - ZON45</t>
    </r>
    <r>
      <rPr>
        <sz val="11"/>
        <rFont val="Calibri"/>
        <family val="2"/>
        <scheme val="minor"/>
      </rPr>
      <t xml:space="preserve">
</t>
    </r>
    <r>
      <rPr>
        <b/>
        <sz val="11"/>
        <rFont val="Calibri"/>
        <family val="2"/>
        <scheme val="minor"/>
      </rPr>
      <t>Note</t>
    </r>
    <r>
      <rPr>
        <sz val="11"/>
        <rFont val="Calibri"/>
        <family val="2"/>
        <scheme val="minor"/>
      </rPr>
      <t xml:space="preserve">: Testing </t>
    </r>
  </si>
  <si>
    <t>07-01-2026
13-01-2026</t>
  </si>
  <si>
    <t>1. The record must not be saved if any mandatory field is left blank.
2. System should display error message / validation popup for each mandatory field:
 -&gt; Code
 -&gt; Name
 -&gt; Country Code
 -&gt; Display Status</t>
  </si>
  <si>
    <t>BA-442</t>
  </si>
  <si>
    <t>As discussed with Sir, this field became mandatory</t>
  </si>
  <si>
    <t>06-01-2026
13-01-2026</t>
  </si>
  <si>
    <t>Use Case Status</t>
  </si>
  <si>
    <t xml:space="preserve">Updated </t>
  </si>
  <si>
    <t>BA-233
BA-443</t>
  </si>
  <si>
    <t>BA-234
BA-443</t>
  </si>
  <si>
    <r>
      <t xml:space="preserve">1. Functionality is  working as expected.
2. The textbox is not accepting special character, alphabetic value and space only and alphanumeric value.
3. The 9-character limit is implemented correctly.
</t>
    </r>
    <r>
      <rPr>
        <b/>
        <sz val="11"/>
        <color theme="1"/>
        <rFont val="Calibri"/>
        <family val="2"/>
        <scheme val="minor"/>
      </rPr>
      <t>13-01-2026
Currently it is accepting only 9 digit numeric value and  not accepting decimal value - Discussed with lalchand sir and he said leave it as it is(In pdf 7,2 length is updated)</t>
    </r>
    <r>
      <rPr>
        <sz val="11"/>
        <color theme="1"/>
        <rFont val="Calibri"/>
        <family val="2"/>
        <scheme val="minor"/>
      </rPr>
      <t xml:space="preserve">
</t>
    </r>
  </si>
  <si>
    <t xml:space="preserve">Misc Master - Segment Master
</t>
  </si>
  <si>
    <t>Branch_07</t>
  </si>
  <si>
    <r>
      <t xml:space="preserve">1. As per the use case, The </t>
    </r>
    <r>
      <rPr>
        <b/>
        <sz val="11"/>
        <color theme="1"/>
        <rFont val="Calibri"/>
        <family val="2"/>
        <scheme val="minor"/>
      </rPr>
      <t>Branch</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should accept alphanumeric values.
2. </t>
    </r>
    <r>
      <rPr>
        <b/>
        <sz val="11"/>
        <color theme="1"/>
        <rFont val="Calibri"/>
        <family val="2"/>
        <scheme val="minor"/>
      </rPr>
      <t>Branch</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should not accept special character value, only space value and combination of invalid character value.
3. The textbox length should be limited to 3 characters.
4. On clicking Modify, the updated </t>
    </r>
    <r>
      <rPr>
        <b/>
        <sz val="11"/>
        <color theme="1"/>
        <rFont val="Calibri"/>
        <family val="2"/>
        <scheme val="minor"/>
      </rPr>
      <t>Branch Code</t>
    </r>
    <r>
      <rPr>
        <sz val="11"/>
        <color theme="1"/>
        <rFont val="Calibri"/>
        <family val="2"/>
        <scheme val="minor"/>
      </rPr>
      <t xml:space="preserve"> should be saved successfully.</t>
    </r>
  </si>
  <si>
    <r>
      <t xml:space="preserve">Validate the functionality of </t>
    </r>
    <r>
      <rPr>
        <b/>
        <sz val="11"/>
        <color theme="1"/>
        <rFont val="Calibri"/>
        <family val="2"/>
        <scheme val="minor"/>
      </rPr>
      <t>ICE Gate Login Id</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</si>
  <si>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 xml:space="preserve">Masters → Create Branch
</t>
    </r>
    <r>
      <rPr>
        <sz val="11"/>
        <color theme="1"/>
        <rFont val="Calibri"/>
        <family val="2"/>
        <scheme val="minor"/>
      </rPr>
      <t>4. Select any existing Branch record from the left-side panel list.
5. Modify the Branch Name textbox using valid &amp; invalid data.
6. Click on the Modify button.
7. Re-select the same record from the left-side panel list.
8. Verify the updated Branch Name value.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</si>
  <si>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Branch Code</t>
    </r>
    <r>
      <rPr>
        <sz val="11"/>
        <color theme="1"/>
        <rFont val="Calibri"/>
        <family val="2"/>
        <scheme val="minor"/>
      </rPr>
      <t xml:space="preserve"> textbox using valid &amp;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Branch Code</t>
    </r>
    <r>
      <rPr>
        <sz val="11"/>
        <color theme="1"/>
        <rFont val="Calibri"/>
        <family val="2"/>
        <scheme val="minor"/>
      </rPr>
      <t xml:space="preserve"> value.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</si>
  <si>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ICE Gate Login Id</t>
    </r>
    <r>
      <rPr>
        <sz val="11"/>
        <color theme="1"/>
        <rFont val="Calibri"/>
        <family val="2"/>
        <scheme val="minor"/>
      </rPr>
      <t xml:space="preserve"> textbox using valid &amp;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ICE Gate Login Id</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</si>
  <si>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ICE Gate Login Id</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</si>
  <si>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Functionality is not working as expected.
2. The </t>
    </r>
    <r>
      <rPr>
        <b/>
        <sz val="11"/>
        <color theme="1"/>
        <rFont val="Calibri"/>
        <family val="2"/>
        <scheme val="minor"/>
      </rPr>
      <t>Branch</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accepts:
 -&gt; Alphabetic values
 -&gt; Numeric values
 -&gt; Special character values
 -&gt; Only space value
2. The 3-character limit is implemented correctly.
Note: </t>
    </r>
    <r>
      <rPr>
        <b/>
        <sz val="11"/>
        <color theme="1"/>
        <rFont val="Calibri"/>
        <family val="2"/>
        <scheme val="minor"/>
      </rPr>
      <t>As per business Rule, Branch Code textbox should accept alphanumeric value only.</t>
    </r>
  </si>
  <si>
    <t>Branch_08</t>
  </si>
  <si>
    <r>
      <t xml:space="preserve">Validate the functionality of </t>
    </r>
    <r>
      <rPr>
        <b/>
        <sz val="11"/>
        <color theme="1"/>
        <rFont val="Calibri"/>
        <family val="2"/>
        <scheme val="minor"/>
      </rPr>
      <t>ICE Gate Password</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</si>
  <si>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ICE Gate Password</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ICE Gate Password</t>
    </r>
    <r>
      <rPr>
        <sz val="11"/>
        <color theme="1"/>
        <rFont val="Calibri"/>
        <family val="2"/>
        <scheme val="minor"/>
      </rPr>
      <t xml:space="preserve"> value.</t>
    </r>
  </si>
  <si>
    <r>
      <t xml:space="preserve">1. The </t>
    </r>
    <r>
      <rPr>
        <b/>
        <sz val="11"/>
        <color theme="1"/>
        <rFont val="Calibri"/>
        <family val="2"/>
        <scheme val="minor"/>
      </rPr>
      <t>ICE Gate Login Id</t>
    </r>
    <r>
      <rPr>
        <sz val="11"/>
        <color theme="1"/>
        <rFont val="Calibri"/>
        <family val="2"/>
        <scheme val="minor"/>
      </rPr>
      <t xml:space="preserve"> textbox should accept alphanumeric values and special character value.
2. </t>
    </r>
    <r>
      <rPr>
        <b/>
        <sz val="11"/>
        <color theme="1"/>
        <rFont val="Calibri"/>
        <family val="2"/>
        <scheme val="minor"/>
      </rPr>
      <t>ICE Gate Login Id</t>
    </r>
    <r>
      <rPr>
        <sz val="11"/>
        <color theme="1"/>
        <rFont val="Calibri"/>
        <family val="2"/>
        <scheme val="minor"/>
      </rPr>
      <t xml:space="preserve"> textbox should not accept only space value.
3. The textbox length should be limited to 50 characters.
4. On clicking Modify, the updated </t>
    </r>
    <r>
      <rPr>
        <b/>
        <sz val="11"/>
        <color theme="1"/>
        <rFont val="Calibri"/>
        <family val="2"/>
        <scheme val="minor"/>
      </rPr>
      <t>ICE Gate Login Id</t>
    </r>
    <r>
      <rPr>
        <sz val="11"/>
        <color theme="1"/>
        <rFont val="Calibri"/>
        <family val="2"/>
        <scheme val="minor"/>
      </rPr>
      <t xml:space="preserve"> should be saved successfully.</t>
    </r>
  </si>
  <si>
    <r>
      <t xml:space="preserve">1. Functionality is not working as expected.
2. The </t>
    </r>
    <r>
      <rPr>
        <b/>
        <sz val="11"/>
        <color theme="1"/>
        <rFont val="Calibri"/>
        <family val="2"/>
        <scheme val="minor"/>
      </rPr>
      <t>ICE Gate Login Id</t>
    </r>
    <r>
      <rPr>
        <sz val="11"/>
        <color theme="1"/>
        <rFont val="Calibri"/>
        <family val="2"/>
        <scheme val="minor"/>
      </rPr>
      <t xml:space="preserve"> textbox accepts:
 -&gt; Only space value
2. The 50-character limit is implemented correctly.
</t>
    </r>
    <r>
      <rPr>
        <b/>
        <sz val="11"/>
        <color theme="1"/>
        <rFont val="Calibri"/>
        <family val="2"/>
        <scheme val="minor"/>
      </rPr>
      <t>Note: ICE Gate Login Id should not accept only space value (Space can be accepted with character value)</t>
    </r>
  </si>
  <si>
    <t>Branch_09</t>
  </si>
  <si>
    <r>
      <t xml:space="preserve">Validate the functionality of </t>
    </r>
    <r>
      <rPr>
        <b/>
        <sz val="11"/>
        <color theme="1"/>
        <rFont val="Calibri"/>
        <family val="2"/>
        <scheme val="minor"/>
      </rPr>
      <t>CHA Name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</si>
  <si>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CHA Name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</si>
  <si>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t>
    </r>
    <r>
      <rPr>
        <b/>
        <sz val="11"/>
        <color theme="1"/>
        <rFont val="Calibri"/>
        <family val="2"/>
        <scheme val="minor"/>
      </rPr>
      <t xml:space="preserve"> CHA Name</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CHA Name</t>
    </r>
    <r>
      <rPr>
        <sz val="11"/>
        <color theme="1"/>
        <rFont val="Calibri"/>
        <family val="2"/>
        <scheme val="minor"/>
      </rPr>
      <t xml:space="preserve"> value.</t>
    </r>
  </si>
  <si>
    <r>
      <t xml:space="preserve">1. The </t>
    </r>
    <r>
      <rPr>
        <b/>
        <sz val="11"/>
        <color theme="1"/>
        <rFont val="Calibri"/>
        <family val="2"/>
        <scheme val="minor"/>
      </rPr>
      <t>CHA</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accepts:
 -&gt; Special character values
 -&gt; Only space value 
2. The 100-character limit is implemented correctly.
Note: </t>
    </r>
    <r>
      <rPr>
        <b/>
        <sz val="11"/>
        <color theme="1"/>
        <rFont val="Calibri"/>
        <family val="2"/>
        <scheme val="minor"/>
      </rPr>
      <t>As per business Rule, CHA Name textbox should accept alphanumeric value and following special characters: Dot (.), Comma (,), Percentage (%), Ampersand (&amp;), Hyphen (-),  Underscore (_), Forward slash (/), Backward slash (\)</t>
    </r>
  </si>
  <si>
    <t>Branch_10</t>
  </si>
  <si>
    <r>
      <t xml:space="preserve">Validate the functionality of </t>
    </r>
    <r>
      <rPr>
        <b/>
        <sz val="11"/>
        <color theme="1"/>
        <rFont val="Calibri"/>
        <family val="2"/>
        <scheme val="minor"/>
      </rPr>
      <t>CHA Code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</si>
  <si>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</si>
  <si>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CHA Code
 </t>
    </r>
  </si>
  <si>
    <r>
      <t xml:space="preserve">1. As per the use case, The </t>
    </r>
    <r>
      <rPr>
        <b/>
        <sz val="11"/>
        <color theme="1"/>
        <rFont val="Calibri"/>
        <family val="2"/>
        <scheme val="minor"/>
      </rPr>
      <t>CHA</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should accept alphanumeric values and few special character value.
2. </t>
    </r>
    <r>
      <rPr>
        <b/>
        <sz val="11"/>
        <color theme="1"/>
        <rFont val="Calibri"/>
        <family val="2"/>
        <scheme val="minor"/>
      </rPr>
      <t>CHA</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should not accept special character value, only space value.
2. The textbox length should be limited to 100 characters.</t>
    </r>
  </si>
  <si>
    <r>
      <t xml:space="preserve">1. As per the use case, The </t>
    </r>
    <r>
      <rPr>
        <b/>
        <sz val="11"/>
        <color theme="1"/>
        <rFont val="Calibri"/>
        <family val="2"/>
        <scheme val="minor"/>
      </rPr>
      <t>CHA</t>
    </r>
    <r>
      <rPr>
        <sz val="11"/>
        <color theme="1"/>
        <rFont val="Calibri"/>
        <family val="2"/>
        <scheme val="minor"/>
      </rPr>
      <t xml:space="preserve"> </t>
    </r>
    <r>
      <rPr>
        <b/>
        <sz val="11"/>
        <color theme="1"/>
        <rFont val="Calibri"/>
        <family val="2"/>
        <scheme val="minor"/>
      </rPr>
      <t>Code</t>
    </r>
    <r>
      <rPr>
        <sz val="11"/>
        <color theme="1"/>
        <rFont val="Calibri"/>
        <family val="2"/>
        <scheme val="minor"/>
      </rPr>
      <t xml:space="preserve"> textbox should be disabled and CHA Code should not be editable.
</t>
    </r>
    <r>
      <rPr>
        <b/>
        <sz val="11"/>
        <color theme="1"/>
        <rFont val="Calibri"/>
        <family val="2"/>
        <scheme val="minor"/>
      </rPr>
      <t/>
    </r>
  </si>
  <si>
    <t xml:space="preserve">Functionality is working as expected </t>
  </si>
  <si>
    <t>Branch_11</t>
  </si>
  <si>
    <r>
      <t xml:space="preserve">Validate the functionality of </t>
    </r>
    <r>
      <rPr>
        <b/>
        <sz val="11"/>
        <color theme="1"/>
        <rFont val="Calibri"/>
        <family val="2"/>
        <scheme val="minor"/>
      </rPr>
      <t>ICE Gate Email Id</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</si>
  <si>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t>
    </r>
    <r>
      <rPr>
        <b/>
        <sz val="11"/>
        <color theme="1"/>
        <rFont val="Calibri"/>
        <family val="2"/>
        <scheme val="minor"/>
      </rPr>
      <t xml:space="preserve"> ICE Gate Email Id</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 xml:space="preserve"> ICE Gate Email Id</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</si>
  <si>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ICE Gate Email Id</t>
    </r>
    <r>
      <rPr>
        <b/>
        <sz val="11"/>
        <color theme="1"/>
        <rFont val="Calibri"/>
        <family val="2"/>
        <scheme val="minor"/>
      </rPr>
      <t xml:space="preserve">
 Valid data - 
 -&gt; </t>
    </r>
    <r>
      <rPr>
        <sz val="11"/>
        <color theme="1"/>
        <rFont val="Calibri"/>
        <family val="2"/>
        <scheme val="minor"/>
      </rPr>
      <t xml:space="preserve">Test@gmail.com
 -&gt; Test.test@gmail.com
 -&gt; Test@exaple.co.in
 -&gt; test@example.org
Invalid data:
 -&gt; test.com
 -&gt; Test@@gmail.com
 -&gt; test@gmail..com
</t>
    </r>
  </si>
  <si>
    <r>
      <t xml:space="preserve">1. </t>
    </r>
    <r>
      <rPr>
        <b/>
        <sz val="11"/>
        <color theme="1"/>
        <rFont val="Calibri"/>
        <family val="2"/>
        <scheme val="minor"/>
      </rPr>
      <t>ICE Gate Email Id</t>
    </r>
    <r>
      <rPr>
        <sz val="11"/>
        <color theme="1"/>
        <rFont val="Calibri"/>
        <family val="2"/>
        <scheme val="minor"/>
      </rPr>
      <t xml:space="preserve"> textbox should accept valid Email id format and it should not be accept invalid email id foamt.
2. The textbox length should be limited to 50 characters.</t>
    </r>
  </si>
  <si>
    <r>
      <t xml:space="preserve">1. Functionality is working as expected 
2. </t>
    </r>
    <r>
      <rPr>
        <b/>
        <sz val="11"/>
        <color theme="1"/>
        <rFont val="Calibri"/>
        <family val="2"/>
        <scheme val="minor"/>
      </rPr>
      <t>ICE Gate Email Id</t>
    </r>
    <r>
      <rPr>
        <sz val="11"/>
        <color theme="1"/>
        <rFont val="Calibri"/>
        <family val="2"/>
        <scheme val="minor"/>
      </rPr>
      <t xml:space="preserve"> is not accepting invalid Email Id.
3. </t>
    </r>
    <r>
      <rPr>
        <b/>
        <sz val="11"/>
        <color theme="1"/>
        <rFont val="Calibri"/>
        <family val="2"/>
        <scheme val="minor"/>
      </rPr>
      <t>ICE Gate Email Id</t>
    </r>
    <r>
      <rPr>
        <sz val="11"/>
        <color theme="1"/>
        <rFont val="Calibri"/>
        <family val="2"/>
        <scheme val="minor"/>
      </rPr>
      <t xml:space="preserve"> textbox 50 character limit is implemented properly.</t>
    </r>
  </si>
  <si>
    <t>Branch_12</t>
  </si>
  <si>
    <r>
      <t xml:space="preserve">Validate the functionality of </t>
    </r>
    <r>
      <rPr>
        <b/>
        <sz val="11"/>
        <color theme="1"/>
        <rFont val="Calibri"/>
        <family val="2"/>
        <scheme val="minor"/>
      </rPr>
      <t>ICE Gate Email Pswd</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</si>
  <si>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ICE Gate Email Pswd</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ICE Gate Email Pswd</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</si>
  <si>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ICE Gate Password</t>
    </r>
    <r>
      <rPr>
        <b/>
        <sz val="11"/>
        <color theme="1"/>
        <rFont val="Calibri"/>
        <family val="2"/>
        <scheme val="minor"/>
      </rPr>
      <t xml:space="preserve">
 Valid Data: </t>
    </r>
    <r>
      <rPr>
        <sz val="11"/>
        <color theme="1"/>
        <rFont val="Calibri"/>
        <family val="2"/>
        <scheme val="minor"/>
      </rPr>
      <t xml:space="preserve">Alphanumeric &amp; special character Value 
</t>
    </r>
    <r>
      <rPr>
        <b/>
        <sz val="11"/>
        <color theme="1"/>
        <rFont val="Calibri"/>
        <family val="2"/>
        <scheme val="minor"/>
      </rPr>
      <t xml:space="preserve">Invalid Data: </t>
    </r>
    <r>
      <rPr>
        <sz val="11"/>
        <color theme="1"/>
        <rFont val="Calibri"/>
        <family val="2"/>
        <scheme val="minor"/>
      </rPr>
      <t>Only space value, Only Special character and combination of character.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</si>
  <si>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ICE Gate Email Pswd</t>
    </r>
    <r>
      <rPr>
        <b/>
        <sz val="11"/>
        <color theme="1"/>
        <rFont val="Calibri"/>
        <family val="2"/>
        <scheme val="minor"/>
      </rPr>
      <t xml:space="preserve">
 Valid Data: </t>
    </r>
    <r>
      <rPr>
        <sz val="11"/>
        <color theme="1"/>
        <rFont val="Calibri"/>
        <family val="2"/>
        <scheme val="minor"/>
      </rPr>
      <t xml:space="preserve">Alphanumeric Value &amp; special character value 
</t>
    </r>
    <r>
      <rPr>
        <b/>
        <sz val="11"/>
        <color theme="1"/>
        <rFont val="Calibri"/>
        <family val="2"/>
        <scheme val="minor"/>
      </rPr>
      <t xml:space="preserve">Invalid Data: </t>
    </r>
    <r>
      <rPr>
        <sz val="11"/>
        <color theme="1"/>
        <rFont val="Calibri"/>
        <family val="2"/>
        <scheme val="minor"/>
      </rPr>
      <t>Only space value</t>
    </r>
  </si>
  <si>
    <r>
      <t xml:space="preserve">1. The </t>
    </r>
    <r>
      <rPr>
        <b/>
        <sz val="11"/>
        <color theme="1"/>
        <rFont val="Calibri"/>
        <family val="2"/>
        <scheme val="minor"/>
      </rPr>
      <t>ICE Gate Email Pswd</t>
    </r>
    <r>
      <rPr>
        <sz val="11"/>
        <color theme="1"/>
        <rFont val="Calibri"/>
        <family val="2"/>
        <scheme val="minor"/>
      </rPr>
      <t xml:space="preserve"> textbox should accept alphanumeric and special character values.
2. The textbox should not accept </t>
    </r>
    <r>
      <rPr>
        <b/>
        <sz val="11"/>
        <color theme="1"/>
        <rFont val="Calibri"/>
        <family val="2"/>
        <scheme val="minor"/>
      </rPr>
      <t>only space as a valid password.</t>
    </r>
    <r>
      <rPr>
        <sz val="11"/>
        <color theme="1"/>
        <rFont val="Calibri"/>
        <family val="2"/>
        <scheme val="minor"/>
      </rPr>
      <t xml:space="preserve">
3. The maximum length of the textbox should be 16 characters.
4. The password should be displayed in encrypted (masked) format.
5. The password should accept a combination of characters (alphabet, numbers, special characters).</t>
    </r>
  </si>
  <si>
    <r>
      <t xml:space="preserve">1. Functionality is not working as expected.
2. The ICE Gate Password textbox accepts:
 -&gt; </t>
    </r>
    <r>
      <rPr>
        <b/>
        <sz val="11"/>
        <color theme="1"/>
        <rFont val="Calibri"/>
        <family val="2"/>
        <scheme val="minor"/>
      </rPr>
      <t>Only space value (should not be allowed)</t>
    </r>
    <r>
      <rPr>
        <sz val="11"/>
        <color theme="1"/>
        <rFont val="Calibri"/>
        <family val="2"/>
        <scheme val="minor"/>
      </rPr>
      <t xml:space="preserve">
3. The 50-character maximum length restriction is working correctly.
</t>
    </r>
    <r>
      <rPr>
        <b/>
        <sz val="11"/>
        <color theme="1"/>
        <rFont val="Calibri"/>
        <family val="2"/>
        <scheme val="minor"/>
      </rPr>
      <t>Note:  Space can be accepted with the character value. (Only space should not be accepted)</t>
    </r>
  </si>
  <si>
    <r>
      <t xml:space="preserve">1. The </t>
    </r>
    <r>
      <rPr>
        <b/>
        <sz val="11"/>
        <color theme="1"/>
        <rFont val="Calibri"/>
        <family val="2"/>
        <scheme val="minor"/>
      </rPr>
      <t>ICE Gate Password</t>
    </r>
    <r>
      <rPr>
        <sz val="11"/>
        <color theme="1"/>
        <rFont val="Calibri"/>
        <family val="2"/>
        <scheme val="minor"/>
      </rPr>
      <t xml:space="preserve"> textbox should accept alphanumeric and special character values.
2. The textbox should not accept only space as a valid password.
3. The maximum length of the textbox should be 50 characters.
4. The password should be displayed in encrypted (masked) format.
</t>
    </r>
  </si>
  <si>
    <r>
      <t xml:space="preserve">1. Functionality is not working as expected.
2. The ICE Gate Email Pswd textbox accepts:
 -&gt; </t>
    </r>
    <r>
      <rPr>
        <b/>
        <sz val="11"/>
        <color theme="1"/>
        <rFont val="Calibri"/>
        <family val="2"/>
        <scheme val="minor"/>
      </rPr>
      <t>Only space value (should not be allowed)</t>
    </r>
    <r>
      <rPr>
        <sz val="11"/>
        <color theme="1"/>
        <rFont val="Calibri"/>
        <family val="2"/>
        <scheme val="minor"/>
      </rPr>
      <t xml:space="preserve">
3. The 16-character maximum length restriction is working correctly.
</t>
    </r>
    <r>
      <rPr>
        <b/>
        <sz val="11"/>
        <color theme="1"/>
        <rFont val="Calibri"/>
        <family val="2"/>
        <scheme val="minor"/>
      </rPr>
      <t>Note:  Space can be accepted with the character value. (Only space should not be accepted as a password)</t>
    </r>
  </si>
  <si>
    <t>Branch_13</t>
  </si>
  <si>
    <r>
      <t xml:space="preserve">Validate the functionality of </t>
    </r>
    <r>
      <rPr>
        <b/>
        <sz val="11"/>
        <color theme="1"/>
        <rFont val="Calibri"/>
        <family val="2"/>
        <scheme val="minor"/>
      </rPr>
      <t>POP Server</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</si>
  <si>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POP Server</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POP Server</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</si>
  <si>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POP Server</t>
    </r>
    <r>
      <rPr>
        <b/>
        <sz val="11"/>
        <color theme="1"/>
        <rFont val="Calibri"/>
        <family val="2"/>
        <scheme val="minor"/>
      </rPr>
      <t xml:space="preserve">
 Valid Data: </t>
    </r>
    <r>
      <rPr>
        <sz val="11"/>
        <color theme="1"/>
        <rFont val="Calibri"/>
        <family val="2"/>
        <scheme val="minor"/>
      </rPr>
      <t xml:space="preserve">Alphanumeric Value &amp; special character value 
</t>
    </r>
    <r>
      <rPr>
        <b/>
        <sz val="11"/>
        <color theme="1"/>
        <rFont val="Calibri"/>
        <family val="2"/>
        <scheme val="minor"/>
      </rPr>
      <t xml:space="preserve">Invalid Data: </t>
    </r>
    <r>
      <rPr>
        <sz val="11"/>
        <color theme="1"/>
        <rFont val="Calibri"/>
        <family val="2"/>
        <scheme val="minor"/>
      </rPr>
      <t>Only space value</t>
    </r>
  </si>
  <si>
    <r>
      <t xml:space="preserve">1. As per the use case, The </t>
    </r>
    <r>
      <rPr>
        <b/>
        <sz val="11"/>
        <color theme="1"/>
        <rFont val="Calibri"/>
        <family val="2"/>
        <scheme val="minor"/>
      </rPr>
      <t>POP Server</t>
    </r>
    <r>
      <rPr>
        <sz val="11"/>
        <color theme="1"/>
        <rFont val="Calibri"/>
        <family val="2"/>
        <scheme val="minor"/>
      </rPr>
      <t xml:space="preserve"> textbox should accept alphanumeric values.
2. </t>
    </r>
    <r>
      <rPr>
        <b/>
        <sz val="11"/>
        <color theme="1"/>
        <rFont val="Calibri"/>
        <family val="2"/>
        <scheme val="minor"/>
      </rPr>
      <t>POP Server</t>
    </r>
    <r>
      <rPr>
        <sz val="11"/>
        <color theme="1"/>
        <rFont val="Calibri"/>
        <family val="2"/>
        <scheme val="minor"/>
      </rPr>
      <t xml:space="preserve"> textbox should not accept special character value, only space value.
2. The textbox length should be limited to 50 characters.</t>
    </r>
  </si>
  <si>
    <r>
      <t xml:space="preserve">1. Functionality is not working as expected.
2. The </t>
    </r>
    <r>
      <rPr>
        <b/>
        <sz val="11"/>
        <color theme="1"/>
        <rFont val="Calibri"/>
        <family val="2"/>
        <scheme val="minor"/>
      </rPr>
      <t>POP Server</t>
    </r>
    <r>
      <rPr>
        <sz val="11"/>
        <color theme="1"/>
        <rFont val="Calibri"/>
        <family val="2"/>
        <scheme val="minor"/>
      </rPr>
      <t xml:space="preserve"> textbox accepts:
 -&gt; Special character values
 -&gt; Only space value 
 -&gt; Alphanumeric value
2. The 50-character limit is implemented correctly.
</t>
    </r>
    <r>
      <rPr>
        <b/>
        <sz val="11"/>
        <color theme="1"/>
        <rFont val="Calibri"/>
        <family val="2"/>
        <scheme val="minor"/>
      </rPr>
      <t>Note: Confirmation required, what type data should be accepted in the textbox.</t>
    </r>
    <r>
      <rPr>
        <sz val="11"/>
        <color theme="1"/>
        <rFont val="Calibri"/>
        <family val="2"/>
        <scheme val="minor"/>
      </rPr>
      <t xml:space="preserve">
</t>
    </r>
  </si>
  <si>
    <t>Branch_14</t>
  </si>
  <si>
    <r>
      <t xml:space="preserve">Validate the functionality of </t>
    </r>
    <r>
      <rPr>
        <b/>
        <sz val="11"/>
        <color theme="1"/>
        <rFont val="Calibri"/>
        <family val="2"/>
        <scheme val="minor"/>
      </rPr>
      <t>Incoming Port</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</si>
  <si>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Incoming Port</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Incoming Port</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</si>
  <si>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Incoming Port</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 etc.</t>
    </r>
  </si>
  <si>
    <r>
      <t xml:space="preserve">1. As per the use case, The </t>
    </r>
    <r>
      <rPr>
        <b/>
        <sz val="11"/>
        <color theme="1"/>
        <rFont val="Calibri"/>
        <family val="2"/>
        <scheme val="minor"/>
      </rPr>
      <t>Incoming Port</t>
    </r>
    <r>
      <rPr>
        <sz val="11"/>
        <color theme="1"/>
        <rFont val="Calibri"/>
        <family val="2"/>
        <scheme val="minor"/>
      </rPr>
      <t xml:space="preserve"> textbox should accept Numeric values.
2. </t>
    </r>
    <r>
      <rPr>
        <b/>
        <sz val="11"/>
        <color theme="1"/>
        <rFont val="Calibri"/>
        <family val="2"/>
        <scheme val="minor"/>
      </rPr>
      <t>Incoming Port</t>
    </r>
    <r>
      <rPr>
        <sz val="11"/>
        <color theme="1"/>
        <rFont val="Calibri"/>
        <family val="2"/>
        <scheme val="minor"/>
      </rPr>
      <t xml:space="preserve"> textbox should not accept special character value, only space value and alphabetic value.
2. The textbox length should be limited to 10 characters.</t>
    </r>
  </si>
  <si>
    <r>
      <t xml:space="preserve">1. Functionality is not working as expected.
2. The </t>
    </r>
    <r>
      <rPr>
        <b/>
        <sz val="11"/>
        <color theme="1"/>
        <rFont val="Calibri"/>
        <family val="2"/>
        <scheme val="minor"/>
      </rPr>
      <t>Incoming Port</t>
    </r>
    <r>
      <rPr>
        <sz val="11"/>
        <color theme="1"/>
        <rFont val="Calibri"/>
        <family val="2"/>
        <scheme val="minor"/>
      </rPr>
      <t xml:space="preserve"> textbox accepts:
 -&gt; Special character values
2. The 10-character limit is implemented correctly.
</t>
    </r>
    <r>
      <rPr>
        <b/>
        <sz val="11"/>
        <color theme="1"/>
        <rFont val="Calibri"/>
        <family val="2"/>
        <scheme val="minor"/>
      </rPr>
      <t>Note: This textbox should accept only Numeric value</t>
    </r>
    <r>
      <rPr>
        <sz val="11"/>
        <color theme="1"/>
        <rFont val="Calibri"/>
        <family val="2"/>
        <scheme val="minor"/>
      </rPr>
      <t xml:space="preserve">
</t>
    </r>
  </si>
  <si>
    <t>Google Chrome - Version 143.0.7499.170 (Official Build) (64-bit)
Microsoft Edge - Version 143.0.3650.96 (Official build) (64-bit)</t>
  </si>
  <si>
    <t>Branch_15</t>
  </si>
  <si>
    <r>
      <t xml:space="preserve">Validate the functionality of </t>
    </r>
    <r>
      <rPr>
        <b/>
        <sz val="11"/>
        <color theme="1"/>
        <rFont val="Calibri"/>
        <family val="2"/>
        <scheme val="minor"/>
      </rPr>
      <t>SMTP Server</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</si>
  <si>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SMTP Server</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SMTP Server</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</si>
  <si>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SMTP Server</t>
    </r>
    <r>
      <rPr>
        <b/>
        <sz val="11"/>
        <color theme="1"/>
        <rFont val="Calibri"/>
        <family val="2"/>
        <scheme val="minor"/>
      </rPr>
      <t xml:space="preserve">
 Valid Data: </t>
    </r>
    <r>
      <rPr>
        <sz val="11"/>
        <color theme="1"/>
        <rFont val="Calibri"/>
        <family val="2"/>
        <scheme val="minor"/>
      </rPr>
      <t xml:space="preserve">Alphanumeric Value &amp; special character value 
</t>
    </r>
    <r>
      <rPr>
        <b/>
        <sz val="11"/>
        <color theme="1"/>
        <rFont val="Calibri"/>
        <family val="2"/>
        <scheme val="minor"/>
      </rPr>
      <t xml:space="preserve">Invalid Data: </t>
    </r>
    <r>
      <rPr>
        <sz val="11"/>
        <color theme="1"/>
        <rFont val="Calibri"/>
        <family val="2"/>
        <scheme val="minor"/>
      </rPr>
      <t>Only space value</t>
    </r>
  </si>
  <si>
    <r>
      <t xml:space="preserve">1. As per the use case, The </t>
    </r>
    <r>
      <rPr>
        <b/>
        <sz val="11"/>
        <color theme="1"/>
        <rFont val="Calibri"/>
        <family val="2"/>
        <scheme val="minor"/>
      </rPr>
      <t>SMTP Server</t>
    </r>
    <r>
      <rPr>
        <sz val="11"/>
        <color theme="1"/>
        <rFont val="Calibri"/>
        <family val="2"/>
        <scheme val="minor"/>
      </rPr>
      <t xml:space="preserve"> textbox should accept alphanumeric values.
2. </t>
    </r>
    <r>
      <rPr>
        <b/>
        <sz val="11"/>
        <color theme="1"/>
        <rFont val="Calibri"/>
        <family val="2"/>
        <scheme val="minor"/>
      </rPr>
      <t>SMTP Server</t>
    </r>
    <r>
      <rPr>
        <sz val="11"/>
        <color theme="1"/>
        <rFont val="Calibri"/>
        <family val="2"/>
        <scheme val="minor"/>
      </rPr>
      <t xml:space="preserve"> textbox should not accept special character value, only space value.
2. The textbox length should be limited to 100 characters.</t>
    </r>
  </si>
  <si>
    <r>
      <t xml:space="preserve">1. Functionality is not working as expected.
2. The </t>
    </r>
    <r>
      <rPr>
        <b/>
        <sz val="11"/>
        <color theme="1"/>
        <rFont val="Calibri"/>
        <family val="2"/>
        <scheme val="minor"/>
      </rPr>
      <t>SMTP Server</t>
    </r>
    <r>
      <rPr>
        <sz val="11"/>
        <color theme="1"/>
        <rFont val="Calibri"/>
        <family val="2"/>
        <scheme val="minor"/>
      </rPr>
      <t xml:space="preserve"> textbox accepts:
 -&gt; Special character values
 -&gt; Only space value 
 -&gt; Alphanumeric value
2. The 100-character limit is implemented correctly.
</t>
    </r>
    <r>
      <rPr>
        <b/>
        <sz val="11"/>
        <color theme="1"/>
        <rFont val="Calibri"/>
        <family val="2"/>
        <scheme val="minor"/>
      </rPr>
      <t>Note: Confirmation required, what type data should be accepted in the textbox.</t>
    </r>
    <r>
      <rPr>
        <sz val="11"/>
        <color theme="1"/>
        <rFont val="Calibri"/>
        <family val="2"/>
        <scheme val="minor"/>
      </rPr>
      <t xml:space="preserve">
</t>
    </r>
  </si>
  <si>
    <t>Branch_16</t>
  </si>
  <si>
    <r>
      <t xml:space="preserve">Validate the functionality of </t>
    </r>
    <r>
      <rPr>
        <b/>
        <sz val="11"/>
        <color theme="1"/>
        <rFont val="Calibri"/>
        <family val="2"/>
        <scheme val="minor"/>
      </rPr>
      <t>Outgoing Port</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</si>
  <si>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Outgoing Port</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Outgoing Port</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</si>
  <si>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Outgoing Port</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 etc.</t>
    </r>
  </si>
  <si>
    <r>
      <t xml:space="preserve">1. The </t>
    </r>
    <r>
      <rPr>
        <b/>
        <sz val="11"/>
        <color theme="1"/>
        <rFont val="Calibri"/>
        <family val="2"/>
        <scheme val="minor"/>
      </rPr>
      <t xml:space="preserve">Outgoing Port </t>
    </r>
    <r>
      <rPr>
        <sz val="11"/>
        <color theme="1"/>
        <rFont val="Calibri"/>
        <family val="2"/>
        <scheme val="minor"/>
      </rPr>
      <t>textbox should accept numeric values only.
2. The textbox should not accept special characters, alphabetic characters, or only space values.
3. The textbox length should be 3 characters.</t>
    </r>
  </si>
  <si>
    <r>
      <t xml:space="preserve">1. The functionality is working as expected.
2. The </t>
    </r>
    <r>
      <rPr>
        <b/>
        <sz val="11"/>
        <color theme="1"/>
        <rFont val="Calibri"/>
        <family val="2"/>
        <scheme val="minor"/>
      </rPr>
      <t xml:space="preserve">Outgoing Port </t>
    </r>
    <r>
      <rPr>
        <sz val="11"/>
        <color theme="1"/>
        <rFont val="Calibri"/>
        <family val="2"/>
        <scheme val="minor"/>
      </rPr>
      <t xml:space="preserve">textbox does not accept invalid values while saving the record.
</t>
    </r>
    <r>
      <rPr>
        <b/>
        <sz val="11"/>
        <color theme="1"/>
        <rFont val="Calibri"/>
        <family val="2"/>
        <scheme val="minor"/>
      </rPr>
      <t xml:space="preserve"> -&gt; However, special characters are currently allowed to be typed, but an invalid validation message appears on save.
 -&gt; Special character entry should be restricted at the time of typing.</t>
    </r>
    <r>
      <rPr>
        <sz val="11"/>
        <color theme="1"/>
        <rFont val="Calibri"/>
        <family val="2"/>
        <scheme val="minor"/>
      </rPr>
      <t xml:space="preserve">
3. The 3-character length restriction is implemented correctly.
</t>
    </r>
    <r>
      <rPr>
        <b/>
        <sz val="11"/>
        <color theme="1"/>
        <rFont val="Calibri"/>
        <family val="2"/>
        <scheme val="minor"/>
      </rPr>
      <t>Note: Incoming Port length 10 digit and Outgoing Port textbox is 3 digit. It should be same for both textbox.</t>
    </r>
    <r>
      <rPr>
        <sz val="11"/>
        <color theme="1"/>
        <rFont val="Calibri"/>
        <family val="2"/>
        <scheme val="minor"/>
      </rPr>
      <t xml:space="preserve">
</t>
    </r>
  </si>
  <si>
    <t>Branch_17</t>
  </si>
  <si>
    <r>
      <t xml:space="preserve">Validate the functionality of </t>
    </r>
    <r>
      <rPr>
        <b/>
        <sz val="11"/>
        <color theme="1"/>
        <rFont val="Calibri"/>
        <family val="2"/>
        <scheme val="minor"/>
      </rPr>
      <t>Jurisdiction</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</si>
  <si>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Jurisdiction</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Jurisdiction</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</si>
  <si>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Jurisdiction</t>
    </r>
    <r>
      <rPr>
        <b/>
        <sz val="11"/>
        <color theme="1"/>
        <rFont val="Calibri"/>
        <family val="2"/>
        <scheme val="minor"/>
      </rPr>
      <t xml:space="preserve">
 Valid Data: </t>
    </r>
    <r>
      <rPr>
        <sz val="11"/>
        <color theme="1"/>
        <rFont val="Calibri"/>
        <family val="2"/>
        <scheme val="minor"/>
      </rPr>
      <t xml:space="preserve">Alphanumeric Value &amp; few special character value 
</t>
    </r>
    <r>
      <rPr>
        <b/>
        <sz val="11"/>
        <color theme="1"/>
        <rFont val="Calibri"/>
        <family val="2"/>
        <scheme val="minor"/>
      </rPr>
      <t xml:space="preserve">Invalid Data: </t>
    </r>
    <r>
      <rPr>
        <sz val="11"/>
        <color theme="1"/>
        <rFont val="Calibri"/>
        <family val="2"/>
        <scheme val="minor"/>
      </rPr>
      <t>Only space value</t>
    </r>
  </si>
  <si>
    <r>
      <t xml:space="preserve">1. As per the use case, The </t>
    </r>
    <r>
      <rPr>
        <b/>
        <sz val="11"/>
        <color theme="1"/>
        <rFont val="Calibri"/>
        <family val="2"/>
        <scheme val="minor"/>
      </rPr>
      <t>Jurisdiction</t>
    </r>
    <r>
      <rPr>
        <sz val="11"/>
        <color theme="1"/>
        <rFont val="Calibri"/>
        <family val="2"/>
        <scheme val="minor"/>
      </rPr>
      <t xml:space="preserve"> textbox should accept alphanumeric values.
2. </t>
    </r>
    <r>
      <rPr>
        <b/>
        <sz val="11"/>
        <color theme="1"/>
        <rFont val="Calibri"/>
        <family val="2"/>
        <scheme val="minor"/>
      </rPr>
      <t>Jurisdiction</t>
    </r>
    <r>
      <rPr>
        <sz val="11"/>
        <color theme="1"/>
        <rFont val="Calibri"/>
        <family val="2"/>
        <scheme val="minor"/>
      </rPr>
      <t xml:space="preserve"> textbox should not accept special character value, only space value.
2. The textbox length should be limited to 50 characters.</t>
    </r>
  </si>
  <si>
    <r>
      <t xml:space="preserve">1. Functionality is not working as expected.
2. The </t>
    </r>
    <r>
      <rPr>
        <b/>
        <sz val="11"/>
        <color theme="1"/>
        <rFont val="Calibri"/>
        <family val="2"/>
        <scheme val="minor"/>
      </rPr>
      <t>Jurisdiction</t>
    </r>
    <r>
      <rPr>
        <sz val="11"/>
        <color theme="1"/>
        <rFont val="Calibri"/>
        <family val="2"/>
        <scheme val="minor"/>
      </rPr>
      <t xml:space="preserve"> textbox accepts:
 -&gt; Special character values
 -&gt; Only space value 
 -&gt; Alphanumeric value
2. The 50-character limit is implemented correctly.
</t>
    </r>
    <r>
      <rPr>
        <b/>
        <sz val="11"/>
        <color theme="1"/>
        <rFont val="Calibri"/>
        <family val="2"/>
        <scheme val="minor"/>
      </rPr>
      <t>Note: Confirmation required, what type data should be accepted in the textbox.</t>
    </r>
    <r>
      <rPr>
        <sz val="11"/>
        <color theme="1"/>
        <rFont val="Calibri"/>
        <family val="2"/>
        <scheme val="minor"/>
      </rPr>
      <t xml:space="preserve">
</t>
    </r>
  </si>
  <si>
    <t>Branch_18</t>
  </si>
  <si>
    <r>
      <t xml:space="preserve">Validate the functionality of </t>
    </r>
    <r>
      <rPr>
        <b/>
        <sz val="11"/>
        <color theme="1"/>
        <rFont val="Calibri"/>
        <family val="2"/>
        <scheme val="minor"/>
      </rPr>
      <t>Address1</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</si>
  <si>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Address1</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Address1</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</si>
  <si>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Address1</t>
    </r>
    <r>
      <rPr>
        <b/>
        <sz val="11"/>
        <color theme="1"/>
        <rFont val="Calibri"/>
        <family val="2"/>
        <scheme val="minor"/>
      </rPr>
      <t xml:space="preserve">
 Valid Data: </t>
    </r>
    <r>
      <rPr>
        <sz val="11"/>
        <color theme="1"/>
        <rFont val="Calibri"/>
        <family val="2"/>
        <scheme val="minor"/>
      </rPr>
      <t xml:space="preserve">Alphanumeric Value &amp;  special character value 
</t>
    </r>
    <r>
      <rPr>
        <b/>
        <sz val="11"/>
        <color theme="1"/>
        <rFont val="Calibri"/>
        <family val="2"/>
        <scheme val="minor"/>
      </rPr>
      <t xml:space="preserve">Invalid Data: </t>
    </r>
    <r>
      <rPr>
        <sz val="11"/>
        <color theme="1"/>
        <rFont val="Calibri"/>
        <family val="2"/>
        <scheme val="minor"/>
      </rPr>
      <t>Only space value</t>
    </r>
  </si>
  <si>
    <r>
      <t xml:space="preserve">1. The </t>
    </r>
    <r>
      <rPr>
        <b/>
        <sz val="11"/>
        <color theme="1"/>
        <rFont val="Calibri"/>
        <family val="2"/>
        <scheme val="minor"/>
      </rPr>
      <t>Address1</t>
    </r>
    <r>
      <rPr>
        <sz val="11"/>
        <color theme="1"/>
        <rFont val="Calibri"/>
        <family val="2"/>
        <scheme val="minor"/>
      </rPr>
      <t xml:space="preserve"> textbox should accept alphanumeric values.
2. </t>
    </r>
    <r>
      <rPr>
        <b/>
        <sz val="11"/>
        <color theme="1"/>
        <rFont val="Calibri"/>
        <family val="2"/>
        <scheme val="minor"/>
      </rPr>
      <t>Address1</t>
    </r>
    <r>
      <rPr>
        <sz val="11"/>
        <color theme="1"/>
        <rFont val="Calibri"/>
        <family val="2"/>
        <scheme val="minor"/>
      </rPr>
      <t xml:space="preserve">  textbox should not accept special character value, only space value.
2. The textbox length should be limited to 50 characters.</t>
    </r>
  </si>
  <si>
    <r>
      <t xml:space="preserve">1. Functionality is not working as expected.
2. The </t>
    </r>
    <r>
      <rPr>
        <b/>
        <sz val="11"/>
        <color theme="1"/>
        <rFont val="Calibri"/>
        <family val="2"/>
        <scheme val="minor"/>
      </rPr>
      <t>Address1</t>
    </r>
    <r>
      <rPr>
        <sz val="11"/>
        <color theme="1"/>
        <rFont val="Calibri"/>
        <family val="2"/>
        <scheme val="minor"/>
      </rPr>
      <t xml:space="preserve"> textbox accepts:
 -&gt; Special character values
 -&gt; Only space value 
 -&gt; Alphanumeric value
2. The 50-character limit is implemented correctly.
</t>
    </r>
    <r>
      <rPr>
        <b/>
        <sz val="11"/>
        <color theme="1"/>
        <rFont val="Calibri"/>
        <family val="2"/>
        <scheme val="minor"/>
      </rPr>
      <t>Note: As per businees, Address1 textbox can be accept all type of value (Numeric, Alphabetic and speical character)</t>
    </r>
    <r>
      <rPr>
        <sz val="11"/>
        <color theme="1"/>
        <rFont val="Calibri"/>
        <family val="2"/>
        <scheme val="minor"/>
      </rPr>
      <t xml:space="preserve">
</t>
    </r>
  </si>
  <si>
    <t>Branch_19</t>
  </si>
  <si>
    <r>
      <t xml:space="preserve">Validate the functionality of </t>
    </r>
    <r>
      <rPr>
        <b/>
        <sz val="11"/>
        <color theme="1"/>
        <rFont val="Calibri"/>
        <family val="2"/>
        <scheme val="minor"/>
      </rPr>
      <t>Address2</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</si>
  <si>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Address2</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Address2</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</si>
  <si>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Address2</t>
    </r>
    <r>
      <rPr>
        <b/>
        <sz val="11"/>
        <color theme="1"/>
        <rFont val="Calibri"/>
        <family val="2"/>
        <scheme val="minor"/>
      </rPr>
      <t xml:space="preserve">
 Valid Data: </t>
    </r>
    <r>
      <rPr>
        <sz val="11"/>
        <color theme="1"/>
        <rFont val="Calibri"/>
        <family val="2"/>
        <scheme val="minor"/>
      </rPr>
      <t xml:space="preserve">Alphanumeric Value &amp;  special character value 
</t>
    </r>
    <r>
      <rPr>
        <b/>
        <sz val="11"/>
        <color theme="1"/>
        <rFont val="Calibri"/>
        <family val="2"/>
        <scheme val="minor"/>
      </rPr>
      <t xml:space="preserve">Invalid Data: </t>
    </r>
    <r>
      <rPr>
        <sz val="11"/>
        <color theme="1"/>
        <rFont val="Calibri"/>
        <family val="2"/>
        <scheme val="minor"/>
      </rPr>
      <t>Only space value</t>
    </r>
  </si>
  <si>
    <r>
      <t xml:space="preserve">1. The </t>
    </r>
    <r>
      <rPr>
        <b/>
        <sz val="11"/>
        <color theme="1"/>
        <rFont val="Calibri"/>
        <family val="2"/>
        <scheme val="minor"/>
      </rPr>
      <t>Address2</t>
    </r>
    <r>
      <rPr>
        <sz val="11"/>
        <color theme="1"/>
        <rFont val="Calibri"/>
        <family val="2"/>
        <scheme val="minor"/>
      </rPr>
      <t xml:space="preserve"> textbox should accept alphanumeric values.
2. </t>
    </r>
    <r>
      <rPr>
        <b/>
        <sz val="11"/>
        <color theme="1"/>
        <rFont val="Calibri"/>
        <family val="2"/>
        <scheme val="minor"/>
      </rPr>
      <t>Address2</t>
    </r>
    <r>
      <rPr>
        <sz val="11"/>
        <color theme="1"/>
        <rFont val="Calibri"/>
        <family val="2"/>
        <scheme val="minor"/>
      </rPr>
      <t xml:space="preserve"> textbox should not accept special character value, only space value.
2. The textbox length should be limited to 50 characters.</t>
    </r>
  </si>
  <si>
    <r>
      <t xml:space="preserve">1. Functionality is not working as expected.
2. The </t>
    </r>
    <r>
      <rPr>
        <b/>
        <sz val="11"/>
        <color theme="1"/>
        <rFont val="Calibri"/>
        <family val="2"/>
        <scheme val="minor"/>
      </rPr>
      <t>Address2</t>
    </r>
    <r>
      <rPr>
        <sz val="11"/>
        <color theme="1"/>
        <rFont val="Calibri"/>
        <family val="2"/>
        <scheme val="minor"/>
      </rPr>
      <t xml:space="preserve"> textbox accepts:
 -&gt; Special character values
 -&gt; Only space value 
 -&gt; Alphanumeric value
2. The 50-character limit is implemented correctly.
</t>
    </r>
    <r>
      <rPr>
        <b/>
        <sz val="11"/>
        <color theme="1"/>
        <rFont val="Calibri"/>
        <family val="2"/>
        <scheme val="minor"/>
      </rPr>
      <t>Note: As per businees, Address2 textbox can be accept all type of value (Numeric, Alphabetic and speical character)</t>
    </r>
    <r>
      <rPr>
        <sz val="11"/>
        <color theme="1"/>
        <rFont val="Calibri"/>
        <family val="2"/>
        <scheme val="minor"/>
      </rPr>
      <t xml:space="preserve">
</t>
    </r>
  </si>
  <si>
    <t>Branch_20</t>
  </si>
  <si>
    <r>
      <t xml:space="preserve">Validate the functionality of </t>
    </r>
    <r>
      <rPr>
        <b/>
        <sz val="11"/>
        <color theme="1"/>
        <rFont val="Calibri"/>
        <family val="2"/>
        <scheme val="minor"/>
      </rPr>
      <t>City</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</si>
  <si>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City</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City</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</si>
  <si>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City</t>
    </r>
    <r>
      <rPr>
        <b/>
        <sz val="11"/>
        <color theme="1"/>
        <rFont val="Calibri"/>
        <family val="2"/>
        <scheme val="minor"/>
      </rPr>
      <t xml:space="preserve">
 Valid Data: </t>
    </r>
    <r>
      <rPr>
        <sz val="11"/>
        <color theme="1"/>
        <rFont val="Calibri"/>
        <family val="2"/>
        <scheme val="minor"/>
      </rPr>
      <t xml:space="preserve">Alphabetic Value
</t>
    </r>
    <r>
      <rPr>
        <b/>
        <sz val="11"/>
        <color theme="1"/>
        <rFont val="Calibri"/>
        <family val="2"/>
        <scheme val="minor"/>
      </rPr>
      <t xml:space="preserve">Invalid Data: </t>
    </r>
    <r>
      <rPr>
        <sz val="11"/>
        <color theme="1"/>
        <rFont val="Calibri"/>
        <family val="2"/>
        <scheme val="minor"/>
      </rPr>
      <t>Only space value, special character value, numeric value</t>
    </r>
  </si>
  <si>
    <r>
      <t xml:space="preserve">1. The </t>
    </r>
    <r>
      <rPr>
        <b/>
        <sz val="11"/>
        <color theme="1"/>
        <rFont val="Calibri"/>
        <family val="2"/>
        <scheme val="minor"/>
      </rPr>
      <t>City</t>
    </r>
    <r>
      <rPr>
        <sz val="11"/>
        <color theme="1"/>
        <rFont val="Calibri"/>
        <family val="2"/>
        <scheme val="minor"/>
      </rPr>
      <t xml:space="preserve"> textbox should accept alphabetic values with space.
2. </t>
    </r>
    <r>
      <rPr>
        <b/>
        <sz val="11"/>
        <color theme="1"/>
        <rFont val="Calibri"/>
        <family val="2"/>
        <scheme val="minor"/>
      </rPr>
      <t>City</t>
    </r>
    <r>
      <rPr>
        <sz val="11"/>
        <color theme="1"/>
        <rFont val="Calibri"/>
        <family val="2"/>
        <scheme val="minor"/>
      </rPr>
      <t xml:space="preserve"> textbox should not accept special character value, only space value and numeric value.
2. The textbox length should be limited to 35 characters.</t>
    </r>
  </si>
  <si>
    <r>
      <t xml:space="preserve">1. Functionality is not working as expected.
2. The </t>
    </r>
    <r>
      <rPr>
        <b/>
        <sz val="11"/>
        <color theme="1"/>
        <rFont val="Calibri"/>
        <family val="2"/>
        <scheme val="minor"/>
      </rPr>
      <t>City</t>
    </r>
    <r>
      <rPr>
        <sz val="11"/>
        <color theme="1"/>
        <rFont val="Calibri"/>
        <family val="2"/>
        <scheme val="minor"/>
      </rPr>
      <t xml:space="preserve"> textbox accepts:
 -&gt; Special character values
 -&gt; Only space value 
 -&gt; Alphabetic value
 -&gt; Numeric value
2. The 35-character limit is not implemented correctly, it is accepting more than 35 character value
</t>
    </r>
    <r>
      <rPr>
        <b/>
        <sz val="11"/>
        <color theme="1"/>
        <rFont val="Calibri"/>
        <family val="2"/>
        <scheme val="minor"/>
      </rPr>
      <t>Note: As per businees, City textbox should accept only alphabetic value with space (Only Space not allowed)</t>
    </r>
    <r>
      <rPr>
        <sz val="11"/>
        <color theme="1"/>
        <rFont val="Calibri"/>
        <family val="2"/>
        <scheme val="minor"/>
      </rPr>
      <t xml:space="preserve">
</t>
    </r>
  </si>
  <si>
    <t>Branch_21</t>
  </si>
  <si>
    <r>
      <t xml:space="preserve">Validate the functionality of </t>
    </r>
    <r>
      <rPr>
        <b/>
        <sz val="11"/>
        <color theme="1"/>
        <rFont val="Calibri"/>
        <family val="2"/>
        <scheme val="minor"/>
      </rPr>
      <t>State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</si>
  <si>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t>
    </r>
    <r>
      <rPr>
        <b/>
        <sz val="11"/>
        <color theme="1"/>
        <rFont val="Calibri"/>
        <family val="2"/>
        <scheme val="minor"/>
      </rPr>
      <t xml:space="preserve">
5</t>
    </r>
    <r>
      <rPr>
        <sz val="11"/>
        <color theme="1"/>
        <rFont val="Calibri"/>
        <family val="2"/>
        <scheme val="minor"/>
      </rPr>
      <t xml:space="preserve">. In the </t>
    </r>
    <r>
      <rPr>
        <b/>
        <sz val="11"/>
        <color theme="1"/>
        <rFont val="Calibri"/>
        <family val="2"/>
        <scheme val="minor"/>
      </rPr>
      <t xml:space="preserve">State </t>
    </r>
    <r>
      <rPr>
        <sz val="11"/>
        <color theme="1"/>
        <rFont val="Calibri"/>
        <family val="2"/>
        <scheme val="minor"/>
      </rPr>
      <t>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</si>
  <si>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State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Maharashtra
-&gt; Gujarat etc.</t>
    </r>
  </si>
  <si>
    <r>
      <t xml:space="preserve">1. Manual input should not be allowed in the </t>
    </r>
    <r>
      <rPr>
        <b/>
        <sz val="11"/>
        <color theme="1"/>
        <rFont val="Calibri"/>
        <family val="2"/>
        <scheme val="minor"/>
      </rPr>
      <t>State</t>
    </r>
    <r>
      <rPr>
        <sz val="11"/>
        <color theme="1"/>
        <rFont val="Calibri"/>
        <family val="2"/>
        <scheme val="minor"/>
      </rPr>
      <t xml:space="preserve"> textbox.
2. The user should be able to select a </t>
    </r>
    <r>
      <rPr>
        <b/>
        <sz val="11"/>
        <color theme="1"/>
        <rFont val="Calibri"/>
        <family val="2"/>
        <scheme val="minor"/>
      </rPr>
      <t xml:space="preserve">State </t>
    </r>
    <r>
      <rPr>
        <sz val="11"/>
        <color theme="1"/>
        <rFont val="Calibri"/>
        <family val="2"/>
        <scheme val="minor"/>
      </rPr>
      <t>value</t>
    </r>
    <r>
      <rPr>
        <b/>
        <sz val="11"/>
        <color theme="1"/>
        <rFont val="Calibri"/>
        <family val="2"/>
        <scheme val="minor"/>
      </rPr>
      <t xml:space="preserve"> </t>
    </r>
    <r>
      <rPr>
        <sz val="11"/>
        <color theme="1"/>
        <rFont val="Calibri"/>
        <family val="2"/>
        <scheme val="minor"/>
      </rPr>
      <t>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</si>
  <si>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The functionality is working as expected.
2. </t>
    </r>
    <r>
      <rPr>
        <b/>
        <sz val="11"/>
        <color theme="1"/>
        <rFont val="Calibri"/>
        <family val="2"/>
        <scheme val="minor"/>
      </rPr>
      <t>State</t>
    </r>
    <r>
      <rPr>
        <sz val="11"/>
        <color theme="1"/>
        <rFont val="Calibri"/>
        <family val="2"/>
        <scheme val="minor"/>
      </rPr>
      <t xml:space="preserve"> can be selected only from the autosuggest list.</t>
    </r>
  </si>
  <si>
    <t>Branch_22</t>
  </si>
  <si>
    <r>
      <t xml:space="preserve">Validate the functionality of </t>
    </r>
    <r>
      <rPr>
        <b/>
        <sz val="11"/>
        <color theme="1"/>
        <rFont val="Calibri"/>
        <family val="2"/>
        <scheme val="minor"/>
      </rPr>
      <t>Pin Code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</si>
  <si>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Pin Code</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Pin Code</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</si>
  <si>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Pin Code</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t>
    </r>
  </si>
  <si>
    <r>
      <t xml:space="preserve">1. The </t>
    </r>
    <r>
      <rPr>
        <b/>
        <sz val="11"/>
        <color theme="1"/>
        <rFont val="Calibri"/>
        <family val="2"/>
        <scheme val="minor"/>
      </rPr>
      <t>Pin Code</t>
    </r>
    <r>
      <rPr>
        <sz val="11"/>
        <color theme="1"/>
        <rFont val="Calibri"/>
        <family val="2"/>
        <scheme val="minor"/>
      </rPr>
      <t xml:space="preserve"> textbox should accept numeric values only.
2. The textbox should not accept special characters, alphabetic characters, or only space values.
3. The textbox should accept exactly 6 digits and should not allow less than or more than 6 characters.
4. Record should not be modified if Pin Code textbox left blank (mandatory fields)</t>
    </r>
  </si>
  <si>
    <r>
      <t xml:space="preserve">1. The functionality is working as expected.
2. The </t>
    </r>
    <r>
      <rPr>
        <b/>
        <sz val="11"/>
        <color theme="1"/>
        <rFont val="Calibri"/>
        <family val="2"/>
        <scheme val="minor"/>
      </rPr>
      <t>Pin Code</t>
    </r>
    <r>
      <rPr>
        <sz val="11"/>
        <color theme="1"/>
        <rFont val="Calibri"/>
        <family val="2"/>
        <scheme val="minor"/>
      </rPr>
      <t xml:space="preserve"> textbox accepts only 6-digit numeric values.
3. Record is not modifying if Pin Code textbox left blank.</t>
    </r>
  </si>
  <si>
    <t>Branch_23</t>
  </si>
  <si>
    <r>
      <t xml:space="preserve">Validate the functionality of </t>
    </r>
    <r>
      <rPr>
        <b/>
        <sz val="11"/>
        <color theme="1"/>
        <rFont val="Calibri"/>
        <family val="2"/>
        <scheme val="minor"/>
      </rPr>
      <t>Country</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</si>
  <si>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Country</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Country</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</si>
  <si>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Country</t>
    </r>
    <r>
      <rPr>
        <b/>
        <sz val="11"/>
        <color theme="1"/>
        <rFont val="Calibri"/>
        <family val="2"/>
        <scheme val="minor"/>
      </rPr>
      <t xml:space="preserve">
 Valid Data: </t>
    </r>
    <r>
      <rPr>
        <sz val="11"/>
        <color theme="1"/>
        <rFont val="Calibri"/>
        <family val="2"/>
        <scheme val="minor"/>
      </rPr>
      <t xml:space="preserve">Alphabetic Value
</t>
    </r>
    <r>
      <rPr>
        <b/>
        <sz val="11"/>
        <color theme="1"/>
        <rFont val="Calibri"/>
        <family val="2"/>
        <scheme val="minor"/>
      </rPr>
      <t xml:space="preserve">Invalid Data: </t>
    </r>
    <r>
      <rPr>
        <sz val="11"/>
        <color theme="1"/>
        <rFont val="Calibri"/>
        <family val="2"/>
        <scheme val="minor"/>
      </rPr>
      <t>Only space value, special character value, numeric value</t>
    </r>
  </si>
  <si>
    <r>
      <t xml:space="preserve">1. The </t>
    </r>
    <r>
      <rPr>
        <b/>
        <sz val="11"/>
        <color theme="1"/>
        <rFont val="Calibri"/>
        <family val="2"/>
        <scheme val="minor"/>
      </rPr>
      <t>Country</t>
    </r>
    <r>
      <rPr>
        <sz val="11"/>
        <color theme="1"/>
        <rFont val="Calibri"/>
        <family val="2"/>
        <scheme val="minor"/>
      </rPr>
      <t xml:space="preserve"> textbox should accept </t>
    </r>
    <r>
      <rPr>
        <b/>
        <sz val="11"/>
        <color theme="1"/>
        <rFont val="Calibri"/>
        <family val="2"/>
        <scheme val="minor"/>
      </rPr>
      <t>Alphabetic</t>
    </r>
    <r>
      <rPr>
        <sz val="11"/>
        <color theme="1"/>
        <rFont val="Calibri"/>
        <family val="2"/>
        <scheme val="minor"/>
      </rPr>
      <t xml:space="preserve"> values.
2. The textbox should not accept special characters, only space values and numeric value
2. The textbox length should be limited to 30 characters.</t>
    </r>
  </si>
  <si>
    <r>
      <t xml:space="preserve">1. Functionality is not working as expected.
2. The </t>
    </r>
    <r>
      <rPr>
        <b/>
        <sz val="11"/>
        <color theme="1"/>
        <rFont val="Calibri"/>
        <family val="2"/>
        <scheme val="minor"/>
      </rPr>
      <t xml:space="preserve">Country </t>
    </r>
    <r>
      <rPr>
        <sz val="11"/>
        <color theme="1"/>
        <rFont val="Calibri"/>
        <family val="2"/>
        <scheme val="minor"/>
      </rPr>
      <t xml:space="preserve">textbox accepts:
 -&gt; Special character values
 -&gt; Only space value 
 -&gt; Alphabetic value
 -&gt; Numeric value
2. The 30-character limit is  implemented correctly.
</t>
    </r>
    <r>
      <rPr>
        <b/>
        <sz val="11"/>
        <color theme="1"/>
        <rFont val="Calibri"/>
        <family val="2"/>
        <scheme val="minor"/>
      </rPr>
      <t>Note: As per businees, Country textbox should accept only alphabetic value.</t>
    </r>
    <r>
      <rPr>
        <sz val="11"/>
        <color theme="1"/>
        <rFont val="Calibri"/>
        <family val="2"/>
        <scheme val="minor"/>
      </rPr>
      <t xml:space="preserve">
</t>
    </r>
  </si>
  <si>
    <t>Branch_24</t>
  </si>
  <si>
    <r>
      <t xml:space="preserve">Validate the functionality of </t>
    </r>
    <r>
      <rPr>
        <b/>
        <sz val="11"/>
        <color theme="1"/>
        <rFont val="Calibri"/>
        <family val="2"/>
        <scheme val="minor"/>
      </rPr>
      <t>Phone No</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</si>
  <si>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Phone No</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Phone No</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</si>
  <si>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Phone No</t>
    </r>
    <r>
      <rPr>
        <b/>
        <sz val="11"/>
        <color theme="1"/>
        <rFont val="Calibri"/>
        <family val="2"/>
        <scheme val="minor"/>
      </rPr>
      <t xml:space="preserve">
 Valid Data: Numeric value + Hyphen(-)</t>
    </r>
    <r>
      <rPr>
        <sz val="11"/>
        <color theme="1"/>
        <rFont val="Calibri"/>
        <family val="2"/>
        <scheme val="minor"/>
      </rPr>
      <t xml:space="preserve">
</t>
    </r>
    <r>
      <rPr>
        <b/>
        <sz val="11"/>
        <color theme="1"/>
        <rFont val="Calibri"/>
        <family val="2"/>
        <scheme val="minor"/>
      </rPr>
      <t xml:space="preserve">Invalid Data: </t>
    </r>
    <r>
      <rPr>
        <sz val="11"/>
        <color theme="1"/>
        <rFont val="Calibri"/>
        <family val="2"/>
        <scheme val="minor"/>
      </rPr>
      <t>Only space value, special character value, alphabetic value</t>
    </r>
  </si>
  <si>
    <r>
      <t>1. The</t>
    </r>
    <r>
      <rPr>
        <b/>
        <sz val="11"/>
        <color theme="1"/>
        <rFont val="Calibri"/>
        <family val="2"/>
        <scheme val="minor"/>
      </rPr>
      <t xml:space="preserve"> Phone No </t>
    </r>
    <r>
      <rPr>
        <sz val="11"/>
        <color theme="1"/>
        <rFont val="Calibri"/>
        <family val="2"/>
        <scheme val="minor"/>
      </rPr>
      <t>textbox should accept numeric values and hyphen (-) only.
2. The textbox should not accept alphabetic characters, only space values, or other special characters.
3. The textbox length should be restricted to 10 characters.</t>
    </r>
  </si>
  <si>
    <r>
      <t xml:space="preserve">1. The functionality is not working as expected.
2. The Phone No textbox behavior observed:
 -&gt; Allows dot (.) as a special character.
 -&gt; Hyphen (-) is not allowed during typing, but can be entered via copy-paste.
3. The 10-character length restriction is implemented correctly.
</t>
    </r>
    <r>
      <rPr>
        <b/>
        <sz val="11"/>
        <color theme="1"/>
        <rFont val="Calibri"/>
        <family val="2"/>
        <scheme val="minor"/>
      </rPr>
      <t>Note: As per businees, Phone No textbox should accept numeric value + Hyphen(-). The textbox length should be 12 characters.</t>
    </r>
  </si>
  <si>
    <t>Branch_25</t>
  </si>
  <si>
    <r>
      <t xml:space="preserve">Validate the functionality of </t>
    </r>
    <r>
      <rPr>
        <b/>
        <sz val="11"/>
        <color theme="1"/>
        <rFont val="Calibri"/>
        <family val="2"/>
        <scheme val="minor"/>
      </rPr>
      <t>Fax1</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</si>
  <si>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Fax1</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Fax1</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</si>
  <si>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Fax1</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t>
    </r>
  </si>
  <si>
    <r>
      <t xml:space="preserve">1. The </t>
    </r>
    <r>
      <rPr>
        <b/>
        <sz val="11"/>
        <color theme="1"/>
        <rFont val="Calibri"/>
        <family val="2"/>
        <scheme val="minor"/>
      </rPr>
      <t>Fax1</t>
    </r>
    <r>
      <rPr>
        <sz val="11"/>
        <color theme="1"/>
        <rFont val="Calibri"/>
        <family val="2"/>
        <scheme val="minor"/>
      </rPr>
      <t xml:space="preserve"> textbox should accept numeric values only.
2. The textbox should not accept alphabetic characters, special characters, or only space values.
3. The textbox length should be restricted to 15 characters.</t>
    </r>
  </si>
  <si>
    <t>Branch_26</t>
  </si>
  <si>
    <r>
      <t xml:space="preserve">Validate the functionality of </t>
    </r>
    <r>
      <rPr>
        <b/>
        <sz val="11"/>
        <color theme="1"/>
        <rFont val="Calibri"/>
        <family val="2"/>
        <scheme val="minor"/>
      </rPr>
      <t>Fax2</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</si>
  <si>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Fax2</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Fax2</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</si>
  <si>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Fax2</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t>
    </r>
  </si>
  <si>
    <r>
      <t xml:space="preserve">1. The </t>
    </r>
    <r>
      <rPr>
        <b/>
        <sz val="11"/>
        <color theme="1"/>
        <rFont val="Calibri"/>
        <family val="2"/>
        <scheme val="minor"/>
      </rPr>
      <t>Fax2</t>
    </r>
    <r>
      <rPr>
        <sz val="11"/>
        <color theme="1"/>
        <rFont val="Calibri"/>
        <family val="2"/>
        <scheme val="minor"/>
      </rPr>
      <t xml:space="preserve"> textbox should accept numeric values only.
2. The textbox should not accept alphabetic characters, special characters, or only space values.
3. The textbox length should be restricted to 15 characters.</t>
    </r>
  </si>
  <si>
    <t>Branch_27</t>
  </si>
  <si>
    <r>
      <t xml:space="preserve">Validate the functionality of </t>
    </r>
    <r>
      <rPr>
        <b/>
        <sz val="11"/>
        <color theme="1"/>
        <rFont val="Calibri"/>
        <family val="2"/>
        <scheme val="minor"/>
      </rPr>
      <t>Mobile</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</si>
  <si>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Mobile No</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and observe the system behaviour.
7. Re-select the same record from the left-side panel list.
8. Verify the updated </t>
    </r>
    <r>
      <rPr>
        <b/>
        <sz val="11"/>
        <color theme="1"/>
        <rFont val="Calibri"/>
        <family val="2"/>
        <scheme val="minor"/>
      </rPr>
      <t>Mobile No</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</si>
  <si>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Mobile No</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special character value, alphabetic value</t>
    </r>
  </si>
  <si>
    <r>
      <t xml:space="preserve">1. The </t>
    </r>
    <r>
      <rPr>
        <b/>
        <sz val="11"/>
        <color theme="1"/>
        <rFont val="Calibri"/>
        <family val="2"/>
        <scheme val="minor"/>
      </rPr>
      <t>Mobile No</t>
    </r>
    <r>
      <rPr>
        <sz val="11"/>
        <color theme="1"/>
        <rFont val="Calibri"/>
        <family val="2"/>
        <scheme val="minor"/>
      </rPr>
      <t xml:space="preserve"> textbox should accept numeric values only.
2. The textbox should not accept alphabetic characters, special characters, or only space values.
3. The textbox length should be restricted to 10 characters.</t>
    </r>
  </si>
  <si>
    <r>
      <t xml:space="preserve">1. The functionality is not working as expected.
</t>
    </r>
    <r>
      <rPr>
        <b/>
        <sz val="11"/>
        <color theme="1"/>
        <rFont val="Calibri"/>
        <family val="2"/>
        <scheme val="minor"/>
      </rPr>
      <t>2. The Fax1 textbox accepts numeric values and Dot(.).</t>
    </r>
    <r>
      <rPr>
        <sz val="11"/>
        <color theme="1"/>
        <rFont val="Calibri"/>
        <family val="2"/>
        <scheme val="minor"/>
      </rPr>
      <t xml:space="preserve">
3. The 15-character length restriction is implemented correctly.
Note: As per business Rule, Fax1 textbox should accept only numeric value.</t>
    </r>
  </si>
  <si>
    <r>
      <t xml:space="preserve">1. The functionality is not working as expected.
</t>
    </r>
    <r>
      <rPr>
        <b/>
        <sz val="11"/>
        <color theme="1"/>
        <rFont val="Calibri"/>
        <family val="2"/>
        <scheme val="minor"/>
      </rPr>
      <t>2. The Fax2 textbox accepts numeric values and Dot(.).</t>
    </r>
    <r>
      <rPr>
        <sz val="11"/>
        <color theme="1"/>
        <rFont val="Calibri"/>
        <family val="2"/>
        <scheme val="minor"/>
      </rPr>
      <t xml:space="preserve">
3. The 15-character length restriction is implemented correctly.
</t>
    </r>
    <r>
      <rPr>
        <b/>
        <sz val="11"/>
        <color theme="1"/>
        <rFont val="Calibri"/>
        <family val="2"/>
        <scheme val="minor"/>
      </rPr>
      <t>Note: As per business Rule, Fax2 textbox should accept only numeric value.</t>
    </r>
  </si>
  <si>
    <r>
      <t xml:space="preserve">1. The </t>
    </r>
    <r>
      <rPr>
        <b/>
        <sz val="11"/>
        <color theme="1"/>
        <rFont val="Calibri"/>
        <family val="2"/>
        <scheme val="minor"/>
      </rPr>
      <t>Mobile No</t>
    </r>
    <r>
      <rPr>
        <sz val="11"/>
        <color theme="1"/>
        <rFont val="Calibri"/>
        <family val="2"/>
        <scheme val="minor"/>
      </rPr>
      <t xml:space="preserve"> textbox accepts numeric values.
2. The textbox also accepts</t>
    </r>
    <r>
      <rPr>
        <b/>
        <sz val="11"/>
        <color theme="1"/>
        <rFont val="Calibri"/>
        <family val="2"/>
        <scheme val="minor"/>
      </rPr>
      <t xml:space="preserve"> dot (.) as a special character.</t>
    </r>
    <r>
      <rPr>
        <sz val="11"/>
        <color theme="1"/>
        <rFont val="Calibri"/>
        <family val="2"/>
        <scheme val="minor"/>
      </rPr>
      <t xml:space="preserve">
3. The textbox restricts all other invalid inputs, including alphabetic characters, other special characters, and only space values.
4. The 10-character length restriction is implemented correctly.
</t>
    </r>
    <r>
      <rPr>
        <b/>
        <sz val="11"/>
        <color theme="1"/>
        <rFont val="Calibri"/>
        <family val="2"/>
        <scheme val="minor"/>
      </rPr>
      <t>Note: As per business Rule, Mobile No textbox should accept only numeric value.</t>
    </r>
  </si>
  <si>
    <t>Branch_28</t>
  </si>
  <si>
    <r>
      <t xml:space="preserve">Validate the functionality of </t>
    </r>
    <r>
      <rPr>
        <b/>
        <sz val="11"/>
        <color theme="1"/>
        <rFont val="Calibri"/>
        <family val="2"/>
        <scheme val="minor"/>
      </rPr>
      <t>Email ID1</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</si>
  <si>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t>
    </r>
    <r>
      <rPr>
        <b/>
        <sz val="11"/>
        <color theme="1"/>
        <rFont val="Calibri"/>
        <family val="2"/>
        <scheme val="minor"/>
      </rPr>
      <t xml:space="preserve"> Email ID1</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 xml:space="preserve"> Email ID1</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</si>
  <si>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Email ID1</t>
    </r>
    <r>
      <rPr>
        <b/>
        <sz val="11"/>
        <color theme="1"/>
        <rFont val="Calibri"/>
        <family val="2"/>
        <scheme val="minor"/>
      </rPr>
      <t xml:space="preserve">
 Valid data - 
 -&gt; </t>
    </r>
    <r>
      <rPr>
        <sz val="11"/>
        <color theme="1"/>
        <rFont val="Calibri"/>
        <family val="2"/>
        <scheme val="minor"/>
      </rPr>
      <t xml:space="preserve">Test@gmail.com
 -&gt; Test.test@gmail.com
 -&gt; Test@exaple.co.in
 -&gt; test@example.org
Invalid data:
 -&gt; test.com
 -&gt; Test@@gmail.com
 -&gt; test@gmail..com
</t>
    </r>
  </si>
  <si>
    <r>
      <t xml:space="preserve">1. Functionality is working as expected 
2. </t>
    </r>
    <r>
      <rPr>
        <b/>
        <sz val="11"/>
        <color theme="1"/>
        <rFont val="Calibri"/>
        <family val="2"/>
        <scheme val="minor"/>
      </rPr>
      <t>Email ID1</t>
    </r>
    <r>
      <rPr>
        <sz val="11"/>
        <color theme="1"/>
        <rFont val="Calibri"/>
        <family val="2"/>
        <scheme val="minor"/>
      </rPr>
      <t xml:space="preserve"> is not accepting invalid Email Id.
3. </t>
    </r>
    <r>
      <rPr>
        <b/>
        <sz val="11"/>
        <color theme="1"/>
        <rFont val="Calibri"/>
        <family val="2"/>
        <scheme val="minor"/>
      </rPr>
      <t>Email ID1</t>
    </r>
    <r>
      <rPr>
        <sz val="11"/>
        <color theme="1"/>
        <rFont val="Calibri"/>
        <family val="2"/>
        <scheme val="minor"/>
      </rPr>
      <t xml:space="preserve"> textbox 35 character limit is not implemented properly. It is accepting more than 35 character value. (Accepting 50 character )</t>
    </r>
  </si>
  <si>
    <t>Branch_29</t>
  </si>
  <si>
    <r>
      <t xml:space="preserve">Validate the functionality of </t>
    </r>
    <r>
      <rPr>
        <b/>
        <sz val="11"/>
        <color theme="1"/>
        <rFont val="Calibri"/>
        <family val="2"/>
        <scheme val="minor"/>
      </rPr>
      <t>Email ID2</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</si>
  <si>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t>
    </r>
    <r>
      <rPr>
        <b/>
        <sz val="11"/>
        <color theme="1"/>
        <rFont val="Calibri"/>
        <family val="2"/>
        <scheme val="minor"/>
      </rPr>
      <t xml:space="preserve"> Email ID2</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 xml:space="preserve"> Email ID2</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</si>
  <si>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Email ID2</t>
    </r>
    <r>
      <rPr>
        <b/>
        <sz val="11"/>
        <color theme="1"/>
        <rFont val="Calibri"/>
        <family val="2"/>
        <scheme val="minor"/>
      </rPr>
      <t xml:space="preserve">
 Valid data - 
 -&gt; </t>
    </r>
    <r>
      <rPr>
        <sz val="11"/>
        <color theme="1"/>
        <rFont val="Calibri"/>
        <family val="2"/>
        <scheme val="minor"/>
      </rPr>
      <t xml:space="preserve">Test@gmail.com
 -&gt; Test.test@gmail.com
 -&gt; Test@exaple.co.in
 -&gt; test@example.org
Invalid data:
 -&gt; test.com
 -&gt; Test@@gmail.com
 -&gt; test@gmail..com
</t>
    </r>
  </si>
  <si>
    <r>
      <t xml:space="preserve">1. </t>
    </r>
    <r>
      <rPr>
        <b/>
        <sz val="11"/>
        <color theme="1"/>
        <rFont val="Calibri"/>
        <family val="2"/>
        <scheme val="minor"/>
      </rPr>
      <t>Email ID2</t>
    </r>
    <r>
      <rPr>
        <sz val="11"/>
        <color theme="1"/>
        <rFont val="Calibri"/>
        <family val="2"/>
        <scheme val="minor"/>
      </rPr>
      <t xml:space="preserve"> textbox should accept valid Email id format and it should not be accept invalid email id foamt.
2. The textbox length should be limited to 35 characters.</t>
    </r>
  </si>
  <si>
    <r>
      <t xml:space="preserve">1. Functionality is working as expected 
2. </t>
    </r>
    <r>
      <rPr>
        <b/>
        <sz val="11"/>
        <color theme="1"/>
        <rFont val="Calibri"/>
        <family val="2"/>
        <scheme val="minor"/>
      </rPr>
      <t>Email ID2</t>
    </r>
    <r>
      <rPr>
        <sz val="11"/>
        <color theme="1"/>
        <rFont val="Calibri"/>
        <family val="2"/>
        <scheme val="minor"/>
      </rPr>
      <t xml:space="preserve"> is not accepting invalid Email Id.
3. </t>
    </r>
    <r>
      <rPr>
        <b/>
        <sz val="11"/>
        <color theme="1"/>
        <rFont val="Calibri"/>
        <family val="2"/>
        <scheme val="minor"/>
      </rPr>
      <t>Email ID2</t>
    </r>
    <r>
      <rPr>
        <sz val="11"/>
        <color theme="1"/>
        <rFont val="Calibri"/>
        <family val="2"/>
        <scheme val="minor"/>
      </rPr>
      <t xml:space="preserve"> textbox 35 character limit is not implemented properly. It is accepting more than 35 character value. (Accepting 50 character )</t>
    </r>
  </si>
  <si>
    <t>Branch_30</t>
  </si>
  <si>
    <r>
      <t xml:space="preserve">Validate the functionality of </t>
    </r>
    <r>
      <rPr>
        <b/>
        <sz val="11"/>
        <color theme="1"/>
        <rFont val="Calibri"/>
        <family val="2"/>
        <scheme val="minor"/>
      </rPr>
      <t>Website</t>
    </r>
    <r>
      <rPr>
        <sz val="11"/>
        <color theme="1"/>
        <rFont val="Calibri"/>
        <family val="2"/>
        <scheme val="minor"/>
      </rPr>
      <t xml:space="preserve"> textbox in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</si>
  <si>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t>
    </r>
    <r>
      <rPr>
        <b/>
        <sz val="11"/>
        <color theme="1"/>
        <rFont val="Calibri"/>
        <family val="2"/>
        <scheme val="minor"/>
      </rPr>
      <t xml:space="preserve"> Website</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 xml:space="preserve"> Website</t>
    </r>
    <r>
      <rPr>
        <sz val="11"/>
        <color theme="1"/>
        <rFont val="Calibri"/>
        <family val="2"/>
        <scheme val="minor"/>
      </rPr>
      <t xml:space="preserve">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</si>
  <si>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Website
 Valid data - 
 -&gt; </t>
    </r>
    <r>
      <rPr>
        <sz val="11"/>
        <color theme="1"/>
        <rFont val="Calibri"/>
        <family val="2"/>
        <scheme val="minor"/>
      </rPr>
      <t xml:space="preserve">www.example.com
 -&gt; https://www.example.com
 -&gt; http://example.com
 -&gt; https://subdomain.example.co.in
Invalid data:
 -&gt; 3421312
 -&gt; @#$@#$@#
 -&gt; asdasdhas
</t>
    </r>
  </si>
  <si>
    <r>
      <t xml:space="preserve">1. The Website textbox should valid URLs.
2. Input with special characters, missing domain, blank or space-only values should trigger a validation error or popup.
3. The system should display a message such as:
</t>
    </r>
    <r>
      <rPr>
        <b/>
        <sz val="11"/>
        <color theme="1"/>
        <rFont val="Calibri"/>
        <family val="2"/>
        <scheme val="minor"/>
      </rPr>
      <t>“Please enter a valid Website URL.”</t>
    </r>
    <r>
      <rPr>
        <sz val="11"/>
        <color theme="1"/>
        <rFont val="Calibri"/>
        <family val="2"/>
        <scheme val="minor"/>
      </rPr>
      <t xml:space="preserve">
4. The textbox length should be limited to 50 characters.</t>
    </r>
  </si>
  <si>
    <r>
      <t xml:space="preserve">1. Functionality is not working as expected 
2. Website textbox is  accepting invalid  value such as
 -&gt; special character 
 -&gt; Only space 
 -&gt; Only Numeric value
 -&gt; Only Alphabetic value  
3. The 50-character length restriction is implemented correctly.
</t>
    </r>
    <r>
      <rPr>
        <b/>
        <sz val="11"/>
        <color theme="1"/>
        <rFont val="Calibri"/>
        <family val="2"/>
        <scheme val="minor"/>
      </rPr>
      <t>Note: Website textbox reference can be used as per Bank BRO Page.</t>
    </r>
  </si>
  <si>
    <t>Branch_31</t>
  </si>
  <si>
    <r>
      <t xml:space="preserve">Validate the functionality of </t>
    </r>
    <r>
      <rPr>
        <b/>
        <sz val="11"/>
        <color theme="1"/>
        <rFont val="Calibri"/>
        <family val="2"/>
        <scheme val="minor"/>
      </rPr>
      <t>GST State</t>
    </r>
    <r>
      <rPr>
        <sz val="11"/>
        <color theme="1"/>
        <rFont val="Calibri"/>
        <family val="2"/>
        <scheme val="minor"/>
      </rPr>
      <t xml:space="preserve"> textbox in </t>
    </r>
    <r>
      <rPr>
        <b/>
        <sz val="11"/>
        <color theme="1"/>
        <rFont val="Calibri"/>
        <family val="2"/>
        <scheme val="minor"/>
      </rPr>
      <t>Branch Details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</si>
  <si>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 xml:space="preserve">Masters → Create Branch
</t>
    </r>
    <r>
      <rPr>
        <sz val="11"/>
        <color theme="1"/>
        <rFont val="Calibri"/>
        <family val="2"/>
        <scheme val="minor"/>
      </rPr>
      <t>4. Select any existing record from the left-side panel list.
4.  select a value from the dropdown list and oberve the system behaviour.
5. Verify whether the textbox (beside GST State) 
 -&gt; Auto-populates the correct code
 -&gt; Is non-editable</t>
    </r>
  </si>
  <si>
    <r>
      <t>Textbox - GST State</t>
    </r>
    <r>
      <rPr>
        <b/>
        <sz val="11"/>
        <color theme="1"/>
        <rFont val="Calibri"/>
        <family val="2"/>
        <scheme val="minor"/>
      </rPr>
      <t xml:space="preserve">
Manual Inputs:</t>
    </r>
    <r>
      <rPr>
        <sz val="11"/>
        <color theme="1"/>
        <rFont val="Calibri"/>
        <family val="2"/>
        <scheme val="minor"/>
      </rPr>
      <t xml:space="preserve">
Space, special characters, numeric values, alphabets etc.
</t>
    </r>
    <r>
      <rPr>
        <b/>
        <sz val="11"/>
        <color theme="1"/>
        <rFont val="Calibri"/>
        <family val="2"/>
        <scheme val="minor"/>
      </rPr>
      <t xml:space="preserve">Dropdown Value:
</t>
    </r>
    <r>
      <rPr>
        <sz val="11"/>
        <color theme="1"/>
        <rFont val="Calibri"/>
        <family val="2"/>
        <scheme val="minor"/>
      </rPr>
      <t xml:space="preserve"> -&gt; Maharastra
 -&gt; Kerala
</t>
    </r>
  </si>
  <si>
    <r>
      <t xml:space="preserve">1. The GST State textbox should not accept manual input of any kind.
2. Only values selected from the dropdown should be allowed.
3. If the user types any invalid or non-suggested value, the textbox should auto-clear.
4. Upon selecting a valid GST State:
 -&gt; The </t>
    </r>
    <r>
      <rPr>
        <b/>
        <sz val="11"/>
        <color theme="1"/>
        <rFont val="Calibri"/>
        <family val="2"/>
        <scheme val="minor"/>
      </rPr>
      <t>GST State beside</t>
    </r>
    <r>
      <rPr>
        <sz val="11"/>
        <color theme="1"/>
        <rFont val="Calibri"/>
        <family val="2"/>
        <scheme val="minor"/>
      </rPr>
      <t xml:space="preserve"> textbox must auto-populate with the correct code.
5. The </t>
    </r>
    <r>
      <rPr>
        <b/>
        <sz val="11"/>
        <color theme="1"/>
        <rFont val="Calibri"/>
        <family val="2"/>
        <scheme val="minor"/>
      </rPr>
      <t>GST State beside</t>
    </r>
    <r>
      <rPr>
        <sz val="11"/>
        <color theme="1"/>
        <rFont val="Calibri"/>
        <family val="2"/>
        <scheme val="minor"/>
      </rPr>
      <t xml:space="preserve"> textbox must be non-editable</t>
    </r>
  </si>
  <si>
    <r>
      <t xml:space="preserve">1. The functionality is working as expected
2. </t>
    </r>
    <r>
      <rPr>
        <b/>
        <sz val="11"/>
        <color theme="1"/>
        <rFont val="Calibri"/>
        <family val="2"/>
        <scheme val="minor"/>
      </rPr>
      <t>GST State</t>
    </r>
    <r>
      <rPr>
        <sz val="11"/>
        <color theme="1"/>
        <rFont val="Calibri"/>
        <family val="2"/>
        <scheme val="minor"/>
      </rPr>
      <t xml:space="preserve"> textbox is not accepting any manual input.
3. </t>
    </r>
    <r>
      <rPr>
        <b/>
        <sz val="11"/>
        <color theme="1"/>
        <rFont val="Calibri"/>
        <family val="2"/>
        <scheme val="minor"/>
      </rPr>
      <t>GST State</t>
    </r>
    <r>
      <rPr>
        <sz val="11"/>
        <color theme="1"/>
        <rFont val="Calibri"/>
        <family val="2"/>
        <scheme val="minor"/>
      </rPr>
      <t xml:space="preserve"> value can be selected only from the dropdown
4.  </t>
    </r>
    <r>
      <rPr>
        <b/>
        <sz val="11"/>
        <color theme="1"/>
        <rFont val="Calibri"/>
        <family val="2"/>
        <scheme val="minor"/>
      </rPr>
      <t>GST State beside textbox</t>
    </r>
    <r>
      <rPr>
        <sz val="11"/>
        <color theme="1"/>
        <rFont val="Calibri"/>
        <family val="2"/>
        <scheme val="minor"/>
      </rPr>
      <t xml:space="preserve"> is not editable at any condition.
</t>
    </r>
  </si>
  <si>
    <t>Branch_32</t>
  </si>
  <si>
    <r>
      <t xml:space="preserve">Validate the functionality of </t>
    </r>
    <r>
      <rPr>
        <b/>
        <sz val="11"/>
        <color theme="1"/>
        <rFont val="Calibri"/>
        <family val="2"/>
        <scheme val="minor"/>
      </rPr>
      <t>GSTIN No</t>
    </r>
    <r>
      <rPr>
        <sz val="11"/>
        <color theme="1"/>
        <rFont val="Calibri"/>
        <family val="2"/>
        <scheme val="minor"/>
      </rPr>
      <t xml:space="preserve"> textbox in </t>
    </r>
    <r>
      <rPr>
        <b/>
        <sz val="11"/>
        <color theme="1"/>
        <rFont val="Calibri"/>
        <family val="2"/>
        <scheme val="minor"/>
      </rPr>
      <t>Branch Details</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</si>
  <si>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GSTIN No
 Valid data - 
 -&gt; </t>
    </r>
    <r>
      <rPr>
        <sz val="11"/>
        <color theme="1"/>
        <rFont val="Calibri"/>
        <family val="2"/>
        <scheme val="minor"/>
      </rPr>
      <t xml:space="preserve">First 2 Character - Numeric value
 -&gt; 3rd to 7th Character - Alphabetic value
 -&gt; 8th to 11th character - Numeric value
 -&gt; 12th character - Alphabetic value
 -&gt; 13th character - Alphanumeric value
 -&gt; 14th character - Default </t>
    </r>
    <r>
      <rPr>
        <b/>
        <sz val="11"/>
        <color theme="1"/>
        <rFont val="Calibri"/>
        <family val="2"/>
        <scheme val="minor"/>
      </rPr>
      <t>'Z'</t>
    </r>
    <r>
      <rPr>
        <sz val="11"/>
        <color theme="1"/>
        <rFont val="Calibri"/>
        <family val="2"/>
        <scheme val="minor"/>
      </rPr>
      <t xml:space="preserve">
 -&gt; 15th character - Alphanumeric value
Invalid data - 
 -&gt; @$@#$@#
 -&gt; 21423423423
 -&gt; fasdfhasjfkhsdj
</t>
    </r>
  </si>
  <si>
    <r>
      <t xml:space="preserve">1. The </t>
    </r>
    <r>
      <rPr>
        <b/>
        <sz val="11"/>
        <color theme="1"/>
        <rFont val="Calibri"/>
        <family val="2"/>
        <scheme val="minor"/>
      </rPr>
      <t xml:space="preserve">GSTIN No </t>
    </r>
    <r>
      <rPr>
        <sz val="11"/>
        <color theme="1"/>
        <rFont val="Calibri"/>
        <family val="2"/>
        <scheme val="minor"/>
      </rPr>
      <t xml:space="preserve">textbox should accept exactly 15 characters only.
2. Characters should be validated position-wise as per </t>
    </r>
    <r>
      <rPr>
        <b/>
        <sz val="11"/>
        <color theme="1"/>
        <rFont val="Calibri"/>
        <family val="2"/>
        <scheme val="minor"/>
      </rPr>
      <t>GSTIN</t>
    </r>
    <r>
      <rPr>
        <sz val="11"/>
        <color theme="1"/>
        <rFont val="Calibri"/>
        <family val="2"/>
        <scheme val="minor"/>
      </rPr>
      <t xml:space="preserve"> format.
3. The textbox should not accept special characters, lowercase letters, or incorrect character sequences.
4. The 14th character must always be ‘Z’.
5. An appropriate validation message should be displayed for invalid GSTIN values.</t>
    </r>
  </si>
  <si>
    <t>Branch_33</t>
  </si>
  <si>
    <r>
      <t xml:space="preserve">Validate the functionality of </t>
    </r>
    <r>
      <rPr>
        <b/>
        <sz val="11"/>
        <color theme="1"/>
        <rFont val="Calibri"/>
        <family val="2"/>
        <scheme val="minor"/>
      </rPr>
      <t>'Zone'</t>
    </r>
    <r>
      <rPr>
        <sz val="11"/>
        <color theme="1"/>
        <rFont val="Calibri"/>
        <family val="2"/>
        <scheme val="minor"/>
      </rPr>
      <t xml:space="preserve"> dropdown textbpx in the </t>
    </r>
    <r>
      <rPr>
        <b/>
        <sz val="11"/>
        <color theme="1"/>
        <rFont val="Calibri"/>
        <family val="2"/>
        <scheme val="minor"/>
      </rPr>
      <t xml:space="preserve">Branch Details </t>
    </r>
    <r>
      <rPr>
        <sz val="11"/>
        <color theme="1"/>
        <rFont val="Calibri"/>
        <family val="2"/>
        <scheme val="minor"/>
      </rPr>
      <t>page.</t>
    </r>
  </si>
  <si>
    <r>
      <t xml:space="preserve">1. Open the application and log in 
2. Select Branch: AHMEDABAD, Export Type: Export Sea, FY 2025–2026, click OK.
3. Navigate to </t>
    </r>
    <r>
      <rPr>
        <b/>
        <sz val="11"/>
        <color theme="1"/>
        <rFont val="Calibri"/>
        <family val="2"/>
        <scheme val="minor"/>
      </rPr>
      <t>Masters → Create Branch
4</t>
    </r>
    <r>
      <rPr>
        <sz val="11"/>
        <color theme="1"/>
        <rFont val="Calibri"/>
        <family val="2"/>
        <scheme val="minor"/>
      </rPr>
      <t xml:space="preserve">. Select any existing record from the left-side panel list.
5.  select </t>
    </r>
    <r>
      <rPr>
        <b/>
        <sz val="11"/>
        <color theme="1"/>
        <rFont val="Calibri"/>
        <family val="2"/>
        <scheme val="minor"/>
      </rPr>
      <t>Zone</t>
    </r>
    <r>
      <rPr>
        <sz val="11"/>
        <color theme="1"/>
        <rFont val="Calibri"/>
        <family val="2"/>
        <scheme val="minor"/>
      </rPr>
      <t xml:space="preserve"> value from the dropdown list and oberve the system behaviour.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Zone</t>
    </r>
    <r>
      <rPr>
        <sz val="11"/>
        <color theme="1"/>
        <rFont val="Calibri"/>
        <family val="2"/>
        <scheme val="minor"/>
      </rPr>
      <t xml:space="preserve"> value.</t>
    </r>
  </si>
  <si>
    <r>
      <t xml:space="preserve">Textbox - </t>
    </r>
    <r>
      <rPr>
        <b/>
        <sz val="11"/>
        <color theme="1"/>
        <rFont val="Calibri"/>
        <family val="2"/>
        <scheme val="minor"/>
      </rPr>
      <t>Zone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-&gt; DG
 -&gt; AAA</t>
    </r>
  </si>
  <si>
    <r>
      <t xml:space="preserve">1. </t>
    </r>
    <r>
      <rPr>
        <b/>
        <sz val="11"/>
        <color theme="1"/>
        <rFont val="Calibri"/>
        <family val="2"/>
        <scheme val="minor"/>
      </rPr>
      <t xml:space="preserve">Zone </t>
    </r>
    <r>
      <rPr>
        <sz val="11"/>
        <color theme="1"/>
        <rFont val="Calibri"/>
        <family val="2"/>
        <scheme val="minor"/>
      </rPr>
      <t xml:space="preserve">textbox should not accept any manual input.
2. User must be able to select </t>
    </r>
    <r>
      <rPr>
        <b/>
        <sz val="11"/>
        <color theme="1"/>
        <rFont val="Calibri"/>
        <family val="2"/>
        <scheme val="minor"/>
      </rPr>
      <t xml:space="preserve">Zone </t>
    </r>
    <r>
      <rPr>
        <sz val="11"/>
        <color theme="1"/>
        <rFont val="Calibri"/>
        <family val="2"/>
        <scheme val="minor"/>
      </rPr>
      <t>values only from the dropdown list.
3. If the user types any invalid value or characters, the textbox should auto-clear the input.</t>
    </r>
  </si>
  <si>
    <t>Branch_34</t>
  </si>
  <si>
    <r>
      <t xml:space="preserve">Validate the functionality of </t>
    </r>
    <r>
      <rPr>
        <b/>
        <sz val="11"/>
        <color theme="1"/>
        <rFont val="Calibri"/>
        <family val="2"/>
        <scheme val="minor"/>
      </rPr>
      <t>CHA AEO No.</t>
    </r>
    <r>
      <rPr>
        <sz val="11"/>
        <color theme="1"/>
        <rFont val="Calibri"/>
        <family val="2"/>
        <scheme val="minor"/>
      </rPr>
      <t xml:space="preserve"> textbox in </t>
    </r>
    <r>
      <rPr>
        <b/>
        <sz val="11"/>
        <color theme="1"/>
        <rFont val="Calibri"/>
        <family val="2"/>
        <scheme val="minor"/>
      </rPr>
      <t>Branch Details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</si>
  <si>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CHA AEO No.</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CHA AEO No.</t>
    </r>
    <r>
      <rPr>
        <sz val="11"/>
        <color theme="1"/>
        <rFont val="Calibri"/>
        <family val="2"/>
        <scheme val="minor"/>
      </rPr>
      <t xml:space="preserve"> value.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</si>
  <si>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Modify the </t>
    </r>
    <r>
      <rPr>
        <b/>
        <sz val="11"/>
        <color theme="1"/>
        <rFont val="Calibri"/>
        <family val="2"/>
        <scheme val="minor"/>
      </rPr>
      <t>GSTIN No</t>
    </r>
    <r>
      <rPr>
        <sz val="11"/>
        <color theme="1"/>
        <rFont val="Calibri"/>
        <family val="2"/>
        <scheme val="minor"/>
      </rPr>
      <t xml:space="preserve"> textbox using valid and invalid data.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updated </t>
    </r>
    <r>
      <rPr>
        <b/>
        <sz val="11"/>
        <color theme="1"/>
        <rFont val="Calibri"/>
        <family val="2"/>
        <scheme val="minor"/>
      </rPr>
      <t>GSTIN No</t>
    </r>
    <r>
      <rPr>
        <sz val="11"/>
        <color theme="1"/>
        <rFont val="Calibri"/>
        <family val="2"/>
        <scheme val="minor"/>
      </rPr>
      <t xml:space="preserve"> value.</t>
    </r>
  </si>
  <si>
    <t>Branch_35</t>
  </si>
  <si>
    <r>
      <t xml:space="preserve">Validate the functionality of </t>
    </r>
    <r>
      <rPr>
        <b/>
        <sz val="11"/>
        <color theme="1"/>
        <rFont val="Calibri"/>
        <family val="2"/>
        <scheme val="minor"/>
      </rPr>
      <t>Is SSL</t>
    </r>
    <r>
      <rPr>
        <sz val="11"/>
        <color theme="1"/>
        <rFont val="Calibri"/>
        <family val="2"/>
        <scheme val="minor"/>
      </rPr>
      <t xml:space="preserve"> checkbox in </t>
    </r>
    <r>
      <rPr>
        <b/>
        <sz val="11"/>
        <color theme="1"/>
        <rFont val="Calibri"/>
        <family val="2"/>
        <scheme val="minor"/>
      </rPr>
      <t>Branch Details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</si>
  <si>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
5. Select and deselect the </t>
    </r>
    <r>
      <rPr>
        <b/>
        <sz val="11"/>
        <color theme="1"/>
        <rFont val="Calibri"/>
        <family val="2"/>
        <scheme val="minor"/>
      </rPr>
      <t>Is SSL</t>
    </r>
    <r>
      <rPr>
        <sz val="11"/>
        <color theme="1"/>
        <rFont val="Calibri"/>
        <family val="2"/>
        <scheme val="minor"/>
      </rPr>
      <t xml:space="preserve"> checkbox 
6. Click on the </t>
    </r>
    <r>
      <rPr>
        <b/>
        <sz val="11"/>
        <color theme="1"/>
        <rFont val="Calibri"/>
        <family val="2"/>
        <scheme val="minor"/>
      </rPr>
      <t>Modify</t>
    </r>
    <r>
      <rPr>
        <sz val="11"/>
        <color theme="1"/>
        <rFont val="Calibri"/>
        <family val="2"/>
        <scheme val="minor"/>
      </rPr>
      <t xml:space="preserve"> button.
7. Re-select the same record from the left-side panel list.
8. Verify the </t>
    </r>
    <r>
      <rPr>
        <b/>
        <sz val="11"/>
        <color theme="1"/>
        <rFont val="Calibri"/>
        <family val="2"/>
        <scheme val="minor"/>
      </rPr>
      <t>Is SSL</t>
    </r>
    <r>
      <rPr>
        <sz val="11"/>
        <color theme="1"/>
        <rFont val="Calibri"/>
        <family val="2"/>
        <scheme val="minor"/>
      </rPr>
      <t xml:space="preserve"> checkbox behaviour.</t>
    </r>
  </si>
  <si>
    <r>
      <t xml:space="preserve">Checkbox - Is SSL
</t>
    </r>
    <r>
      <rPr>
        <b/>
        <sz val="11"/>
        <color theme="1"/>
        <rFont val="Calibri"/>
        <family val="2"/>
        <scheme val="minor"/>
      </rPr>
      <t xml:space="preserve">
</t>
    </r>
  </si>
  <si>
    <r>
      <rPr>
        <b/>
        <sz val="11"/>
        <color theme="1"/>
        <rFont val="Calibri"/>
        <family val="2"/>
        <scheme val="minor"/>
      </rPr>
      <t xml:space="preserve">Is SSL </t>
    </r>
    <r>
      <rPr>
        <sz val="11"/>
        <color theme="1"/>
        <rFont val="Calibri"/>
        <family val="2"/>
        <scheme val="minor"/>
      </rPr>
      <t>checkbox should be selectable and deselectable as per requirement.</t>
    </r>
  </si>
  <si>
    <r>
      <t xml:space="preserve">1. The </t>
    </r>
    <r>
      <rPr>
        <b/>
        <sz val="11"/>
        <color theme="1"/>
        <rFont val="Calibri"/>
        <family val="2"/>
        <scheme val="minor"/>
      </rPr>
      <t>GSTIN No</t>
    </r>
    <r>
      <rPr>
        <sz val="11"/>
        <color theme="1"/>
        <rFont val="Calibri"/>
        <family val="2"/>
        <scheme val="minor"/>
      </rPr>
      <t xml:space="preserve"> textbox is  working as expected.
2. The textbox accepts valid GSTIN values as per the defined 15-character, position-wise format.</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</si>
  <si>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CHA AEO No.</t>
    </r>
    <r>
      <rPr>
        <b/>
        <sz val="11"/>
        <color theme="1"/>
        <rFont val="Calibri"/>
        <family val="2"/>
        <scheme val="minor"/>
      </rPr>
      <t xml:space="preserve">
 Valid data - 
</t>
    </r>
    <r>
      <rPr>
        <sz val="11"/>
        <color theme="1"/>
        <rFont val="Calibri"/>
        <family val="2"/>
        <scheme val="minor"/>
      </rPr>
      <t xml:space="preserve"> -&gt;</t>
    </r>
    <r>
      <rPr>
        <b/>
        <sz val="11"/>
        <color theme="1"/>
        <rFont val="Calibri"/>
        <family val="2"/>
        <scheme val="minor"/>
      </rPr>
      <t xml:space="preserve"> </t>
    </r>
    <r>
      <rPr>
        <sz val="11"/>
        <color theme="1"/>
        <rFont val="Calibri"/>
        <family val="2"/>
        <scheme val="minor"/>
      </rPr>
      <t xml:space="preserve">Alphanumeric value
Invalid data:
 -&gt;  Only Space value
 -&gt;  Special character value
</t>
    </r>
  </si>
  <si>
    <r>
      <t xml:space="preserve">1. The </t>
    </r>
    <r>
      <rPr>
        <b/>
        <sz val="11"/>
        <color theme="1"/>
        <rFont val="Calibri"/>
        <family val="2"/>
        <scheme val="minor"/>
      </rPr>
      <t>CHA AEO No.</t>
    </r>
    <r>
      <rPr>
        <sz val="11"/>
        <color theme="1"/>
        <rFont val="Calibri"/>
        <family val="2"/>
        <scheme val="minor"/>
      </rPr>
      <t xml:space="preserve"> textbox should accept alphabetic values with space.
2. </t>
    </r>
    <r>
      <rPr>
        <b/>
        <sz val="11"/>
        <color theme="1"/>
        <rFont val="Calibri"/>
        <family val="2"/>
        <scheme val="minor"/>
      </rPr>
      <t>CHA AEO No.</t>
    </r>
    <r>
      <rPr>
        <sz val="11"/>
        <color theme="1"/>
        <rFont val="Calibri"/>
        <family val="2"/>
        <scheme val="minor"/>
      </rPr>
      <t xml:space="preserve"> textbox should not accept special character value, only space value.
2. The textbox length should be limited to 17 characters.</t>
    </r>
  </si>
  <si>
    <r>
      <t xml:space="preserve">1. Functionality is not working as expected.
2. The </t>
    </r>
    <r>
      <rPr>
        <b/>
        <sz val="11"/>
        <color theme="1"/>
        <rFont val="Calibri"/>
        <family val="2"/>
        <scheme val="minor"/>
      </rPr>
      <t>CHA AEO No.</t>
    </r>
    <r>
      <rPr>
        <sz val="11"/>
        <color theme="1"/>
        <rFont val="Calibri"/>
        <family val="2"/>
        <scheme val="minor"/>
      </rPr>
      <t xml:space="preserve"> textbox accepts:
 -&gt; Special character values
 -&gt; Only space value 
2. The 17-character limit is implemented correctly.
</t>
    </r>
    <r>
      <rPr>
        <b/>
        <sz val="11"/>
        <color theme="1"/>
        <rFont val="Calibri"/>
        <family val="2"/>
        <scheme val="minor"/>
      </rPr>
      <t>Note: As per businees rule, CHA AEO No. textbox should accept only alphanumeric value.</t>
    </r>
    <r>
      <rPr>
        <sz val="11"/>
        <color theme="1"/>
        <rFont val="Calibri"/>
        <family val="2"/>
        <scheme val="minor"/>
      </rPr>
      <t xml:space="preserve">
</t>
    </r>
  </si>
  <si>
    <t>Branch_36</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</si>
  <si>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Branch Details </t>
    </r>
    <r>
      <rPr>
        <sz val="11"/>
        <color theme="1"/>
        <rFont val="Calibri"/>
        <family val="2"/>
        <scheme val="minor"/>
      </rPr>
      <t>page.</t>
    </r>
  </si>
  <si>
    <r>
      <t xml:space="preserve">1. On clicking the Clear button, the system should display a confirmation popup:
</t>
    </r>
    <r>
      <rPr>
        <b/>
        <sz val="11"/>
        <color theme="1"/>
        <rFont val="Calibri"/>
        <family val="2"/>
        <scheme val="minor"/>
      </rPr>
      <t>'Are you sure you want to clear the data?'</t>
    </r>
    <r>
      <rPr>
        <sz val="11"/>
        <color theme="1"/>
        <rFont val="Calibri"/>
        <family val="2"/>
        <scheme val="minor"/>
      </rPr>
      <t xml:space="preserve">
</t>
    </r>
    <r>
      <rPr>
        <b/>
        <sz val="11"/>
        <color theme="1"/>
        <rFont val="Calibri"/>
        <family val="2"/>
        <scheme val="minor"/>
      </rPr>
      <t>If the user clicks Yes:</t>
    </r>
    <r>
      <rPr>
        <sz val="11"/>
        <color theme="1"/>
        <rFont val="Calibri"/>
        <family val="2"/>
        <scheme val="minor"/>
      </rPr>
      <t xml:space="preserve">
 -&gt; All input fields should be cleared.
 -&gt; Dropdown should be on default stage (Select)
</t>
    </r>
    <r>
      <rPr>
        <b/>
        <sz val="11"/>
        <color theme="1"/>
        <rFont val="Calibri"/>
        <family val="2"/>
        <scheme val="minor"/>
      </rPr>
      <t>If the user clicks No:</t>
    </r>
    <r>
      <rPr>
        <sz val="11"/>
        <color theme="1"/>
        <rFont val="Calibri"/>
        <family val="2"/>
        <scheme val="minor"/>
      </rPr>
      <t xml:space="preserve">
 -&gt; All entered values should remain unchanged.
</t>
    </r>
    <r>
      <rPr>
        <b/>
        <sz val="11"/>
        <color theme="1"/>
        <rFont val="Calibri"/>
        <family val="2"/>
        <scheme val="minor"/>
      </rPr>
      <t/>
    </r>
  </si>
  <si>
    <r>
      <t>1. Functionality is working as Expected.
Observation -</t>
    </r>
    <r>
      <rPr>
        <b/>
        <sz val="11"/>
        <color theme="1"/>
        <rFont val="Calibri"/>
        <family val="2"/>
        <scheme val="minor"/>
      </rPr>
      <t xml:space="preserve"> The system is not asking for confirmation before clearing the page.</t>
    </r>
  </si>
  <si>
    <t>Branch_37</t>
  </si>
  <si>
    <r>
      <t xml:space="preserve">Validate the functionality of </t>
    </r>
    <r>
      <rPr>
        <b/>
        <sz val="11"/>
        <color theme="1"/>
        <rFont val="Calibri"/>
        <family val="2"/>
        <scheme val="minor"/>
      </rPr>
      <t xml:space="preserve">Keyboard Action (TAB key) </t>
    </r>
    <r>
      <rPr>
        <sz val="11"/>
        <color theme="1"/>
        <rFont val="Calibri"/>
        <family val="2"/>
        <scheme val="minor"/>
      </rPr>
      <t xml:space="preserve">in the </t>
    </r>
    <r>
      <rPr>
        <b/>
        <sz val="11"/>
        <color theme="1"/>
        <rFont val="Calibri"/>
        <family val="2"/>
        <scheme val="minor"/>
      </rPr>
      <t>Branch Details</t>
    </r>
    <r>
      <rPr>
        <sz val="11"/>
        <color theme="1"/>
        <rFont val="Calibri"/>
        <family val="2"/>
        <scheme val="minor"/>
      </rPr>
      <t xml:space="preserve"> page.</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</si>
  <si>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t>
    </r>
    <r>
      <rPr>
        <b/>
        <sz val="11"/>
        <color theme="1"/>
        <rFont val="Calibri"/>
        <family val="2"/>
        <scheme val="minor"/>
      </rPr>
      <t xml:space="preserve">
</t>
    </r>
    <r>
      <rPr>
        <sz val="11"/>
        <color theme="1"/>
        <rFont val="Calibri"/>
        <family val="2"/>
        <scheme val="minor"/>
      </rPr>
      <t>5.  verify that value is populated in the coresponding textboxes.
6. Click the Clear button and observe the system behavior.</t>
    </r>
  </si>
  <si>
    <r>
      <t xml:space="preserve">1. Open the application and log in 
2. Select Branch: AHMEDABAD, Export Type: Export Sea, FY 2025–2026, click OK.
3. Navigate to </t>
    </r>
    <r>
      <rPr>
        <b/>
        <sz val="11"/>
        <color theme="1"/>
        <rFont val="Calibri"/>
        <family val="2"/>
        <scheme val="minor"/>
      </rPr>
      <t>Masters → Create Branch</t>
    </r>
    <r>
      <rPr>
        <sz val="11"/>
        <color theme="1"/>
        <rFont val="Calibri"/>
        <family val="2"/>
        <scheme val="minor"/>
      </rPr>
      <t xml:space="preserve">
4. Select any existing record from the left-side panel list.</t>
    </r>
    <r>
      <rPr>
        <b/>
        <sz val="11"/>
        <color theme="1"/>
        <rFont val="Calibri"/>
        <family val="2"/>
        <scheme val="minor"/>
      </rPr>
      <t xml:space="preserve">
5</t>
    </r>
    <r>
      <rPr>
        <sz val="11"/>
        <color theme="1"/>
        <rFont val="Calibri"/>
        <family val="2"/>
        <scheme val="minor"/>
      </rPr>
      <t>. Use keyword button to textbox value</t>
    </r>
  </si>
  <si>
    <t>Charge Master - Cost/Revenue Master</t>
  </si>
  <si>
    <t>Updated</t>
  </si>
  <si>
    <t xml:space="preserve">Document
</t>
  </si>
  <si>
    <t xml:space="preserve">Container
</t>
  </si>
  <si>
    <t xml:space="preserve">Stuffing Master
</t>
  </si>
  <si>
    <t xml:space="preserve">Daily Currency Rate
</t>
  </si>
  <si>
    <t xml:space="preserve">Container Yard Master
</t>
  </si>
  <si>
    <t xml:space="preserve">Create Branch
</t>
  </si>
  <si>
    <t>Branch_38</t>
  </si>
  <si>
    <r>
      <t xml:space="preserve">Validate the functionality of the </t>
    </r>
    <r>
      <rPr>
        <b/>
        <sz val="11"/>
        <color theme="1"/>
        <rFont val="Calibri"/>
        <family val="2"/>
        <scheme val="minor"/>
      </rPr>
      <t>textbox Alignment</t>
    </r>
    <r>
      <rPr>
        <sz val="11"/>
        <color theme="1"/>
        <rFont val="Calibri"/>
        <family val="2"/>
        <scheme val="minor"/>
      </rPr>
      <t xml:space="preserve"> in the Branch Details page.</t>
    </r>
  </si>
  <si>
    <r>
      <t xml:space="preserve">1. Open the application and log in 
2. Select Branch: AHMEDABAD, Export Type: Export Sea, FY 2025–2026, click OK.
3. Navigate to </t>
    </r>
    <r>
      <rPr>
        <b/>
        <sz val="11"/>
        <color theme="1"/>
        <rFont val="Calibri"/>
        <family val="2"/>
        <scheme val="minor"/>
      </rPr>
      <t xml:space="preserve">Masters → Create Branch
</t>
    </r>
    <r>
      <rPr>
        <sz val="11"/>
        <color theme="1"/>
        <rFont val="Calibri"/>
        <family val="2"/>
        <scheme val="minor"/>
      </rPr>
      <t>4. Observe the textbox alignment and textbox size on the Branch Details page.</t>
    </r>
  </si>
  <si>
    <r>
      <t xml:space="preserve">1. All elements on the </t>
    </r>
    <r>
      <rPr>
        <b/>
        <sz val="11"/>
        <color theme="1"/>
        <rFont val="Calibri"/>
        <family val="2"/>
        <scheme val="minor"/>
      </rPr>
      <t>Branch Details</t>
    </r>
    <r>
      <rPr>
        <sz val="11"/>
        <color theme="1"/>
        <rFont val="Calibri"/>
        <family val="2"/>
        <scheme val="minor"/>
      </rPr>
      <t xml:space="preserve"> page should be properly visible and aligned uniformly.
2. The size of all textboxes should be consistent across the page.</t>
    </r>
  </si>
  <si>
    <t>1. CHA AEO No. textbox alignment is different compared to other textboxes on the page.</t>
  </si>
  <si>
    <r>
      <t xml:space="preserve">1. The </t>
    </r>
    <r>
      <rPr>
        <b/>
        <sz val="11"/>
        <color theme="1"/>
        <rFont val="Calibri"/>
        <family val="2"/>
        <scheme val="minor"/>
      </rPr>
      <t xml:space="preserve">Export Air </t>
    </r>
    <r>
      <rPr>
        <sz val="11"/>
        <color theme="1"/>
        <rFont val="Calibri"/>
        <family val="2"/>
        <scheme val="minor"/>
      </rPr>
      <t xml:space="preserve">radio button should be selectable and changeable.
2. On clicking the </t>
    </r>
    <r>
      <rPr>
        <b/>
        <sz val="11"/>
        <color theme="1"/>
        <rFont val="Calibri"/>
        <family val="2"/>
        <scheme val="minor"/>
      </rPr>
      <t>Add</t>
    </r>
    <r>
      <rPr>
        <sz val="11"/>
        <color theme="1"/>
        <rFont val="Calibri"/>
        <family val="2"/>
        <scheme val="minor"/>
      </rPr>
      <t xml:space="preserve"> button, a new activity grid/row should be added below the previously added activity details. 
</t>
    </r>
  </si>
  <si>
    <r>
      <t xml:space="preserve">Radio Button: </t>
    </r>
    <r>
      <rPr>
        <b/>
        <sz val="11"/>
        <color theme="1"/>
        <rFont val="Calibri"/>
        <family val="2"/>
        <scheme val="minor"/>
      </rPr>
      <t>Export Air</t>
    </r>
    <r>
      <rPr>
        <sz val="11"/>
        <color theme="1"/>
        <rFont val="Calibri"/>
        <family val="2"/>
        <scheme val="minor"/>
      </rPr>
      <t xml:space="preserve">
Button: </t>
    </r>
    <r>
      <rPr>
        <b/>
        <sz val="11"/>
        <color theme="1"/>
        <rFont val="Calibri"/>
        <family val="2"/>
        <scheme val="minor"/>
      </rPr>
      <t>Add</t>
    </r>
  </si>
  <si>
    <r>
      <t xml:space="preserve">1. The </t>
    </r>
    <r>
      <rPr>
        <b/>
        <sz val="11"/>
        <color theme="1"/>
        <rFont val="Calibri"/>
        <family val="2"/>
        <scheme val="minor"/>
      </rPr>
      <t>Export Air</t>
    </r>
    <r>
      <rPr>
        <sz val="11"/>
        <color theme="1"/>
        <rFont val="Calibri"/>
        <family val="2"/>
        <scheme val="minor"/>
      </rPr>
      <t xml:space="preserve"> radio button is selectable.
2. On clicking the </t>
    </r>
    <r>
      <rPr>
        <b/>
        <sz val="11"/>
        <color theme="1"/>
        <rFont val="Calibri"/>
        <family val="2"/>
        <scheme val="minor"/>
      </rPr>
      <t>Add</t>
    </r>
    <r>
      <rPr>
        <sz val="11"/>
        <color theme="1"/>
        <rFont val="Calibri"/>
        <family val="2"/>
        <scheme val="minor"/>
      </rPr>
      <t xml:space="preserve"> button, the activity grid is added properly.</t>
    </r>
  </si>
  <si>
    <r>
      <t xml:space="preserve">Validate saving activity details in the newly added activity grid when </t>
    </r>
    <r>
      <rPr>
        <b/>
        <sz val="11"/>
        <color theme="1"/>
        <rFont val="Calibri"/>
        <family val="2"/>
        <scheme val="minor"/>
      </rPr>
      <t xml:space="preserve">Export Air </t>
    </r>
    <r>
      <rPr>
        <sz val="11"/>
        <color theme="1"/>
        <rFont val="Calibri"/>
        <family val="2"/>
        <scheme val="minor"/>
      </rPr>
      <t>radio button is selected</t>
    </r>
  </si>
  <si>
    <r>
      <t xml:space="preserve">Validate the </t>
    </r>
    <r>
      <rPr>
        <b/>
        <sz val="11"/>
        <color theme="1"/>
        <rFont val="Calibri"/>
        <family val="2"/>
        <scheme val="minor"/>
      </rPr>
      <t>Activity row delete functionality</t>
    </r>
    <r>
      <rPr>
        <sz val="11"/>
        <color theme="1"/>
        <rFont val="Calibri"/>
        <family val="2"/>
        <scheme val="minor"/>
      </rPr>
      <t xml:space="preserve"> when</t>
    </r>
    <r>
      <rPr>
        <b/>
        <sz val="11"/>
        <color theme="1"/>
        <rFont val="Calibri"/>
        <family val="2"/>
        <scheme val="minor"/>
      </rPr>
      <t xml:space="preserve"> Export Air </t>
    </r>
    <r>
      <rPr>
        <sz val="11"/>
        <color theme="1"/>
        <rFont val="Calibri"/>
        <family val="2"/>
        <scheme val="minor"/>
      </rPr>
      <t>radio button is selected.</t>
    </r>
  </si>
  <si>
    <r>
      <t xml:space="preserve">Radio Button: </t>
    </r>
    <r>
      <rPr>
        <b/>
        <sz val="11"/>
        <color theme="1"/>
        <rFont val="Calibri"/>
        <family val="2"/>
        <scheme val="minor"/>
      </rPr>
      <t>Export Sea</t>
    </r>
    <r>
      <rPr>
        <sz val="11"/>
        <color theme="1"/>
        <rFont val="Calibri"/>
        <family val="2"/>
        <scheme val="minor"/>
      </rPr>
      <t xml:space="preserve">
Button: </t>
    </r>
    <r>
      <rPr>
        <b/>
        <sz val="11"/>
        <color theme="1"/>
        <rFont val="Calibri"/>
        <family val="2"/>
        <scheme val="minor"/>
      </rPr>
      <t>Add</t>
    </r>
  </si>
  <si>
    <r>
      <t xml:space="preserve">1. The </t>
    </r>
    <r>
      <rPr>
        <b/>
        <sz val="11"/>
        <color theme="1"/>
        <rFont val="Calibri"/>
        <family val="2"/>
        <scheme val="minor"/>
      </rPr>
      <t>Export Sea</t>
    </r>
    <r>
      <rPr>
        <sz val="11"/>
        <color theme="1"/>
        <rFont val="Calibri"/>
        <family val="2"/>
        <scheme val="minor"/>
      </rPr>
      <t xml:space="preserve"> radio button is selectable.
2. On clicking the </t>
    </r>
    <r>
      <rPr>
        <b/>
        <sz val="11"/>
        <color theme="1"/>
        <rFont val="Calibri"/>
        <family val="2"/>
        <scheme val="minor"/>
      </rPr>
      <t>Add</t>
    </r>
    <r>
      <rPr>
        <sz val="11"/>
        <color theme="1"/>
        <rFont val="Calibri"/>
        <family val="2"/>
        <scheme val="minor"/>
      </rPr>
      <t xml:space="preserve"> button, the activity grid is added properly.</t>
    </r>
  </si>
  <si>
    <r>
      <t xml:space="preserve">1. The </t>
    </r>
    <r>
      <rPr>
        <b/>
        <sz val="11"/>
        <color theme="1"/>
        <rFont val="Calibri"/>
        <family val="2"/>
        <scheme val="minor"/>
      </rPr>
      <t xml:space="preserve">Export Sea </t>
    </r>
    <r>
      <rPr>
        <sz val="11"/>
        <color theme="1"/>
        <rFont val="Calibri"/>
        <family val="2"/>
        <scheme val="minor"/>
      </rPr>
      <t xml:space="preserve">radio button should be selectable and changeable.
2. On clicking the </t>
    </r>
    <r>
      <rPr>
        <b/>
        <sz val="11"/>
        <color theme="1"/>
        <rFont val="Calibri"/>
        <family val="2"/>
        <scheme val="minor"/>
      </rPr>
      <t>Add</t>
    </r>
    <r>
      <rPr>
        <sz val="11"/>
        <color theme="1"/>
        <rFont val="Calibri"/>
        <family val="2"/>
        <scheme val="minor"/>
      </rPr>
      <t xml:space="preserve"> button, a new activity grid should be added below the previously added activity details. 
</t>
    </r>
  </si>
  <si>
    <r>
      <t xml:space="preserve">Validate saving activity details in the newly added activity grid when </t>
    </r>
    <r>
      <rPr>
        <b/>
        <sz val="11"/>
        <color theme="1"/>
        <rFont val="Calibri"/>
        <family val="2"/>
        <scheme val="minor"/>
      </rPr>
      <t xml:space="preserve">Export Sea </t>
    </r>
    <r>
      <rPr>
        <sz val="11"/>
        <color theme="1"/>
        <rFont val="Calibri"/>
        <family val="2"/>
        <scheme val="minor"/>
      </rPr>
      <t>radio button is selected</t>
    </r>
  </si>
  <si>
    <r>
      <t xml:space="preserve">Validate the </t>
    </r>
    <r>
      <rPr>
        <b/>
        <sz val="11"/>
        <color theme="1"/>
        <rFont val="Calibri"/>
        <family val="2"/>
        <scheme val="minor"/>
      </rPr>
      <t>Activity row delete functionality</t>
    </r>
    <r>
      <rPr>
        <sz val="11"/>
        <color theme="1"/>
        <rFont val="Calibri"/>
        <family val="2"/>
        <scheme val="minor"/>
      </rPr>
      <t xml:space="preserve"> when</t>
    </r>
    <r>
      <rPr>
        <b/>
        <sz val="11"/>
        <color theme="1"/>
        <rFont val="Calibri"/>
        <family val="2"/>
        <scheme val="minor"/>
      </rPr>
      <t xml:space="preserve"> Export Sea </t>
    </r>
    <r>
      <rPr>
        <sz val="11"/>
        <color theme="1"/>
        <rFont val="Calibri"/>
        <family val="2"/>
        <scheme val="minor"/>
      </rPr>
      <t>radio button is selected.</t>
    </r>
  </si>
  <si>
    <r>
      <t xml:space="preserve">Validate the functionality of the </t>
    </r>
    <r>
      <rPr>
        <b/>
        <sz val="11"/>
        <color theme="1"/>
        <rFont val="Calibri"/>
        <family val="2"/>
        <scheme val="minor"/>
      </rPr>
      <t>Add</t>
    </r>
    <r>
      <rPr>
        <sz val="11"/>
        <color theme="1"/>
        <rFont val="Calibri"/>
        <family val="2"/>
        <scheme val="minor"/>
      </rPr>
      <t xml:space="preserve"> button on the </t>
    </r>
    <r>
      <rPr>
        <b/>
        <sz val="11"/>
        <color theme="1"/>
        <rFont val="Calibri"/>
        <family val="2"/>
        <scheme val="minor"/>
      </rPr>
      <t>Activity</t>
    </r>
    <r>
      <rPr>
        <sz val="11"/>
        <color theme="1"/>
        <rFont val="Calibri"/>
        <family val="2"/>
        <scheme val="minor"/>
      </rPr>
      <t xml:space="preserve"> page when </t>
    </r>
    <r>
      <rPr>
        <b/>
        <sz val="11"/>
        <color theme="1"/>
        <rFont val="Calibri"/>
        <family val="2"/>
        <scheme val="minor"/>
      </rPr>
      <t>Import Air</t>
    </r>
    <r>
      <rPr>
        <sz val="11"/>
        <color theme="1"/>
        <rFont val="Calibri"/>
        <family val="2"/>
        <scheme val="minor"/>
      </rPr>
      <t xml:space="preserve"> radio button is selected</t>
    </r>
  </si>
  <si>
    <r>
      <t xml:space="preserve">Radio Button: </t>
    </r>
    <r>
      <rPr>
        <b/>
        <sz val="11"/>
        <color theme="1"/>
        <rFont val="Calibri"/>
        <family val="2"/>
        <scheme val="minor"/>
      </rPr>
      <t>Import Air</t>
    </r>
    <r>
      <rPr>
        <sz val="11"/>
        <color theme="1"/>
        <rFont val="Calibri"/>
        <family val="2"/>
        <scheme val="minor"/>
      </rPr>
      <t xml:space="preserve">
Button: </t>
    </r>
    <r>
      <rPr>
        <b/>
        <sz val="11"/>
        <color theme="1"/>
        <rFont val="Calibri"/>
        <family val="2"/>
        <scheme val="minor"/>
      </rPr>
      <t>Add</t>
    </r>
  </si>
  <si>
    <r>
      <t xml:space="preserve">1. The </t>
    </r>
    <r>
      <rPr>
        <b/>
        <sz val="11"/>
        <color theme="1"/>
        <rFont val="Calibri"/>
        <family val="2"/>
        <scheme val="minor"/>
      </rPr>
      <t xml:space="preserve">Import Air </t>
    </r>
    <r>
      <rPr>
        <sz val="11"/>
        <color theme="1"/>
        <rFont val="Calibri"/>
        <family val="2"/>
        <scheme val="minor"/>
      </rPr>
      <t xml:space="preserve">radio button should be selectable and changeable.
2. On clicking the </t>
    </r>
    <r>
      <rPr>
        <b/>
        <sz val="11"/>
        <color theme="1"/>
        <rFont val="Calibri"/>
        <family val="2"/>
        <scheme val="minor"/>
      </rPr>
      <t>Add</t>
    </r>
    <r>
      <rPr>
        <sz val="11"/>
        <color theme="1"/>
        <rFont val="Calibri"/>
        <family val="2"/>
        <scheme val="minor"/>
      </rPr>
      <t xml:space="preserve"> button, a new activity grid should be added below the previously added activity details. 
</t>
    </r>
  </si>
  <si>
    <r>
      <t xml:space="preserve">1. The </t>
    </r>
    <r>
      <rPr>
        <b/>
        <sz val="11"/>
        <color theme="1"/>
        <rFont val="Calibri"/>
        <family val="2"/>
        <scheme val="minor"/>
      </rPr>
      <t>Import Air</t>
    </r>
    <r>
      <rPr>
        <sz val="11"/>
        <color theme="1"/>
        <rFont val="Calibri"/>
        <family val="2"/>
        <scheme val="minor"/>
      </rPr>
      <t xml:space="preserve"> radio button is selectable.
2. On clicking the </t>
    </r>
    <r>
      <rPr>
        <b/>
        <sz val="11"/>
        <color theme="1"/>
        <rFont val="Calibri"/>
        <family val="2"/>
        <scheme val="minor"/>
      </rPr>
      <t>Add</t>
    </r>
    <r>
      <rPr>
        <sz val="11"/>
        <color theme="1"/>
        <rFont val="Calibri"/>
        <family val="2"/>
        <scheme val="minor"/>
      </rPr>
      <t xml:space="preserve"> button, the activity grid is added properly.</t>
    </r>
  </si>
  <si>
    <r>
      <t xml:space="preserve">Validate saving activity details in the newly added activity grid when </t>
    </r>
    <r>
      <rPr>
        <b/>
        <sz val="11"/>
        <color theme="1"/>
        <rFont val="Calibri"/>
        <family val="2"/>
        <scheme val="minor"/>
      </rPr>
      <t xml:space="preserve">Import Air </t>
    </r>
    <r>
      <rPr>
        <sz val="11"/>
        <color theme="1"/>
        <rFont val="Calibri"/>
        <family val="2"/>
        <scheme val="minor"/>
      </rPr>
      <t>radio button is selected.</t>
    </r>
  </si>
  <si>
    <r>
      <t xml:space="preserve">Validate the </t>
    </r>
    <r>
      <rPr>
        <b/>
        <sz val="11"/>
        <color theme="1"/>
        <rFont val="Calibri"/>
        <family val="2"/>
        <scheme val="minor"/>
      </rPr>
      <t>Activity row delete functionality</t>
    </r>
    <r>
      <rPr>
        <sz val="11"/>
        <color theme="1"/>
        <rFont val="Calibri"/>
        <family val="2"/>
        <scheme val="minor"/>
      </rPr>
      <t xml:space="preserve"> when</t>
    </r>
    <r>
      <rPr>
        <b/>
        <sz val="11"/>
        <color theme="1"/>
        <rFont val="Calibri"/>
        <family val="2"/>
        <scheme val="minor"/>
      </rPr>
      <t xml:space="preserve"> Import Air </t>
    </r>
    <r>
      <rPr>
        <sz val="11"/>
        <color theme="1"/>
        <rFont val="Calibri"/>
        <family val="2"/>
        <scheme val="minor"/>
      </rPr>
      <t>radio button is selected.</t>
    </r>
  </si>
  <si>
    <r>
      <t xml:space="preserve">Validate the functionality of the </t>
    </r>
    <r>
      <rPr>
        <b/>
        <sz val="11"/>
        <color theme="1"/>
        <rFont val="Calibri"/>
        <family val="2"/>
        <scheme val="minor"/>
      </rPr>
      <t>Add</t>
    </r>
    <r>
      <rPr>
        <sz val="11"/>
        <color theme="1"/>
        <rFont val="Calibri"/>
        <family val="2"/>
        <scheme val="minor"/>
      </rPr>
      <t xml:space="preserve"> button on the </t>
    </r>
    <r>
      <rPr>
        <b/>
        <sz val="11"/>
        <color theme="1"/>
        <rFont val="Calibri"/>
        <family val="2"/>
        <scheme val="minor"/>
      </rPr>
      <t>Activity</t>
    </r>
    <r>
      <rPr>
        <sz val="11"/>
        <color theme="1"/>
        <rFont val="Calibri"/>
        <family val="2"/>
        <scheme val="minor"/>
      </rPr>
      <t xml:space="preserve"> page when </t>
    </r>
    <r>
      <rPr>
        <b/>
        <sz val="11"/>
        <color theme="1"/>
        <rFont val="Calibri"/>
        <family val="2"/>
        <scheme val="minor"/>
      </rPr>
      <t xml:space="preserve">Import Sea </t>
    </r>
    <r>
      <rPr>
        <sz val="11"/>
        <color theme="1"/>
        <rFont val="Calibri"/>
        <family val="2"/>
        <scheme val="minor"/>
      </rPr>
      <t>radio button is selected</t>
    </r>
  </si>
  <si>
    <r>
      <t xml:space="preserve">Radio Button: </t>
    </r>
    <r>
      <rPr>
        <b/>
        <sz val="11"/>
        <color theme="1"/>
        <rFont val="Calibri"/>
        <family val="2"/>
        <scheme val="minor"/>
      </rPr>
      <t>Import Sea</t>
    </r>
    <r>
      <rPr>
        <sz val="11"/>
        <color theme="1"/>
        <rFont val="Calibri"/>
        <family val="2"/>
        <scheme val="minor"/>
      </rPr>
      <t xml:space="preserve">
Button: </t>
    </r>
    <r>
      <rPr>
        <b/>
        <sz val="11"/>
        <color theme="1"/>
        <rFont val="Calibri"/>
        <family val="2"/>
        <scheme val="minor"/>
      </rPr>
      <t>Add</t>
    </r>
  </si>
  <si>
    <r>
      <t xml:space="preserve">1. The </t>
    </r>
    <r>
      <rPr>
        <b/>
        <sz val="11"/>
        <color theme="1"/>
        <rFont val="Calibri"/>
        <family val="2"/>
        <scheme val="minor"/>
      </rPr>
      <t xml:space="preserve">Import Sea </t>
    </r>
    <r>
      <rPr>
        <sz val="11"/>
        <color theme="1"/>
        <rFont val="Calibri"/>
        <family val="2"/>
        <scheme val="minor"/>
      </rPr>
      <t xml:space="preserve">radio button should be selectable and changeable.
2. On clicking the </t>
    </r>
    <r>
      <rPr>
        <b/>
        <sz val="11"/>
        <color theme="1"/>
        <rFont val="Calibri"/>
        <family val="2"/>
        <scheme val="minor"/>
      </rPr>
      <t>Add</t>
    </r>
    <r>
      <rPr>
        <sz val="11"/>
        <color theme="1"/>
        <rFont val="Calibri"/>
        <family val="2"/>
        <scheme val="minor"/>
      </rPr>
      <t xml:space="preserve"> button, a new activity grid should be added below the previously added activity details. 
</t>
    </r>
  </si>
  <si>
    <r>
      <t xml:space="preserve">1. The </t>
    </r>
    <r>
      <rPr>
        <b/>
        <sz val="11"/>
        <color theme="1"/>
        <rFont val="Calibri"/>
        <family val="2"/>
        <scheme val="minor"/>
      </rPr>
      <t>Import Sea</t>
    </r>
    <r>
      <rPr>
        <sz val="11"/>
        <color theme="1"/>
        <rFont val="Calibri"/>
        <family val="2"/>
        <scheme val="minor"/>
      </rPr>
      <t xml:space="preserve"> radio button is selectable.
2. On clicking the </t>
    </r>
    <r>
      <rPr>
        <b/>
        <sz val="11"/>
        <color theme="1"/>
        <rFont val="Calibri"/>
        <family val="2"/>
        <scheme val="minor"/>
      </rPr>
      <t>Add</t>
    </r>
    <r>
      <rPr>
        <sz val="11"/>
        <color theme="1"/>
        <rFont val="Calibri"/>
        <family val="2"/>
        <scheme val="minor"/>
      </rPr>
      <t xml:space="preserve"> button, the activity grid is added properly.</t>
    </r>
  </si>
  <si>
    <r>
      <t xml:space="preserve">Validate saving activity details in the newly added activity grid when </t>
    </r>
    <r>
      <rPr>
        <b/>
        <sz val="11"/>
        <color theme="1"/>
        <rFont val="Calibri"/>
        <family val="2"/>
        <scheme val="minor"/>
      </rPr>
      <t xml:space="preserve">Import Sea </t>
    </r>
    <r>
      <rPr>
        <sz val="11"/>
        <color theme="1"/>
        <rFont val="Calibri"/>
        <family val="2"/>
        <scheme val="minor"/>
      </rPr>
      <t>radio button is selected.</t>
    </r>
  </si>
  <si>
    <r>
      <t xml:space="preserve">Validate the </t>
    </r>
    <r>
      <rPr>
        <b/>
        <sz val="11"/>
        <color theme="1"/>
        <rFont val="Calibri"/>
        <family val="2"/>
        <scheme val="minor"/>
      </rPr>
      <t>Activity row delete functionality</t>
    </r>
    <r>
      <rPr>
        <sz val="11"/>
        <color theme="1"/>
        <rFont val="Calibri"/>
        <family val="2"/>
        <scheme val="minor"/>
      </rPr>
      <t xml:space="preserve"> when</t>
    </r>
    <r>
      <rPr>
        <b/>
        <sz val="11"/>
        <color theme="1"/>
        <rFont val="Calibri"/>
        <family val="2"/>
        <scheme val="minor"/>
      </rPr>
      <t xml:space="preserve"> Import Sea </t>
    </r>
    <r>
      <rPr>
        <sz val="11"/>
        <color theme="1"/>
        <rFont val="Calibri"/>
        <family val="2"/>
        <scheme val="minor"/>
      </rPr>
      <t>radio button is selected.</t>
    </r>
  </si>
  <si>
    <t>BA-445</t>
  </si>
  <si>
    <r>
      <t xml:space="preserve">1. Functionality is not working as expected .
2. Container Type textbox is accepting all tpye special character value.
3. The 50-character limit is implemented correctly.
Note: As per business Rule, </t>
    </r>
    <r>
      <rPr>
        <b/>
        <sz val="11"/>
        <color theme="1"/>
        <rFont val="Calibri"/>
        <family val="2"/>
        <scheme val="minor"/>
      </rPr>
      <t>Container Type</t>
    </r>
    <r>
      <rPr>
        <sz val="11"/>
        <color theme="1"/>
        <rFont val="Calibri"/>
        <family val="2"/>
        <scheme val="minor"/>
      </rPr>
      <t xml:space="preserve"> textbox should accept alphanumeric value and following special characters: Dot (.), Comma (,), Percentage (%), Ampersand (&amp;), Hyphen (-),  Underscore (_), Forward slash (/), Backward slash (\)
</t>
    </r>
  </si>
  <si>
    <t>BA-446</t>
  </si>
  <si>
    <t>BA-447</t>
  </si>
  <si>
    <t>BA-448</t>
  </si>
  <si>
    <r>
      <t xml:space="preserve">1. The functionality is not working as expected, </t>
    </r>
    <r>
      <rPr>
        <b/>
        <sz val="11"/>
        <color theme="1"/>
        <rFont val="Calibri"/>
        <family val="2"/>
        <scheme val="minor"/>
      </rPr>
      <t>as the Door Width textbox is accepting the hyphen (-) character.</t>
    </r>
    <r>
      <rPr>
        <sz val="11"/>
        <color theme="1"/>
        <rFont val="Calibri"/>
        <family val="2"/>
        <scheme val="minor"/>
      </rPr>
      <t xml:space="preserve">
2. The Door Width textbox accepts numeric values with decimal points.
3. Textbox length is implemented as follows:
 -&gt; Without decimal: Up to 4 characters
 -&gt; With decimal: Up to 7 characters (After decimal 2 digit)
</t>
    </r>
  </si>
  <si>
    <t>BA-449</t>
  </si>
  <si>
    <t>BA-450</t>
  </si>
  <si>
    <r>
      <t xml:space="preserve">1. The functionality is not working as expected, </t>
    </r>
    <r>
      <rPr>
        <b/>
        <sz val="11"/>
        <color theme="1"/>
        <rFont val="Calibri"/>
        <family val="2"/>
        <scheme val="minor"/>
      </rPr>
      <t>as the Dimension Length textbox is accepting the hyphen (-) character.</t>
    </r>
    <r>
      <rPr>
        <sz val="11"/>
        <color theme="1"/>
        <rFont val="Calibri"/>
        <family val="2"/>
        <scheme val="minor"/>
      </rPr>
      <t xml:space="preserve">
2. The Dimension Length textbox accepts numeric values with decimal points.
3. Textbox length is implemented as follows:
 -&gt; Without decimal: Up to 4 characters
 -&gt; With decimal: Up to 7 characters (After decimal 2 digit)
</t>
    </r>
  </si>
  <si>
    <r>
      <t xml:space="preserve">1. The functionality is not working as expected, </t>
    </r>
    <r>
      <rPr>
        <b/>
        <sz val="11"/>
        <color theme="1"/>
        <rFont val="Calibri"/>
        <family val="2"/>
        <scheme val="minor"/>
      </rPr>
      <t>as the Dimension Width textbox is accepting the hyphen (-) character.</t>
    </r>
    <r>
      <rPr>
        <sz val="11"/>
        <color theme="1"/>
        <rFont val="Calibri"/>
        <family val="2"/>
        <scheme val="minor"/>
      </rPr>
      <t xml:space="preserve">
2. The Dimension Width textbox accepts numeric values with decimal points.
3. Textbox length is implemented as follows:
 -&gt; Without decimal: Up to 4 characters
 -&gt; With decimal: Up to 7 characters (After decimal 2 digit)
</t>
    </r>
  </si>
  <si>
    <t>BA-451</t>
  </si>
  <si>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Gross Weight
</t>
    </r>
    <r>
      <rPr>
        <b/>
        <sz val="11"/>
        <color theme="1"/>
        <rFont val="Calibri"/>
        <family val="2"/>
        <scheme val="minor"/>
      </rPr>
      <t xml:space="preserve">Valid Data: </t>
    </r>
    <r>
      <rPr>
        <sz val="11"/>
        <color theme="1"/>
        <rFont val="Calibri"/>
        <family val="2"/>
        <scheme val="minor"/>
      </rPr>
      <t xml:space="preserve">Numeric with Decimal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</si>
  <si>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Dimension Width
</t>
    </r>
    <r>
      <rPr>
        <b/>
        <sz val="11"/>
        <color theme="1"/>
        <rFont val="Calibri"/>
        <family val="2"/>
        <scheme val="minor"/>
      </rPr>
      <t xml:space="preserve">Valid Data: </t>
    </r>
    <r>
      <rPr>
        <sz val="11"/>
        <color theme="1"/>
        <rFont val="Calibri"/>
        <family val="2"/>
        <scheme val="minor"/>
      </rPr>
      <t xml:space="preserve">Numeric with Decimal value
(11.12, 11., .123, 1234.12 etc)
</t>
    </r>
    <r>
      <rPr>
        <b/>
        <sz val="11"/>
        <color theme="1"/>
        <rFont val="Calibri"/>
        <family val="2"/>
        <scheme val="minor"/>
      </rPr>
      <t xml:space="preserve">Invalid Data: </t>
    </r>
    <r>
      <rPr>
        <sz val="11"/>
        <color theme="1"/>
        <rFont val="Calibri"/>
        <family val="2"/>
        <scheme val="minor"/>
      </rPr>
      <t>Only space value, Only Special character and Alphabetic value.</t>
    </r>
  </si>
  <si>
    <r>
      <t xml:space="preserve">1. The functionality is not working as expected, </t>
    </r>
    <r>
      <rPr>
        <b/>
        <sz val="11"/>
        <color theme="1"/>
        <rFont val="Calibri"/>
        <family val="2"/>
        <scheme val="minor"/>
      </rPr>
      <t>as the Gross Weight textbox is accepting the hyphen (-) character.</t>
    </r>
    <r>
      <rPr>
        <sz val="11"/>
        <color theme="1"/>
        <rFont val="Calibri"/>
        <family val="2"/>
        <scheme val="minor"/>
      </rPr>
      <t xml:space="preserve">
2. The Gross Weight textbox accepts numeric values with decimal points.
3. Textbox length is implemented as follows:
 -&gt; Without decimal: Up to 4 characters
 -&gt; With decimal: Up to 7 characters (After decimal 2 digit)
</t>
    </r>
  </si>
  <si>
    <t>BA-452</t>
  </si>
  <si>
    <r>
      <t xml:space="preserve">1. The functionality is not working as expected, </t>
    </r>
    <r>
      <rPr>
        <b/>
        <sz val="11"/>
        <color theme="1"/>
        <rFont val="Calibri"/>
        <family val="2"/>
        <scheme val="minor"/>
      </rPr>
      <t>as the Tare textbox is accepting the hyphen (-) character.</t>
    </r>
    <r>
      <rPr>
        <sz val="11"/>
        <color theme="1"/>
        <rFont val="Calibri"/>
        <family val="2"/>
        <scheme val="minor"/>
      </rPr>
      <t xml:space="preserve">
2. The Tare textbox accepts numeric values with decimal points.
3. Textbox length is implemented as follows:
 -&gt; Without decimal: Up to 4 characters
 -&gt; With decimal: Up to 7 characters(After decimal 2 digit)
</t>
    </r>
  </si>
  <si>
    <t>BA-453</t>
  </si>
  <si>
    <t>BA-454</t>
  </si>
  <si>
    <r>
      <t xml:space="preserve">1. The functionality is not working as expected, </t>
    </r>
    <r>
      <rPr>
        <b/>
        <sz val="11"/>
        <color theme="1"/>
        <rFont val="Calibri"/>
        <family val="2"/>
        <scheme val="minor"/>
      </rPr>
      <t>as the Payload textbox is accepting the hyphen (-) character.</t>
    </r>
    <r>
      <rPr>
        <sz val="11"/>
        <color theme="1"/>
        <rFont val="Calibri"/>
        <family val="2"/>
        <scheme val="minor"/>
      </rPr>
      <t xml:space="preserve">
2. The Payload textbox accepts numeric values with decimal points.
3. Textbox length is implemented as follows:
 -&gt; Without decimal: Up to 4 characters
 -&gt; With decimal: Up to 7 characters (After decimal 2 digit)
</t>
    </r>
  </si>
  <si>
    <r>
      <t xml:space="preserve">1. The functionality is not working as expected, </t>
    </r>
    <r>
      <rPr>
        <b/>
        <sz val="11"/>
        <color theme="1"/>
        <rFont val="Calibri"/>
        <family val="2"/>
        <scheme val="minor"/>
      </rPr>
      <t>as the Volume textbox is accepting the hyphen (-) character.</t>
    </r>
    <r>
      <rPr>
        <sz val="11"/>
        <color theme="1"/>
        <rFont val="Calibri"/>
        <family val="2"/>
        <scheme val="minor"/>
      </rPr>
      <t xml:space="preserve">
2. The Volume textbox accepts numeric values with decimal points.
3. Textbox length is implemented as follows:
 -&gt; Without decimal: Up to 4 characters
 -&gt; With decimal: Up to 7 characters (After decimal 2 digit)
</t>
    </r>
  </si>
  <si>
    <t>BA-455</t>
  </si>
  <si>
    <r>
      <t xml:space="preserve">1. The functionality is not working as expected, </t>
    </r>
    <r>
      <rPr>
        <b/>
        <sz val="11"/>
        <color theme="1"/>
        <rFont val="Calibri"/>
        <family val="2"/>
        <scheme val="minor"/>
      </rPr>
      <t>as the Height To Load textbox is accepting the hyphen (-) character.</t>
    </r>
    <r>
      <rPr>
        <sz val="11"/>
        <color theme="1"/>
        <rFont val="Calibri"/>
        <family val="2"/>
        <scheme val="minor"/>
      </rPr>
      <t xml:space="preserve">
2. The Height To Load textbox accepts numeric values with decimal points.
3. Textbox length is implemented as follows:
 -&gt; Without decimal: Up to 4 characters
 -&gt; With decimal: Up to 7 characters (After decimal 2 digit)
</t>
    </r>
  </si>
  <si>
    <t>BA-456</t>
  </si>
  <si>
    <r>
      <t xml:space="preserve">1. The functionality is not working as expected, </t>
    </r>
    <r>
      <rPr>
        <b/>
        <sz val="11"/>
        <color theme="1"/>
        <rFont val="Calibri"/>
        <family val="2"/>
        <scheme val="minor"/>
      </rPr>
      <t>as the Door Height textbox is accepting the hyphen (-) character.</t>
    </r>
    <r>
      <rPr>
        <sz val="11"/>
        <color theme="1"/>
        <rFont val="Calibri"/>
        <family val="2"/>
        <scheme val="minor"/>
      </rPr>
      <t xml:space="preserve">
2. The Door Height textbox accepts numeric values with decimal points.
3. Textbox length is implemented as follows:
 -&gt; Without decimal: Up to 4 characters
 -&gt; With decimal: Up to 7 characters (After decimal 2 digit)
Note: As per 
</t>
    </r>
  </si>
  <si>
    <r>
      <t xml:space="preserve">1. </t>
    </r>
    <r>
      <rPr>
        <b/>
        <sz val="11"/>
        <color theme="1"/>
        <rFont val="Calibri"/>
        <family val="2"/>
        <scheme val="minor"/>
      </rPr>
      <t>Buy Rate</t>
    </r>
    <r>
      <rPr>
        <sz val="11"/>
        <color theme="1"/>
        <rFont val="Calibri"/>
        <family val="2"/>
        <scheme val="minor"/>
      </rPr>
      <t xml:space="preserve"> textbox is accepting the </t>
    </r>
    <r>
      <rPr>
        <b/>
        <sz val="11"/>
        <color theme="1"/>
        <rFont val="Calibri"/>
        <family val="2"/>
        <scheme val="minor"/>
      </rPr>
      <t xml:space="preserve">hyphen (-) </t>
    </r>
    <r>
      <rPr>
        <sz val="11"/>
        <color theme="1"/>
        <rFont val="Calibri"/>
        <family val="2"/>
        <scheme val="minor"/>
      </rPr>
      <t>character:
 -&gt; Hyphen before value (-11) is</t>
    </r>
    <r>
      <rPr>
        <b/>
        <sz val="11"/>
        <color theme="1"/>
        <rFont val="Calibri"/>
        <family val="2"/>
        <scheme val="minor"/>
      </rPr>
      <t xml:space="preserve"> not saved.</t>
    </r>
    <r>
      <rPr>
        <sz val="11"/>
        <color theme="1"/>
        <rFont val="Calibri"/>
        <family val="2"/>
        <scheme val="minor"/>
      </rPr>
      <t xml:space="preserve">
 -&gt; Hyphen after value is saved, but when the saved record is reselected, Hyphen is coming before the value (-11)</t>
    </r>
    <r>
      <rPr>
        <b/>
        <sz val="11"/>
        <color theme="1"/>
        <rFont val="Calibri"/>
        <family val="2"/>
        <scheme val="minor"/>
      </rPr>
      <t xml:space="preserve">
2. </t>
    </r>
    <r>
      <rPr>
        <sz val="11"/>
        <color theme="1"/>
        <rFont val="Calibri"/>
        <family val="2"/>
        <scheme val="minor"/>
      </rPr>
      <t xml:space="preserve">Buy Rate textbox accepts numeric values with decimal points.
3. Textbox length behavior:
 -&gt; Without decimal: Up to 8 characters
 -&gt; With decimal: Up to 11 characters (After decimal 2 digit value allow)
</t>
    </r>
    <r>
      <rPr>
        <b/>
        <sz val="11"/>
        <color theme="1"/>
        <rFont val="Calibri"/>
        <family val="2"/>
        <scheme val="minor"/>
      </rPr>
      <t>Note: Only the hyphen (-) value needs to be blocked. All other functionality should remain the same, as discussed with Amit Thapa Sir.</t>
    </r>
  </si>
  <si>
    <r>
      <t xml:space="preserve">1. </t>
    </r>
    <r>
      <rPr>
        <b/>
        <sz val="11"/>
        <color theme="1"/>
        <rFont val="Calibri"/>
        <family val="2"/>
        <scheme val="minor"/>
      </rPr>
      <t>Sale Rate</t>
    </r>
    <r>
      <rPr>
        <sz val="11"/>
        <color theme="1"/>
        <rFont val="Calibri"/>
        <family val="2"/>
        <scheme val="minor"/>
      </rPr>
      <t xml:space="preserve"> textbox is accepting the </t>
    </r>
    <r>
      <rPr>
        <b/>
        <sz val="11"/>
        <color theme="1"/>
        <rFont val="Calibri"/>
        <family val="2"/>
        <scheme val="minor"/>
      </rPr>
      <t xml:space="preserve">hyphen (-) </t>
    </r>
    <r>
      <rPr>
        <sz val="11"/>
        <color theme="1"/>
        <rFont val="Calibri"/>
        <family val="2"/>
        <scheme val="minor"/>
      </rPr>
      <t>character:
 -&gt; Hyphen before value (-11) is</t>
    </r>
    <r>
      <rPr>
        <b/>
        <sz val="11"/>
        <color theme="1"/>
        <rFont val="Calibri"/>
        <family val="2"/>
        <scheme val="minor"/>
      </rPr>
      <t xml:space="preserve"> not saved.</t>
    </r>
    <r>
      <rPr>
        <sz val="11"/>
        <color theme="1"/>
        <rFont val="Calibri"/>
        <family val="2"/>
        <scheme val="minor"/>
      </rPr>
      <t xml:space="preserve">
 -&gt; Hyphen after value is saved, but when the saved record is reselected, Hyphen is coming before the value (-11)</t>
    </r>
    <r>
      <rPr>
        <b/>
        <sz val="11"/>
        <color theme="1"/>
        <rFont val="Calibri"/>
        <family val="2"/>
        <scheme val="minor"/>
      </rPr>
      <t xml:space="preserve">
2. </t>
    </r>
    <r>
      <rPr>
        <sz val="11"/>
        <color theme="1"/>
        <rFont val="Calibri"/>
        <family val="2"/>
        <scheme val="minor"/>
      </rPr>
      <t xml:space="preserve">Sale Rate textbox accepts numeric values with decimal points.
3. Textbox length behavior:
 -&gt; Without decimal: Up to 3 characters
 -&gt; With decimal: Up to 7 characters(After decimal 4 digit allow)
</t>
    </r>
    <r>
      <rPr>
        <b/>
        <sz val="11"/>
        <color theme="1"/>
        <rFont val="Calibri"/>
        <family val="2"/>
        <scheme val="minor"/>
      </rPr>
      <t>Note: Only the hyphen (-) value needs to be blocked. All other functionality should remain the same, as discussed with Amit Thapa Sir.</t>
    </r>
  </si>
  <si>
    <t>BA-457</t>
  </si>
  <si>
    <t>BA-458</t>
  </si>
  <si>
    <t>BA-459</t>
  </si>
  <si>
    <r>
      <t>1. The</t>
    </r>
    <r>
      <rPr>
        <b/>
        <sz val="11"/>
        <color theme="1"/>
        <rFont val="Calibri"/>
        <family val="2"/>
        <scheme val="minor"/>
      </rPr>
      <t xml:space="preserve"> Search textbox</t>
    </r>
    <r>
      <rPr>
        <sz val="11"/>
        <color theme="1"/>
        <rFont val="Calibri"/>
        <family val="2"/>
        <scheme val="minor"/>
      </rPr>
      <t xml:space="preserve"> is working only for the first word of the record name.
</t>
    </r>
    <r>
      <rPr>
        <b/>
        <sz val="11"/>
        <color theme="1"/>
        <rFont val="Calibri"/>
        <family val="2"/>
        <scheme val="minor"/>
      </rPr>
      <t xml:space="preserve">Example record: 'SACHIN CONTAINER YARD' record
</t>
    </r>
    <r>
      <rPr>
        <sz val="11"/>
        <color theme="1"/>
        <rFont val="Calibri"/>
        <family val="2"/>
        <scheme val="minor"/>
      </rPr>
      <t>-&gt; Searching 'SACHIN' → Return Result
 -&gt; Searching 'CONTAINER' →  No result
 -&gt; Searching 'YARD&gt;' →  No result</t>
    </r>
  </si>
  <si>
    <t>BA-460</t>
  </si>
  <si>
    <t>BA-461</t>
  </si>
  <si>
    <t>BA-462</t>
  </si>
  <si>
    <t>BA-463</t>
  </si>
  <si>
    <t>BA-464</t>
  </si>
  <si>
    <t>BA-465</t>
  </si>
  <si>
    <t>BA-466</t>
  </si>
  <si>
    <t>BA-467</t>
  </si>
  <si>
    <t>BA-468</t>
  </si>
  <si>
    <t>BA-469</t>
  </si>
  <si>
    <t>BA-470</t>
  </si>
  <si>
    <t>BA-471</t>
  </si>
  <si>
    <t>BA-472</t>
  </si>
  <si>
    <t>BA-473</t>
  </si>
  <si>
    <t>BA-474</t>
  </si>
  <si>
    <t>BA-476</t>
  </si>
  <si>
    <t>BA-477</t>
  </si>
  <si>
    <t>BA-478</t>
  </si>
  <si>
    <t>BA-479</t>
  </si>
  <si>
    <t>BA-480</t>
  </si>
  <si>
    <t>1. Email ID1 textbox should accept valid Email id format and it should not be accept invalid email id format.
2. The textbox length should be limited to 35 characters.</t>
  </si>
  <si>
    <t>BA-481</t>
  </si>
  <si>
    <r>
      <t xml:space="preserve">Functionality is working as expected.
</t>
    </r>
    <r>
      <rPr>
        <b/>
        <sz val="11"/>
        <color rgb="FF006100"/>
        <rFont val="Calibri"/>
        <family val="2"/>
        <scheme val="minor"/>
      </rPr>
      <t>Date - 21-01-2026
Suggested BY Sudhir Sir
Now user can not add a grid without Branch name, branch name is mandatory for adding a record in the gird. 
 -&gt; If user want to only bank he can save it 
 -&gt; if user want to save bank name with address then branch is mandatory.</t>
    </r>
    <r>
      <rPr>
        <sz val="11"/>
        <color rgb="FF006100"/>
        <rFont val="Calibri"/>
        <family val="2"/>
        <scheme val="minor"/>
      </rPr>
      <t xml:space="preserve">
</t>
    </r>
  </si>
  <si>
    <t xml:space="preserve">
Textbox - Contact 
Valid value - Alphanumeric Value 
</t>
  </si>
  <si>
    <t>1. The Contact Person field should accept valid alphabanumeric input.
2. It should accept both upper-case and lower-case letters.
3. It should also allow alphanumeric values with spaces (e.g., Shivam Singh).</t>
  </si>
  <si>
    <t xml:space="preserve">
Contact Person - special character
Contact Person - 123!@#$
</t>
  </si>
  <si>
    <t>Currently, the Contact Person field is accepting all invalid data, including special characters, and spaces. No validation or error message is displayed.
It should accept alphanumeric value</t>
  </si>
  <si>
    <t>Note:  As Per business rule, This textbox should accept alphanumeric value  with sapce and following special character - Dot (.), Comma (,), Percent (%), Hyphen (-), Forward Slash (/), Backslash (\) and (&amp;), Underscore(_)</t>
  </si>
  <si>
    <t xml:space="preserve">
Branch Name 
Valid data - Alphanumeric vlaue &amp; few special character
</t>
  </si>
  <si>
    <t>Search Data:
 -&gt; Suraj kumar &amp; rana,</t>
  </si>
  <si>
    <r>
      <t xml:space="preserve">1. The </t>
    </r>
    <r>
      <rPr>
        <b/>
        <sz val="11"/>
        <color theme="1"/>
        <rFont val="Calibri"/>
        <family val="2"/>
        <scheme val="minor"/>
      </rPr>
      <t xml:space="preserve">Stuffing Name </t>
    </r>
    <r>
      <rPr>
        <sz val="11"/>
        <color theme="1"/>
        <rFont val="Calibri"/>
        <family val="2"/>
        <scheme val="minor"/>
      </rPr>
      <t>Search textbox is working only for the first word of the record name.
Example record: 'Suraj kumar &amp; rana,' recrod
-&gt; Searching 'suraj' → Return Result
 -&gt; Searching 'Kumar' →  No result
 -&gt; Searching 'Rana&gt;' →  No result</t>
    </r>
  </si>
  <si>
    <t>BA-484</t>
  </si>
  <si>
    <t>1. Sorting: List sorts correctly in both Ascending and Descending order. 
2. Column Checkbox when all checkboxes are selected, all columns display as expected. However, when all checkboxes are deselected, one column remains visible.</t>
  </si>
  <si>
    <t>1. Selected record details are displayed correctly in the Destuffing Master  page.
2. When another record is selected, the textboxes update with the new record’s data.</t>
  </si>
  <si>
    <t>BA-485</t>
  </si>
  <si>
    <t>BA-486</t>
  </si>
  <si>
    <r>
      <t xml:space="preserve">1. </t>
    </r>
    <r>
      <rPr>
        <b/>
        <sz val="11"/>
        <color theme="1"/>
        <rFont val="Calibri"/>
        <family val="2"/>
        <scheme val="minor"/>
      </rPr>
      <t>Entered By</t>
    </r>
    <r>
      <rPr>
        <sz val="11"/>
        <color theme="1"/>
        <rFont val="Calibri"/>
        <family val="2"/>
        <scheme val="minor"/>
      </rPr>
      <t xml:space="preserve"> textbox is auto-populated after saving the record.</t>
    </r>
  </si>
  <si>
    <t>1. Functionality is working as expected
2. Modified By textbox is auto-populated after saving the record.</t>
  </si>
  <si>
    <t>1. Functionality is working as expected
2. Modified Date textbox is auto-populated after saving the record.</t>
  </si>
  <si>
    <t>Record is saving but not coming in the left side panel list.</t>
  </si>
  <si>
    <t>BA-487</t>
  </si>
  <si>
    <r>
      <t xml:space="preserve">1. Record is not saving without filling mandatory fields.
</t>
    </r>
    <r>
      <rPr>
        <b/>
        <sz val="11"/>
        <color theme="1"/>
        <rFont val="Calibri"/>
        <family val="2"/>
        <scheme val="minor"/>
      </rPr>
      <t>2. Validation message is coming but validation message is not matching with the textbox level.
Textbox - Stuffing Name 
Current Messgae - Please Enter Name!
Expected Message - Please Enter Stuffing Name!</t>
    </r>
  </si>
  <si>
    <t>BA-488</t>
  </si>
  <si>
    <t>BA-489</t>
  </si>
  <si>
    <t>Page is not opening, So actual result will check when page is working properly in UAT Server.
Reference - Master - Destuffing Page.</t>
  </si>
  <si>
    <r>
      <t>1. Delete button should remain disabled until a record is selected and fully loaded into the textboxes.
2. On clicking Delete, the system must display a confirmation pop-up, such as:
'</t>
    </r>
    <r>
      <rPr>
        <b/>
        <sz val="11"/>
        <color theme="1"/>
        <rFont val="Calibri"/>
        <family val="2"/>
        <scheme val="minor"/>
      </rPr>
      <t>Are you sure you want to delete this record?'
With Yes / No options.</t>
    </r>
    <r>
      <rPr>
        <sz val="11"/>
        <color theme="1"/>
        <rFont val="Calibri"/>
        <family val="2"/>
        <scheme val="minor"/>
      </rPr>
      <t xml:space="preserve">
If the user selects Yes - The record should be deleted successfully.
3. The deleted record should no longer appear in the left side panel list.
If the user selects No -The deletion process should be cancelled and the record should remain unchanged.
</t>
    </r>
    <r>
      <rPr>
        <b/>
        <sz val="11"/>
        <color theme="1"/>
        <rFont val="Calibri"/>
        <family val="2"/>
        <scheme val="minor"/>
      </rPr>
      <t>4. When the page is in New state (no record selected):</t>
    </r>
    <r>
      <rPr>
        <sz val="11"/>
        <color theme="1"/>
        <rFont val="Calibri"/>
        <family val="2"/>
        <scheme val="minor"/>
      </rPr>
      <t xml:space="preserve">
 -&gt; </t>
    </r>
    <r>
      <rPr>
        <b/>
        <sz val="11"/>
        <color theme="1"/>
        <rFont val="Calibri"/>
        <family val="2"/>
        <scheme val="minor"/>
      </rPr>
      <t>Save</t>
    </r>
    <r>
      <rPr>
        <sz val="11"/>
        <color theme="1"/>
        <rFont val="Calibri"/>
        <family val="2"/>
        <scheme val="minor"/>
      </rPr>
      <t xml:space="preserve"> button should be enabled
 -&gt; </t>
    </r>
    <r>
      <rPr>
        <b/>
        <sz val="11"/>
        <color theme="1"/>
        <rFont val="Calibri"/>
        <family val="2"/>
        <scheme val="minor"/>
      </rPr>
      <t>Delete</t>
    </r>
    <r>
      <rPr>
        <sz val="11"/>
        <color theme="1"/>
        <rFont val="Calibri"/>
        <family val="2"/>
        <scheme val="minor"/>
      </rPr>
      <t xml:space="preserve"> buttons should be disabled
</t>
    </r>
    <r>
      <rPr>
        <b/>
        <sz val="11"/>
        <color theme="1"/>
        <rFont val="Calibri"/>
        <family val="2"/>
        <scheme val="minor"/>
      </rPr>
      <t>5. When a record is selected from the left-side panel:</t>
    </r>
    <r>
      <rPr>
        <sz val="11"/>
        <color theme="1"/>
        <rFont val="Calibri"/>
        <family val="2"/>
        <scheme val="minor"/>
      </rPr>
      <t xml:space="preserve">
 -&gt; </t>
    </r>
    <r>
      <rPr>
        <b/>
        <sz val="11"/>
        <color theme="1"/>
        <rFont val="Calibri"/>
        <family val="2"/>
        <scheme val="minor"/>
      </rPr>
      <t>Delete</t>
    </r>
    <r>
      <rPr>
        <sz val="11"/>
        <color theme="1"/>
        <rFont val="Calibri"/>
        <family val="2"/>
        <scheme val="minor"/>
      </rPr>
      <t xml:space="preserve"> buttons should be enabled for delete the record.
 -&gt; </t>
    </r>
    <r>
      <rPr>
        <b/>
        <sz val="11"/>
        <color theme="1"/>
        <rFont val="Calibri"/>
        <family val="2"/>
        <scheme val="minor"/>
      </rPr>
      <t>Save</t>
    </r>
    <r>
      <rPr>
        <sz val="11"/>
        <color theme="1"/>
        <rFont val="Calibri"/>
        <family val="2"/>
        <scheme val="minor"/>
      </rPr>
      <t xml:space="preserve"> button should be disabled
</t>
    </r>
    <r>
      <rPr>
        <b/>
        <sz val="11"/>
        <color theme="1"/>
        <rFont val="Calibri"/>
        <family val="2"/>
        <scheme val="minor"/>
      </rPr>
      <t>6. After a record is deleted:</t>
    </r>
    <r>
      <rPr>
        <sz val="11"/>
        <color theme="1"/>
        <rFont val="Calibri"/>
        <family val="2"/>
        <scheme val="minor"/>
      </rPr>
      <t xml:space="preserve">
 -&gt; </t>
    </r>
    <r>
      <rPr>
        <b/>
        <sz val="11"/>
        <color theme="1"/>
        <rFont val="Calibri"/>
        <family val="2"/>
        <scheme val="minor"/>
      </rPr>
      <t>Delete</t>
    </r>
    <r>
      <rPr>
        <sz val="11"/>
        <color theme="1"/>
        <rFont val="Calibri"/>
        <family val="2"/>
        <scheme val="minor"/>
      </rPr>
      <t xml:space="preserve"> buttons should be disabled
 -&gt; </t>
    </r>
    <r>
      <rPr>
        <b/>
        <sz val="11"/>
        <color theme="1"/>
        <rFont val="Calibri"/>
        <family val="2"/>
        <scheme val="minor"/>
      </rPr>
      <t>Save</t>
    </r>
    <r>
      <rPr>
        <sz val="11"/>
        <color theme="1"/>
        <rFont val="Calibri"/>
        <family val="2"/>
        <scheme val="minor"/>
      </rPr>
      <t xml:space="preserve"> button should be enabled to allow creation of a new record
 -&gt; Page should return to New state</t>
    </r>
  </si>
  <si>
    <r>
      <t xml:space="preserve">1. </t>
    </r>
    <r>
      <rPr>
        <b/>
        <sz val="11"/>
        <color theme="1"/>
        <rFont val="Calibri"/>
        <family val="2"/>
        <scheme val="minor"/>
      </rPr>
      <t>Modify</t>
    </r>
    <r>
      <rPr>
        <sz val="11"/>
        <color theme="1"/>
        <rFont val="Calibri"/>
        <family val="2"/>
        <scheme val="minor"/>
      </rPr>
      <t xml:space="preserve"> button should be enabled only when a record is selected and its data is loaded into the corresponding textboxes.
2. On clicking </t>
    </r>
    <r>
      <rPr>
        <b/>
        <sz val="11"/>
        <color theme="1"/>
        <rFont val="Calibri"/>
        <family val="2"/>
        <scheme val="minor"/>
      </rPr>
      <t>Modify</t>
    </r>
    <r>
      <rPr>
        <sz val="11"/>
        <color theme="1"/>
        <rFont val="Calibri"/>
        <family val="2"/>
        <scheme val="minor"/>
      </rPr>
      <t xml:space="preserve">, the record should be updated with the new values.
3. The updated record should reflect correctly in the left side panel list.
4. User should be able to </t>
    </r>
    <r>
      <rPr>
        <b/>
        <sz val="11"/>
        <color theme="1"/>
        <rFont val="Calibri"/>
        <family val="2"/>
        <scheme val="minor"/>
      </rPr>
      <t>modify</t>
    </r>
    <r>
      <rPr>
        <sz val="11"/>
        <color theme="1"/>
        <rFont val="Calibri"/>
        <family val="2"/>
        <scheme val="minor"/>
      </rPr>
      <t xml:space="preserve"> the same record multiple times.
5. </t>
    </r>
    <r>
      <rPr>
        <b/>
        <sz val="11"/>
        <color theme="1"/>
        <rFont val="Calibri"/>
        <family val="2"/>
        <scheme val="minor"/>
      </rPr>
      <t>When the page is in New state (no record selected):</t>
    </r>
    <r>
      <rPr>
        <sz val="11"/>
        <color theme="1"/>
        <rFont val="Calibri"/>
        <family val="2"/>
        <scheme val="minor"/>
      </rPr>
      <t xml:space="preserve">
 -&gt; </t>
    </r>
    <r>
      <rPr>
        <b/>
        <sz val="11"/>
        <color theme="1"/>
        <rFont val="Calibri"/>
        <family val="2"/>
        <scheme val="minor"/>
      </rPr>
      <t>Save</t>
    </r>
    <r>
      <rPr>
        <sz val="11"/>
        <color theme="1"/>
        <rFont val="Calibri"/>
        <family val="2"/>
        <scheme val="minor"/>
      </rPr>
      <t xml:space="preserve"> button should be enabled
 -&gt; </t>
    </r>
    <r>
      <rPr>
        <b/>
        <sz val="11"/>
        <color theme="1"/>
        <rFont val="Calibri"/>
        <family val="2"/>
        <scheme val="minor"/>
      </rPr>
      <t>Modify</t>
    </r>
    <r>
      <rPr>
        <sz val="11"/>
        <color theme="1"/>
        <rFont val="Calibri"/>
        <family val="2"/>
        <scheme val="minor"/>
      </rPr>
      <t xml:space="preserve"> buttons should be disabled
</t>
    </r>
    <r>
      <rPr>
        <b/>
        <sz val="11"/>
        <color theme="1"/>
        <rFont val="Calibri"/>
        <family val="2"/>
        <scheme val="minor"/>
      </rPr>
      <t>6. When a record is selected from the left-side panel:</t>
    </r>
    <r>
      <rPr>
        <sz val="11"/>
        <color theme="1"/>
        <rFont val="Calibri"/>
        <family val="2"/>
        <scheme val="minor"/>
      </rPr>
      <t xml:space="preserve">
 -&gt; </t>
    </r>
    <r>
      <rPr>
        <b/>
        <sz val="11"/>
        <color theme="1"/>
        <rFont val="Calibri"/>
        <family val="2"/>
        <scheme val="minor"/>
      </rPr>
      <t>Modify</t>
    </r>
    <r>
      <rPr>
        <sz val="11"/>
        <color theme="1"/>
        <rFont val="Calibri"/>
        <family val="2"/>
        <scheme val="minor"/>
      </rPr>
      <t xml:space="preserve"> buttons should be enabled
 -&gt; </t>
    </r>
    <r>
      <rPr>
        <b/>
        <sz val="11"/>
        <color theme="1"/>
        <rFont val="Calibri"/>
        <family val="2"/>
        <scheme val="minor"/>
      </rPr>
      <t>Save</t>
    </r>
    <r>
      <rPr>
        <sz val="11"/>
        <color theme="1"/>
        <rFont val="Calibri"/>
        <family val="2"/>
        <scheme val="minor"/>
      </rPr>
      <t xml:space="preserve"> button should be disabled
</t>
    </r>
    <r>
      <rPr>
        <b/>
        <sz val="11"/>
        <color theme="1"/>
        <rFont val="Calibri"/>
        <family val="2"/>
        <scheme val="minor"/>
      </rPr>
      <t>7. After a record is modified:</t>
    </r>
    <r>
      <rPr>
        <sz val="11"/>
        <color theme="1"/>
        <rFont val="Calibri"/>
        <family val="2"/>
        <scheme val="minor"/>
      </rPr>
      <t xml:space="preserve">
 -&gt; </t>
    </r>
    <r>
      <rPr>
        <b/>
        <sz val="11"/>
        <color theme="1"/>
        <rFont val="Calibri"/>
        <family val="2"/>
        <scheme val="minor"/>
      </rPr>
      <t>Modify</t>
    </r>
    <r>
      <rPr>
        <sz val="11"/>
        <color theme="1"/>
        <rFont val="Calibri"/>
        <family val="2"/>
        <scheme val="minor"/>
      </rPr>
      <t xml:space="preserve"> buttons should be disabled
 -&gt; </t>
    </r>
    <r>
      <rPr>
        <b/>
        <sz val="11"/>
        <color theme="1"/>
        <rFont val="Calibri"/>
        <family val="2"/>
        <scheme val="minor"/>
      </rPr>
      <t>Save</t>
    </r>
    <r>
      <rPr>
        <sz val="11"/>
        <color theme="1"/>
        <rFont val="Calibri"/>
        <family val="2"/>
        <scheme val="minor"/>
      </rPr>
      <t xml:space="preserve"> button should be enabled to allow creation of a new record
 -&gt; Page should return to New state</t>
    </r>
  </si>
  <si>
    <t>BA-490</t>
  </si>
  <si>
    <t>BA-506</t>
  </si>
  <si>
    <t>BA-508</t>
  </si>
  <si>
    <t>BA-510</t>
  </si>
  <si>
    <t>1. Port Name is accepting only Alphabetic value.
2. Port Name is not accepting Numeric value, special character value (but (`) (backtick) is accepting)
3. 20-character input limitation is applied correctly.</t>
  </si>
  <si>
    <t>BA-515</t>
  </si>
  <si>
    <t>BA-516</t>
  </si>
  <si>
    <t>Fixed
As discussed with Lalchand Sir, this field is currently not required, so it can be left as is, No need to work on that fields</t>
  </si>
  <si>
    <r>
      <t xml:space="preserve">Validate the functionality of </t>
    </r>
    <r>
      <rPr>
        <b/>
        <sz val="11"/>
        <color theme="1"/>
        <rFont val="Calibri"/>
        <family val="2"/>
        <scheme val="minor"/>
      </rPr>
      <t>Delete</t>
    </r>
    <r>
      <rPr>
        <sz val="11"/>
        <color theme="1"/>
        <rFont val="Calibri"/>
        <family val="2"/>
        <scheme val="minor"/>
      </rPr>
      <t xml:space="preserve"> button on the Country Master Page.</t>
    </r>
  </si>
  <si>
    <t>BA-525</t>
  </si>
  <si>
    <t xml:space="preserve">Pass
</t>
  </si>
  <si>
    <t>BA-527</t>
  </si>
  <si>
    <t xml:space="preserve">EDI Master --&gt; CHA Port Master
</t>
  </si>
  <si>
    <t>CHA_PM_01</t>
  </si>
  <si>
    <t>EDI Master -&gt; CHA Port Master</t>
  </si>
  <si>
    <r>
      <t xml:space="preserve">Validate the functionality of </t>
    </r>
    <r>
      <rPr>
        <b/>
        <sz val="11"/>
        <color theme="1"/>
        <rFont val="Calibri"/>
        <family val="2"/>
        <scheme val="minor"/>
      </rPr>
      <t xml:space="preserve">CHA Port Master,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</si>
  <si>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CHA Port Master</t>
    </r>
  </si>
  <si>
    <r>
      <t xml:space="preserve">On Mouse Hovering action on </t>
    </r>
    <r>
      <rPr>
        <b/>
        <sz val="11"/>
        <color theme="1"/>
        <rFont val="Calibri"/>
        <family val="2"/>
        <scheme val="minor"/>
      </rPr>
      <t>Masters -&gt; EDI Master -&gt; CHA Port Master</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</si>
  <si>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CHA Port Master</t>
    </r>
    <r>
      <rPr>
        <sz val="11"/>
        <color theme="1"/>
        <rFont val="Calibri"/>
        <family val="2"/>
        <scheme val="minor"/>
      </rPr>
      <t xml:space="preserve"> Page is opening properly.</t>
    </r>
  </si>
  <si>
    <r>
      <rPr>
        <b/>
        <sz val="10"/>
        <color rgb="FF444746"/>
        <rFont val="Segoe UI"/>
        <family val="2"/>
      </rPr>
      <t>Google Chrome</t>
    </r>
    <r>
      <rPr>
        <sz val="10"/>
        <color rgb="FF444746"/>
        <rFont val="Segoe UI"/>
        <family val="2"/>
      </rPr>
      <t xml:space="preserve"> - Version 144.0.7559.59 (Official Build) (64-bit)
</t>
    </r>
    <r>
      <rPr>
        <b/>
        <sz val="10"/>
        <color rgb="FF444746"/>
        <rFont val="Segoe UI"/>
        <family val="2"/>
      </rPr>
      <t>Microsoft Edge -</t>
    </r>
    <r>
      <rPr>
        <sz val="10"/>
        <color rgb="FF444746"/>
        <rFont val="Segoe UI"/>
        <family val="2"/>
      </rPr>
      <t xml:space="preserve"> Version 143.0.3650.139 (Official build) (64-bit)</t>
    </r>
  </si>
  <si>
    <t>CHA_PM_02</t>
  </si>
  <si>
    <r>
      <t xml:space="preserve">Validate the functionality of </t>
    </r>
    <r>
      <rPr>
        <b/>
        <sz val="11"/>
        <color theme="1"/>
        <rFont val="Calibri"/>
        <family val="2"/>
        <scheme val="minor"/>
      </rPr>
      <t xml:space="preserve">Port Code </t>
    </r>
    <r>
      <rPr>
        <sz val="11"/>
        <color theme="1"/>
        <rFont val="Calibri"/>
        <family val="2"/>
        <scheme val="minor"/>
      </rPr>
      <t>&amp;</t>
    </r>
    <r>
      <rPr>
        <b/>
        <sz val="11"/>
        <color theme="1"/>
        <rFont val="Calibri"/>
        <family val="2"/>
        <scheme val="minor"/>
      </rPr>
      <t xml:space="preserve"> Port Name </t>
    </r>
    <r>
      <rPr>
        <sz val="11"/>
        <color theme="1"/>
        <rFont val="Calibri"/>
        <family val="2"/>
        <scheme val="minor"/>
      </rPr>
      <t xml:space="preserve">radio button in the left side panel of the </t>
    </r>
    <r>
      <rPr>
        <b/>
        <sz val="11"/>
        <color theme="1"/>
        <rFont val="Calibri"/>
        <family val="2"/>
        <scheme val="minor"/>
      </rPr>
      <t>CHA Port Master</t>
    </r>
    <r>
      <rPr>
        <sz val="11"/>
        <color theme="1"/>
        <rFont val="Calibri"/>
        <family val="2"/>
        <scheme val="minor"/>
      </rPr>
      <t xml:space="preserve"> Page.</t>
    </r>
  </si>
  <si>
    <r>
      <t xml:space="preserve">Radio Button - </t>
    </r>
    <r>
      <rPr>
        <b/>
        <sz val="11"/>
        <color theme="1"/>
        <rFont val="Calibri"/>
        <family val="2"/>
        <scheme val="minor"/>
      </rPr>
      <t>Port Code &amp; Port Name</t>
    </r>
  </si>
  <si>
    <r>
      <t xml:space="preserve">1. </t>
    </r>
    <r>
      <rPr>
        <b/>
        <sz val="11"/>
        <color theme="1"/>
        <rFont val="Calibri"/>
        <family val="2"/>
        <scheme val="minor"/>
      </rPr>
      <t xml:space="preserve">Port Code </t>
    </r>
    <r>
      <rPr>
        <sz val="11"/>
        <color theme="1"/>
        <rFont val="Calibri"/>
        <family val="2"/>
        <scheme val="minor"/>
      </rPr>
      <t xml:space="preserve">radio button should be selectable. 
2. </t>
    </r>
    <r>
      <rPr>
        <b/>
        <sz val="11"/>
        <color theme="1"/>
        <rFont val="Calibri"/>
        <family val="2"/>
        <scheme val="minor"/>
      </rPr>
      <t>Port Name</t>
    </r>
    <r>
      <rPr>
        <sz val="11"/>
        <color theme="1"/>
        <rFont val="Calibri"/>
        <family val="2"/>
        <scheme val="minor"/>
      </rPr>
      <t xml:space="preserve"> radio button should be selectable 
3. Only one radio button (</t>
    </r>
    <r>
      <rPr>
        <b/>
        <sz val="11"/>
        <color theme="1"/>
        <rFont val="Calibri"/>
        <family val="2"/>
        <scheme val="minor"/>
      </rPr>
      <t>Port Code</t>
    </r>
    <r>
      <rPr>
        <sz val="11"/>
        <color theme="1"/>
        <rFont val="Calibri"/>
        <family val="2"/>
        <scheme val="minor"/>
      </rPr>
      <t xml:space="preserve"> or </t>
    </r>
    <r>
      <rPr>
        <b/>
        <sz val="11"/>
        <color theme="1"/>
        <rFont val="Calibri"/>
        <family val="2"/>
        <scheme val="minor"/>
      </rPr>
      <t>Port Name</t>
    </r>
    <r>
      <rPr>
        <sz val="11"/>
        <color theme="1"/>
        <rFont val="Calibri"/>
        <family val="2"/>
        <scheme val="minor"/>
      </rPr>
      <t>) should remain selected at a time.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</si>
  <si>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CHA Port Master
2</t>
    </r>
    <r>
      <rPr>
        <sz val="11"/>
        <color theme="1"/>
        <rFont val="Calibri"/>
        <family val="2"/>
        <scheme val="minor"/>
      </rPr>
      <t xml:space="preserve">. Select the </t>
    </r>
    <r>
      <rPr>
        <b/>
        <sz val="11"/>
        <color theme="1"/>
        <rFont val="Calibri"/>
        <family val="2"/>
        <scheme val="minor"/>
      </rPr>
      <t xml:space="preserve">Port Code </t>
    </r>
    <r>
      <rPr>
        <sz val="11"/>
        <color theme="1"/>
        <rFont val="Calibri"/>
        <family val="2"/>
        <scheme val="minor"/>
      </rPr>
      <t xml:space="preserve">radio button and observe the system behavior.
3. Select the </t>
    </r>
    <r>
      <rPr>
        <b/>
        <sz val="11"/>
        <color theme="1"/>
        <rFont val="Calibri"/>
        <family val="2"/>
        <scheme val="minor"/>
      </rPr>
      <t>Port Name</t>
    </r>
    <r>
      <rPr>
        <sz val="11"/>
        <color theme="1"/>
        <rFont val="Calibri"/>
        <family val="2"/>
        <scheme val="minor"/>
      </rPr>
      <t xml:space="preserve"> radio button and observe the system behavior.
</t>
    </r>
  </si>
  <si>
    <r>
      <t xml:space="preserve">1. </t>
    </r>
    <r>
      <rPr>
        <b/>
        <sz val="11"/>
        <color theme="1"/>
        <rFont val="Calibri"/>
        <family val="2"/>
        <scheme val="minor"/>
      </rPr>
      <t>Port Code</t>
    </r>
    <r>
      <rPr>
        <sz val="11"/>
        <color theme="1"/>
        <rFont val="Calibri"/>
        <family val="2"/>
        <scheme val="minor"/>
      </rPr>
      <t xml:space="preserve"> and </t>
    </r>
    <r>
      <rPr>
        <b/>
        <sz val="11"/>
        <color theme="1"/>
        <rFont val="Calibri"/>
        <family val="2"/>
        <scheme val="minor"/>
      </rPr>
      <t>Port Name</t>
    </r>
    <r>
      <rPr>
        <sz val="11"/>
        <color theme="1"/>
        <rFont val="Calibri"/>
        <family val="2"/>
        <scheme val="minor"/>
      </rPr>
      <t xml:space="preserve"> radio buttons are selectable.
2. Only one radio button can be selected at a time.
3. Functionality is working as expected.</t>
    </r>
  </si>
  <si>
    <t>CHA_PM_03</t>
  </si>
  <si>
    <r>
      <t xml:space="preserve">1. Select </t>
    </r>
    <r>
      <rPr>
        <b/>
        <sz val="11"/>
        <color theme="1"/>
        <rFont val="Calibri"/>
        <family val="2"/>
        <scheme val="minor"/>
      </rPr>
      <t>Port Code</t>
    </r>
    <r>
      <rPr>
        <sz val="11"/>
        <color theme="1"/>
        <rFont val="Calibri"/>
        <family val="2"/>
        <scheme val="minor"/>
      </rPr>
      <t xml:space="preserve"> Radio Button
</t>
    </r>
    <r>
      <rPr>
        <b/>
        <sz val="11"/>
        <color theme="1"/>
        <rFont val="Calibri"/>
        <family val="2"/>
        <scheme val="minor"/>
      </rPr>
      <t xml:space="preserve">
Valid  Data - </t>
    </r>
    <r>
      <rPr>
        <sz val="11"/>
        <color theme="1"/>
        <rFont val="Calibri"/>
        <family val="2"/>
        <scheme val="minor"/>
      </rPr>
      <t>INADG6, INAJM6</t>
    </r>
    <r>
      <rPr>
        <b/>
        <sz val="11"/>
        <color theme="1"/>
        <rFont val="Calibri"/>
        <family val="2"/>
        <scheme val="minor"/>
      </rPr>
      <t xml:space="preserve">
Invalid Data - </t>
    </r>
    <r>
      <rPr>
        <sz val="11"/>
        <color theme="1"/>
        <rFont val="Calibri"/>
        <family val="2"/>
        <scheme val="minor"/>
      </rPr>
      <t xml:space="preserve">123, @@#, ABC, a1@ </t>
    </r>
  </si>
  <si>
    <r>
      <t xml:space="preserve">1. Search functionality works based on </t>
    </r>
    <r>
      <rPr>
        <b/>
        <sz val="11"/>
        <color theme="1"/>
        <rFont val="Calibri"/>
        <family val="2"/>
        <scheme val="minor"/>
      </rPr>
      <t>Port Code</t>
    </r>
    <r>
      <rPr>
        <sz val="11"/>
        <color theme="1"/>
        <rFont val="Calibri"/>
        <family val="2"/>
        <scheme val="minor"/>
      </rPr>
      <t xml:space="preserve"> when the </t>
    </r>
    <r>
      <rPr>
        <b/>
        <sz val="11"/>
        <color theme="1"/>
        <rFont val="Calibri"/>
        <family val="2"/>
        <scheme val="minor"/>
      </rPr>
      <t>Port Code</t>
    </r>
    <r>
      <rPr>
        <sz val="11"/>
        <color theme="1"/>
        <rFont val="Calibri"/>
        <family val="2"/>
        <scheme val="minor"/>
      </rPr>
      <t xml:space="preserve"> radio button is selected.
2. Valid </t>
    </r>
    <r>
      <rPr>
        <b/>
        <sz val="11"/>
        <color theme="1"/>
        <rFont val="Calibri"/>
        <family val="2"/>
        <scheme val="minor"/>
      </rPr>
      <t>Port Codes</t>
    </r>
    <r>
      <rPr>
        <sz val="11"/>
        <color theme="1"/>
        <rFont val="Calibri"/>
        <family val="2"/>
        <scheme val="minor"/>
      </rPr>
      <t xml:space="preserve"> display the correct matching records.
3. Invalid or non-matching values return an empty result list.
4. Functionality is working as expected.</t>
    </r>
  </si>
  <si>
    <t>CHA_PM_04</t>
  </si>
  <si>
    <r>
      <t xml:space="preserve">Validate the functionality of </t>
    </r>
    <r>
      <rPr>
        <b/>
        <sz val="11"/>
        <color theme="1"/>
        <rFont val="Calibri"/>
        <family val="2"/>
        <scheme val="minor"/>
      </rPr>
      <t xml:space="preserve">Search CHA Port </t>
    </r>
    <r>
      <rPr>
        <sz val="11"/>
        <color theme="1"/>
        <rFont val="Calibri"/>
        <family val="2"/>
        <scheme val="minor"/>
      </rPr>
      <t>textbox, when the</t>
    </r>
    <r>
      <rPr>
        <b/>
        <sz val="11"/>
        <color theme="1"/>
        <rFont val="Calibri"/>
        <family val="2"/>
        <scheme val="minor"/>
      </rPr>
      <t xml:space="preserve"> Port Code</t>
    </r>
    <r>
      <rPr>
        <sz val="11"/>
        <color theme="1"/>
        <rFont val="Calibri"/>
        <family val="2"/>
        <scheme val="minor"/>
      </rPr>
      <t xml:space="preserve"> radio button is selected in the </t>
    </r>
    <r>
      <rPr>
        <b/>
        <sz val="11"/>
        <color theme="1"/>
        <rFont val="Calibri"/>
        <family val="2"/>
        <scheme val="minor"/>
      </rPr>
      <t>CHA Port Master</t>
    </r>
    <r>
      <rPr>
        <sz val="11"/>
        <color theme="1"/>
        <rFont val="Calibri"/>
        <family val="2"/>
        <scheme val="minor"/>
      </rPr>
      <t xml:space="preserve"> Page.</t>
    </r>
  </si>
  <si>
    <r>
      <t xml:space="preserve">Validate the functionality of </t>
    </r>
    <r>
      <rPr>
        <b/>
        <sz val="11"/>
        <color theme="1"/>
        <rFont val="Calibri"/>
        <family val="2"/>
        <scheme val="minor"/>
      </rPr>
      <t xml:space="preserve">Search CHA Port </t>
    </r>
    <r>
      <rPr>
        <sz val="11"/>
        <color theme="1"/>
        <rFont val="Calibri"/>
        <family val="2"/>
        <scheme val="minor"/>
      </rPr>
      <t>textbox, when the</t>
    </r>
    <r>
      <rPr>
        <b/>
        <sz val="11"/>
        <color theme="1"/>
        <rFont val="Calibri"/>
        <family val="2"/>
        <scheme val="minor"/>
      </rPr>
      <t xml:space="preserve"> Port Name </t>
    </r>
    <r>
      <rPr>
        <sz val="11"/>
        <color theme="1"/>
        <rFont val="Calibri"/>
        <family val="2"/>
        <scheme val="minor"/>
      </rPr>
      <t xml:space="preserve">radio button is selected in the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</si>
  <si>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CHA Port Master
</t>
    </r>
    <r>
      <rPr>
        <sz val="11"/>
        <color theme="1"/>
        <rFont val="Calibri"/>
        <family val="2"/>
        <scheme val="minor"/>
      </rPr>
      <t xml:space="preserve">2. Select </t>
    </r>
    <r>
      <rPr>
        <b/>
        <sz val="11"/>
        <color theme="1"/>
        <rFont val="Calibri"/>
        <family val="2"/>
        <scheme val="minor"/>
      </rPr>
      <t>Port Name</t>
    </r>
    <r>
      <rPr>
        <sz val="11"/>
        <color theme="1"/>
        <rFont val="Calibri"/>
        <family val="2"/>
        <scheme val="minor"/>
      </rPr>
      <t xml:space="preserve"> Radio button
3. Enter different </t>
    </r>
    <r>
      <rPr>
        <b/>
        <sz val="11"/>
        <color theme="1"/>
        <rFont val="Calibri"/>
        <family val="2"/>
        <scheme val="minor"/>
      </rPr>
      <t>Port Name</t>
    </r>
    <r>
      <rPr>
        <sz val="11"/>
        <color theme="1"/>
        <rFont val="Calibri"/>
        <family val="2"/>
        <scheme val="minor"/>
      </rPr>
      <t xml:space="preserve"> values in the </t>
    </r>
    <r>
      <rPr>
        <b/>
        <sz val="11"/>
        <color theme="1"/>
        <rFont val="Calibri"/>
        <family val="2"/>
        <scheme val="minor"/>
      </rPr>
      <t>Search textbox</t>
    </r>
    <r>
      <rPr>
        <sz val="11"/>
        <color theme="1"/>
        <rFont val="Calibri"/>
        <family val="2"/>
        <scheme val="minor"/>
      </rPr>
      <t xml:space="preserve"> and validate the output results.
</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</si>
  <si>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CHA Port Master
</t>
    </r>
    <r>
      <rPr>
        <sz val="11"/>
        <color theme="1"/>
        <rFont val="Calibri"/>
        <family val="2"/>
        <scheme val="minor"/>
      </rPr>
      <t xml:space="preserve">2. Select </t>
    </r>
    <r>
      <rPr>
        <b/>
        <sz val="11"/>
        <color theme="1"/>
        <rFont val="Calibri"/>
        <family val="2"/>
        <scheme val="minor"/>
      </rPr>
      <t>CHA</t>
    </r>
    <r>
      <rPr>
        <sz val="11"/>
        <color theme="1"/>
        <rFont val="Calibri"/>
        <family val="2"/>
        <scheme val="minor"/>
      </rPr>
      <t xml:space="preserve"> </t>
    </r>
    <r>
      <rPr>
        <b/>
        <sz val="11"/>
        <color theme="1"/>
        <rFont val="Calibri"/>
        <family val="2"/>
        <scheme val="minor"/>
      </rPr>
      <t>Port Code</t>
    </r>
    <r>
      <rPr>
        <sz val="11"/>
        <color theme="1"/>
        <rFont val="Calibri"/>
        <family val="2"/>
        <scheme val="minor"/>
      </rPr>
      <t xml:space="preserve"> Radio button
3. Enter different </t>
    </r>
    <r>
      <rPr>
        <b/>
        <sz val="11"/>
        <color theme="1"/>
        <rFont val="Calibri"/>
        <family val="2"/>
        <scheme val="minor"/>
      </rPr>
      <t>CHA Port Code</t>
    </r>
    <r>
      <rPr>
        <sz val="11"/>
        <color theme="1"/>
        <rFont val="Calibri"/>
        <family val="2"/>
        <scheme val="minor"/>
      </rPr>
      <t xml:space="preserve"> values in the </t>
    </r>
    <r>
      <rPr>
        <b/>
        <sz val="11"/>
        <color theme="1"/>
        <rFont val="Calibri"/>
        <family val="2"/>
        <scheme val="minor"/>
      </rPr>
      <t>Search textbox</t>
    </r>
    <r>
      <rPr>
        <sz val="11"/>
        <color theme="1"/>
        <rFont val="Calibri"/>
        <family val="2"/>
        <scheme val="minor"/>
      </rPr>
      <t xml:space="preserve"> and validate the output results.
</t>
    </r>
  </si>
  <si>
    <r>
      <t xml:space="preserve">1. When the </t>
    </r>
    <r>
      <rPr>
        <b/>
        <sz val="11"/>
        <color theme="1"/>
        <rFont val="Calibri"/>
        <family val="2"/>
        <scheme val="minor"/>
      </rPr>
      <t>Port Code</t>
    </r>
    <r>
      <rPr>
        <sz val="11"/>
        <color theme="1"/>
        <rFont val="Calibri"/>
        <family val="2"/>
        <scheme val="minor"/>
      </rPr>
      <t xml:space="preserve"> radio button is selected, the Search field must work  based on </t>
    </r>
    <r>
      <rPr>
        <b/>
        <sz val="11"/>
        <color theme="1"/>
        <rFont val="Calibri"/>
        <family val="2"/>
        <scheme val="minor"/>
      </rPr>
      <t>Port Code</t>
    </r>
    <r>
      <rPr>
        <sz val="11"/>
        <color theme="1"/>
        <rFont val="Calibri"/>
        <family val="2"/>
        <scheme val="minor"/>
      </rPr>
      <t xml:space="preserve"> values only.
2. The system must display only valid and correctly matching records when a valid </t>
    </r>
    <r>
      <rPr>
        <b/>
        <sz val="11"/>
        <color theme="1"/>
        <rFont val="Calibri"/>
        <family val="2"/>
        <scheme val="minor"/>
      </rPr>
      <t>CHA Port Code</t>
    </r>
    <r>
      <rPr>
        <sz val="11"/>
        <color theme="1"/>
        <rFont val="Calibri"/>
        <family val="2"/>
        <scheme val="minor"/>
      </rPr>
      <t xml:space="preserve"> is entered.
3. If no record matches the keyword, the list should appear empty.</t>
    </r>
  </si>
  <si>
    <r>
      <t xml:space="preserve">1. Select </t>
    </r>
    <r>
      <rPr>
        <b/>
        <sz val="11"/>
        <color theme="1"/>
        <rFont val="Calibri"/>
        <family val="2"/>
        <scheme val="minor"/>
      </rPr>
      <t>Port Name</t>
    </r>
    <r>
      <rPr>
        <sz val="11"/>
        <color theme="1"/>
        <rFont val="Calibri"/>
        <family val="2"/>
        <scheme val="minor"/>
      </rPr>
      <t xml:space="preserve"> Radio Button
</t>
    </r>
    <r>
      <rPr>
        <b/>
        <sz val="11"/>
        <color theme="1"/>
        <rFont val="Calibri"/>
        <family val="2"/>
        <scheme val="minor"/>
      </rPr>
      <t xml:space="preserve">
</t>
    </r>
    <r>
      <rPr>
        <sz val="11"/>
        <color theme="1"/>
        <rFont val="Calibri"/>
        <family val="2"/>
        <scheme val="minor"/>
      </rPr>
      <t>Valid  Data</t>
    </r>
    <r>
      <rPr>
        <b/>
        <sz val="11"/>
        <color theme="1"/>
        <rFont val="Calibri"/>
        <family val="2"/>
        <scheme val="minor"/>
      </rPr>
      <t xml:space="preserve"> - BEDI PORT SEA
</t>
    </r>
    <r>
      <rPr>
        <sz val="11"/>
        <color theme="1"/>
        <rFont val="Calibri"/>
        <family val="2"/>
        <scheme val="minor"/>
      </rPr>
      <t>Invalid Data</t>
    </r>
    <r>
      <rPr>
        <b/>
        <sz val="11"/>
        <color theme="1"/>
        <rFont val="Calibri"/>
        <family val="2"/>
        <scheme val="minor"/>
      </rPr>
      <t xml:space="preserve"> - 123, @@#, ABC, a1@</t>
    </r>
  </si>
  <si>
    <r>
      <t xml:space="preserve">1. When the </t>
    </r>
    <r>
      <rPr>
        <b/>
        <sz val="11"/>
        <color theme="1"/>
        <rFont val="Calibri"/>
        <family val="2"/>
        <scheme val="minor"/>
      </rPr>
      <t>Port Name</t>
    </r>
    <r>
      <rPr>
        <sz val="11"/>
        <color theme="1"/>
        <rFont val="Calibri"/>
        <family val="2"/>
        <scheme val="minor"/>
      </rPr>
      <t xml:space="preserve"> radio button is selected, the search field must work based on </t>
    </r>
    <r>
      <rPr>
        <b/>
        <sz val="11"/>
        <color theme="1"/>
        <rFont val="Calibri"/>
        <family val="2"/>
        <scheme val="minor"/>
      </rPr>
      <t>CHA</t>
    </r>
    <r>
      <rPr>
        <sz val="11"/>
        <color theme="1"/>
        <rFont val="Calibri"/>
        <family val="2"/>
        <scheme val="minor"/>
      </rPr>
      <t xml:space="preserve"> </t>
    </r>
    <r>
      <rPr>
        <b/>
        <sz val="11"/>
        <color theme="1"/>
        <rFont val="Calibri"/>
        <family val="2"/>
        <scheme val="minor"/>
      </rPr>
      <t>Port Name</t>
    </r>
    <r>
      <rPr>
        <sz val="11"/>
        <color theme="1"/>
        <rFont val="Calibri"/>
        <family val="2"/>
        <scheme val="minor"/>
      </rPr>
      <t xml:space="preserve"> values.
2. Search textbox should return all matching records for:
 -&gt; Full match
 -&gt; Partial match (any word in the record name)
 -&gt; Case-insensitive input
2. Records should dynamically filter based on the entered search keyword.
3. If no record matches the keyword, the list should appear empty.
</t>
    </r>
  </si>
  <si>
    <r>
      <t>1. The</t>
    </r>
    <r>
      <rPr>
        <b/>
        <sz val="11"/>
        <color theme="1"/>
        <rFont val="Calibri"/>
        <family val="2"/>
        <scheme val="minor"/>
      </rPr>
      <t xml:space="preserve"> Search textbox</t>
    </r>
    <r>
      <rPr>
        <sz val="11"/>
        <color theme="1"/>
        <rFont val="Calibri"/>
        <family val="2"/>
        <scheme val="minor"/>
      </rPr>
      <t xml:space="preserve"> is working only for the first word of the record name.
</t>
    </r>
    <r>
      <rPr>
        <b/>
        <sz val="11"/>
        <color theme="1"/>
        <rFont val="Calibri"/>
        <family val="2"/>
        <scheme val="minor"/>
      </rPr>
      <t xml:space="preserve">Example record: 'BEDI PORT SEA' record
</t>
    </r>
    <r>
      <rPr>
        <sz val="11"/>
        <color theme="1"/>
        <rFont val="Calibri"/>
        <family val="2"/>
        <scheme val="minor"/>
      </rPr>
      <t>-&gt; Searching 'BEDI' → Return Result
 -&gt; Searching 'PORT' →  No result
 -&gt; Searching 'SEA' →  No result</t>
    </r>
  </si>
  <si>
    <t>CHA_PM_05</t>
  </si>
  <si>
    <r>
      <t xml:space="preserve">Validate </t>
    </r>
    <r>
      <rPr>
        <b/>
        <sz val="11"/>
        <color theme="1"/>
        <rFont val="Calibri"/>
        <family val="2"/>
        <scheme val="minor"/>
      </rPr>
      <t>Sort Ascending / Sort Descending</t>
    </r>
    <r>
      <rPr>
        <sz val="11"/>
        <color theme="1"/>
        <rFont val="Calibri"/>
        <family val="2"/>
        <scheme val="minor"/>
      </rPr>
      <t xml:space="preserve"> and </t>
    </r>
    <r>
      <rPr>
        <b/>
        <sz val="11"/>
        <color theme="1"/>
        <rFont val="Calibri"/>
        <family val="2"/>
        <scheme val="minor"/>
      </rPr>
      <t>Column</t>
    </r>
    <r>
      <rPr>
        <sz val="11"/>
        <color theme="1"/>
        <rFont val="Calibri"/>
        <family val="2"/>
        <scheme val="minor"/>
      </rPr>
      <t xml:space="preserve"> Selection Checkbox Behavior for Left Panel List of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</si>
  <si>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CHA Port Master
2</t>
    </r>
    <r>
      <rPr>
        <sz val="11"/>
        <color theme="1"/>
        <rFont val="Calibri"/>
        <family val="2"/>
        <scheme val="minor"/>
      </rPr>
      <t>. On the left panel list, Click 
 -&gt; Sort Ascending and verify list order.
 -&gt; Click Sort Descending and verify list order.
 -&gt; Checkboxes: select all checkboxes all columns visible
 - &gt; deselect all - all columns hidden.</t>
    </r>
  </si>
  <si>
    <r>
      <t xml:space="preserve">1. </t>
    </r>
    <r>
      <rPr>
        <b/>
        <sz val="11"/>
        <color theme="1"/>
        <rFont val="Calibri"/>
        <family val="2"/>
        <scheme val="minor"/>
      </rPr>
      <t>Sorting:</t>
    </r>
    <r>
      <rPr>
        <sz val="11"/>
        <color theme="1"/>
        <rFont val="Calibri"/>
        <family val="2"/>
        <scheme val="minor"/>
      </rPr>
      <t xml:space="preserve"> This functionality is disabled.
2. </t>
    </r>
    <r>
      <rPr>
        <b/>
        <sz val="11"/>
        <color theme="1"/>
        <rFont val="Calibri"/>
        <family val="2"/>
        <scheme val="minor"/>
      </rPr>
      <t xml:space="preserve">Column Selection: 
</t>
    </r>
    <r>
      <rPr>
        <sz val="11"/>
        <color theme="1"/>
        <rFont val="Calibri"/>
        <family val="2"/>
        <scheme val="minor"/>
      </rPr>
      <t xml:space="preserve"> -&gt; CHA Port Code checkbox remian selected even when Port Code textbox value is not showing in left side panel </t>
    </r>
  </si>
  <si>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</si>
  <si>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CHA Port Master
</t>
    </r>
    <r>
      <rPr>
        <sz val="11"/>
        <color theme="1"/>
        <rFont val="Calibri"/>
        <family val="2"/>
        <scheme val="minor"/>
      </rPr>
      <t xml:space="preserve">2. From the </t>
    </r>
    <r>
      <rPr>
        <b/>
        <sz val="11"/>
        <color theme="1"/>
        <rFont val="Calibri"/>
        <family val="2"/>
        <scheme val="minor"/>
      </rPr>
      <t>left-panel list</t>
    </r>
    <r>
      <rPr>
        <sz val="11"/>
        <color theme="1"/>
        <rFont val="Calibri"/>
        <family val="2"/>
        <scheme val="minor"/>
      </rPr>
      <t xml:space="preserve">, select any record and observe the system behaviour.
2. Now select another record from the </t>
    </r>
    <r>
      <rPr>
        <b/>
        <sz val="11"/>
        <color theme="1"/>
        <rFont val="Calibri"/>
        <family val="2"/>
        <scheme val="minor"/>
      </rPr>
      <t>left panel list</t>
    </r>
    <r>
      <rPr>
        <sz val="11"/>
        <color theme="1"/>
        <rFont val="Calibri"/>
        <family val="2"/>
        <scheme val="minor"/>
      </rPr>
      <t xml:space="preserve"> and observe the system behaviour.</t>
    </r>
  </si>
  <si>
    <r>
      <t xml:space="preserve">1. The record selected from the </t>
    </r>
    <r>
      <rPr>
        <b/>
        <sz val="11"/>
        <color theme="1"/>
        <rFont val="Calibri"/>
        <family val="2"/>
        <scheme val="minor"/>
      </rPr>
      <t xml:space="preserve">left-panel list </t>
    </r>
    <r>
      <rPr>
        <sz val="11"/>
        <color theme="1"/>
        <rFont val="Calibri"/>
        <family val="2"/>
        <scheme val="minor"/>
      </rPr>
      <t xml:space="preserve">should be displayed correctly in the corresponding textboxes on the </t>
    </r>
    <r>
      <rPr>
        <b/>
        <sz val="11"/>
        <color theme="1"/>
        <rFont val="Calibri"/>
        <family val="2"/>
        <scheme val="minor"/>
      </rPr>
      <t xml:space="preserve">CHA Port Master </t>
    </r>
    <r>
      <rPr>
        <sz val="11"/>
        <color theme="1"/>
        <rFont val="Calibri"/>
        <family val="2"/>
        <scheme val="minor"/>
      </rPr>
      <t xml:space="preserve">page.
2. When another record is selected, the previously displayed details should be refreshed and replaced with the newly selected record details.
</t>
    </r>
  </si>
  <si>
    <t>1. Selected record details are correctly displayed in the corresponding textboxes.
2. On selecting another record, the details are refreshed and updated correctly.
3. Functionality is working as expected.</t>
  </si>
  <si>
    <t>CHA_PM_07</t>
  </si>
  <si>
    <r>
      <t xml:space="preserve">Validate the functionality of </t>
    </r>
    <r>
      <rPr>
        <b/>
        <sz val="11"/>
        <color theme="1"/>
        <rFont val="Calibri"/>
        <family val="2"/>
        <scheme val="minor"/>
      </rPr>
      <t xml:space="preserve">SEZ Port Category </t>
    </r>
    <r>
      <rPr>
        <sz val="11"/>
        <color theme="1"/>
        <rFont val="Calibri"/>
        <family val="2"/>
        <scheme val="minor"/>
      </rPr>
      <t>checkbox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</si>
  <si>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 -&gt; EDI Master -&gt; CHA Port Master</t>
    </r>
    <r>
      <rPr>
        <sz val="11"/>
        <color theme="1"/>
        <rFont val="Calibri"/>
        <family val="2"/>
        <scheme val="minor"/>
      </rPr>
      <t xml:space="preserve">
2.  Select the </t>
    </r>
    <r>
      <rPr>
        <b/>
        <sz val="11"/>
        <color theme="1"/>
        <rFont val="Calibri"/>
        <family val="2"/>
        <scheme val="minor"/>
      </rPr>
      <t>SEZ Port Category</t>
    </r>
    <r>
      <rPr>
        <sz val="11"/>
        <color theme="1"/>
        <rFont val="Calibri"/>
        <family val="2"/>
        <scheme val="minor"/>
      </rPr>
      <t xml:space="preserve"> checkbox and observe the system behavior.
3. Deselect the </t>
    </r>
    <r>
      <rPr>
        <b/>
        <sz val="11"/>
        <color theme="1"/>
        <rFont val="Calibri"/>
        <family val="2"/>
        <scheme val="minor"/>
      </rPr>
      <t>SEZ Port Category</t>
    </r>
    <r>
      <rPr>
        <sz val="11"/>
        <color theme="1"/>
        <rFont val="Calibri"/>
        <family val="2"/>
        <scheme val="minor"/>
      </rPr>
      <t xml:space="preserve"> checkbox and observe the system behavior.</t>
    </r>
  </si>
  <si>
    <r>
      <t xml:space="preserve">1. </t>
    </r>
    <r>
      <rPr>
        <b/>
        <sz val="11"/>
        <color theme="1"/>
        <rFont val="Calibri"/>
        <family val="2"/>
        <scheme val="minor"/>
      </rPr>
      <t>SEZ Port Category</t>
    </r>
    <r>
      <rPr>
        <sz val="11"/>
        <color theme="1"/>
        <rFont val="Calibri"/>
        <family val="2"/>
        <scheme val="minor"/>
      </rPr>
      <t xml:space="preserve"> checkbox should be selectable and deselectable.
2. When the </t>
    </r>
    <r>
      <rPr>
        <b/>
        <sz val="11"/>
        <color theme="1"/>
        <rFont val="Calibri"/>
        <family val="2"/>
        <scheme val="minor"/>
      </rPr>
      <t>SEZ Port Category</t>
    </r>
    <r>
      <rPr>
        <sz val="11"/>
        <color theme="1"/>
        <rFont val="Calibri"/>
        <family val="2"/>
        <scheme val="minor"/>
      </rPr>
      <t xml:space="preserve"> checkbox is selected, the following radio buttons should be automatically displayed:
 -&gt; Personal Baggage
 -&gt; Post
 -&gt; Data Link
 -&gt; Courier
3. When the</t>
    </r>
    <r>
      <rPr>
        <b/>
        <sz val="11"/>
        <color theme="1"/>
        <rFont val="Calibri"/>
        <family val="2"/>
        <scheme val="minor"/>
      </rPr>
      <t xml:space="preserve"> SEZ Port Category</t>
    </r>
    <r>
      <rPr>
        <sz val="11"/>
        <color theme="1"/>
        <rFont val="Calibri"/>
        <family val="2"/>
        <scheme val="minor"/>
      </rPr>
      <t xml:space="preserve"> checkbox is not selected, the above four radio buttons should not be displayed.</t>
    </r>
  </si>
  <si>
    <r>
      <rPr>
        <b/>
        <sz val="11"/>
        <color theme="1"/>
        <rFont val="Calibri"/>
        <family val="2"/>
        <scheme val="minor"/>
      </rPr>
      <t xml:space="preserve">Checkbox - </t>
    </r>
    <r>
      <rPr>
        <sz val="11"/>
        <color theme="1"/>
        <rFont val="Calibri"/>
        <family val="2"/>
        <scheme val="minor"/>
      </rPr>
      <t>SEZ Port Category</t>
    </r>
  </si>
  <si>
    <r>
      <t xml:space="preserve">1. </t>
    </r>
    <r>
      <rPr>
        <b/>
        <sz val="11"/>
        <color theme="1"/>
        <rFont val="Calibri"/>
        <family val="2"/>
        <scheme val="minor"/>
      </rPr>
      <t>SEZ Port Category</t>
    </r>
    <r>
      <rPr>
        <sz val="11"/>
        <color theme="1"/>
        <rFont val="Calibri"/>
        <family val="2"/>
        <scheme val="minor"/>
      </rPr>
      <t xml:space="preserve"> checkbox is selectable and deselectable.
2. On selecting the checkbox, </t>
    </r>
    <r>
      <rPr>
        <b/>
        <sz val="11"/>
        <color theme="1"/>
        <rFont val="Calibri"/>
        <family val="2"/>
        <scheme val="minor"/>
      </rPr>
      <t xml:space="preserve">Personal Baggage, Post, Data Link, and Courier </t>
    </r>
    <r>
      <rPr>
        <sz val="11"/>
        <color theme="1"/>
        <rFont val="Calibri"/>
        <family val="2"/>
        <scheme val="minor"/>
      </rPr>
      <t>radio buttons are displayed.
3. On deselecting the checkbox, the above radio buttons are hidden.
4. Functionality is working as expected.</t>
    </r>
  </si>
  <si>
    <t>CHA_PM_08</t>
  </si>
  <si>
    <t>1. The State textbox should accept Alphanumeric value 
2. The State textbox must have a maximum input limit of 100 characters.</t>
  </si>
  <si>
    <t>BA-541</t>
  </si>
  <si>
    <t>1. The Port Name textbox should Alphanumeric value
2. The Port Name textbox must have a maximum input limit of 50 characters.</t>
  </si>
  <si>
    <t>1. Functionality is working as expected, Port Name textbox is accepting all type of value.
2. Textbox character limit of 50 characters is correctly implemented.
Note:  As Per business rule, This textbox should accept alphanumeric value  with sapce and following special character - Dot (.), Comma (,), Percent (%), Hyphen (-), Forward Slash (/), Backslash (\) and (&amp;), Underscore(_), parentheses ()</t>
  </si>
  <si>
    <t>BA-542</t>
  </si>
  <si>
    <r>
      <t xml:space="preserve">1. The State textbox accepts all types of values.
2. The State textbox limit is not implemented as 100 characters. It is accepting more than 100 character value.
</t>
    </r>
    <r>
      <rPr>
        <b/>
        <sz val="11"/>
        <color theme="1"/>
        <rFont val="Calibri"/>
        <family val="2"/>
        <scheme val="minor"/>
      </rPr>
      <t>Note: Discussed with Sudhir Sir,</t>
    </r>
    <r>
      <rPr>
        <sz val="11"/>
        <color theme="1"/>
        <rFont val="Calibri"/>
        <family val="2"/>
        <scheme val="minor"/>
      </rPr>
      <t xml:space="preserve"> As Per business rule, This textbox should accept alphanumeric value  with sapce and following special character - Dot (.), Comma (,), Percent (%), Hyphen (-), Forward Slash (/), Backslash (\) and (&amp;), Underscore(_)
</t>
    </r>
  </si>
  <si>
    <r>
      <t xml:space="preserve">1. Navigate to </t>
    </r>
    <r>
      <rPr>
        <b/>
        <sz val="11"/>
        <color theme="1"/>
        <rFont val="Calibri"/>
        <family val="2"/>
        <scheme val="minor"/>
      </rPr>
      <t>Masters -&gt; EDI Master -&gt; CHA Port Master</t>
    </r>
    <r>
      <rPr>
        <sz val="11"/>
        <color theme="1"/>
        <rFont val="Calibri"/>
        <family val="2"/>
        <scheme val="minor"/>
      </rPr>
      <t xml:space="preserve">
2. Locate the </t>
    </r>
    <r>
      <rPr>
        <b/>
        <sz val="11"/>
        <color theme="1"/>
        <rFont val="Calibri"/>
        <family val="2"/>
        <scheme val="minor"/>
      </rPr>
      <t xml:space="preserve">Loading Port Name </t>
    </r>
    <r>
      <rPr>
        <sz val="11"/>
        <color theme="1"/>
        <rFont val="Calibri"/>
        <family val="2"/>
        <scheme val="minor"/>
      </rPr>
      <t xml:space="preserve">textbox
3. In the </t>
    </r>
    <r>
      <rPr>
        <b/>
        <sz val="11"/>
        <color theme="1"/>
        <rFont val="Calibri"/>
        <family val="2"/>
        <scheme val="minor"/>
      </rPr>
      <t xml:space="preserve">Loading Port Name </t>
    </r>
    <r>
      <rPr>
        <sz val="11"/>
        <color theme="1"/>
        <rFont val="Calibri"/>
        <family val="2"/>
        <scheme val="minor"/>
      </rPr>
      <t>textbox enter valid and invalid value and observe the system behaviour.</t>
    </r>
  </si>
  <si>
    <r>
      <t xml:space="preserve">Textbox - </t>
    </r>
    <r>
      <rPr>
        <b/>
        <sz val="11"/>
        <color theme="1"/>
        <rFont val="Calibri"/>
        <family val="2"/>
        <scheme val="minor"/>
      </rPr>
      <t>Loading Port Name</t>
    </r>
  </si>
  <si>
    <r>
      <t xml:space="preserve">1. As per the User Case, </t>
    </r>
    <r>
      <rPr>
        <b/>
        <sz val="11"/>
        <color theme="1"/>
        <rFont val="Calibri"/>
        <family val="2"/>
        <scheme val="minor"/>
      </rPr>
      <t xml:space="preserve">Loading Port Name </t>
    </r>
    <r>
      <rPr>
        <sz val="11"/>
        <color theme="1"/>
        <rFont val="Calibri"/>
        <family val="2"/>
        <scheme val="minor"/>
      </rPr>
      <t xml:space="preserve">textbox should accept alphanumeric value.
2. It should not be accept special character value.
3. Textbox length should be 50 character.
</t>
    </r>
  </si>
  <si>
    <t>CHA_PM_09</t>
  </si>
  <si>
    <t>1. Currently, the textbox accepts alphanumeric values. Among special characters, it allows backtick (`) and comma (,), while all other special characters are blocked.
2. Based on previously entered data, the textbox also accepts hyphen (-) and parentheses ( ).
3. The 50-character length limit is implemented correctly.</t>
  </si>
  <si>
    <r>
      <t xml:space="preserve">1. Navigate to </t>
    </r>
    <r>
      <rPr>
        <b/>
        <sz val="11"/>
        <color theme="1"/>
        <rFont val="Calibri"/>
        <family val="2"/>
        <scheme val="minor"/>
      </rPr>
      <t>Masters -&gt; EDI Master -&gt; CHA Port Master</t>
    </r>
    <r>
      <rPr>
        <sz val="11"/>
        <color theme="1"/>
        <rFont val="Calibri"/>
        <family val="2"/>
        <scheme val="minor"/>
      </rPr>
      <t xml:space="preserve">
2. Locate the </t>
    </r>
    <r>
      <rPr>
        <b/>
        <sz val="11"/>
        <color theme="1"/>
        <rFont val="Calibri"/>
        <family val="2"/>
        <scheme val="minor"/>
      </rPr>
      <t xml:space="preserve">Loading Port Code </t>
    </r>
    <r>
      <rPr>
        <sz val="11"/>
        <color theme="1"/>
        <rFont val="Calibri"/>
        <family val="2"/>
        <scheme val="minor"/>
      </rPr>
      <t xml:space="preserve">textbox
3. In the </t>
    </r>
    <r>
      <rPr>
        <b/>
        <sz val="11"/>
        <color theme="1"/>
        <rFont val="Calibri"/>
        <family val="2"/>
        <scheme val="minor"/>
      </rPr>
      <t xml:space="preserve">Loading Port Code </t>
    </r>
    <r>
      <rPr>
        <sz val="11"/>
        <color theme="1"/>
        <rFont val="Calibri"/>
        <family val="2"/>
        <scheme val="minor"/>
      </rPr>
      <t>textbox enter valid and invalid value and observe the system behaviour.</t>
    </r>
  </si>
  <si>
    <r>
      <t xml:space="preserve">Textbox - </t>
    </r>
    <r>
      <rPr>
        <b/>
        <sz val="11"/>
        <color theme="1"/>
        <rFont val="Calibri"/>
        <family val="2"/>
        <scheme val="minor"/>
      </rPr>
      <t xml:space="preserve">Loading Port Code
</t>
    </r>
    <r>
      <rPr>
        <sz val="11"/>
        <color theme="1"/>
        <rFont val="Calibri"/>
        <family val="2"/>
        <scheme val="minor"/>
      </rPr>
      <t xml:space="preserve">Valid Data - </t>
    </r>
    <r>
      <rPr>
        <b/>
        <sz val="11"/>
        <color theme="1"/>
        <rFont val="Calibri"/>
        <family val="2"/>
        <scheme val="minor"/>
      </rPr>
      <t>Alphanumeric value</t>
    </r>
    <r>
      <rPr>
        <sz val="11"/>
        <color theme="1"/>
        <rFont val="Calibri"/>
        <family val="2"/>
        <scheme val="minor"/>
      </rPr>
      <t xml:space="preserve">
Invalid Data - </t>
    </r>
    <r>
      <rPr>
        <b/>
        <sz val="11"/>
        <color theme="1"/>
        <rFont val="Calibri"/>
        <family val="2"/>
        <scheme val="minor"/>
      </rPr>
      <t>Special character. Only space etc.</t>
    </r>
  </si>
  <si>
    <r>
      <t xml:space="preserve">1. As per the User Case, </t>
    </r>
    <r>
      <rPr>
        <b/>
        <sz val="11"/>
        <color theme="1"/>
        <rFont val="Calibri"/>
        <family val="2"/>
        <scheme val="minor"/>
      </rPr>
      <t xml:space="preserve">Loading Port Code </t>
    </r>
    <r>
      <rPr>
        <sz val="11"/>
        <color theme="1"/>
        <rFont val="Calibri"/>
        <family val="2"/>
        <scheme val="minor"/>
      </rPr>
      <t xml:space="preserve">textbox should accept alphanumeric value.
2. It should not be accept special character and only space value.
3. Textbox length should be 6 character maximum.
</t>
    </r>
  </si>
  <si>
    <t>1. Currently, the textbox accepts alphanumeric values. Among special characters, it allows backtick (`) and comma (,), while all other special characters are blocked.
2. The 6-character length limit is implemented correctly.</t>
  </si>
  <si>
    <t>CHA_PM_10</t>
  </si>
  <si>
    <r>
      <t xml:space="preserve">Validate the functionality of </t>
    </r>
    <r>
      <rPr>
        <b/>
        <sz val="11"/>
        <color theme="1"/>
        <rFont val="Calibri"/>
        <family val="2"/>
        <scheme val="minor"/>
      </rPr>
      <t xml:space="preserve">Loading Port Code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CHA Port Master</t>
    </r>
    <r>
      <rPr>
        <sz val="11"/>
        <color theme="1"/>
        <rFont val="Calibri"/>
        <family val="2"/>
        <scheme val="minor"/>
      </rPr>
      <t xml:space="preserve"> Page.</t>
    </r>
  </si>
  <si>
    <r>
      <t xml:space="preserve">Validate the functionality of </t>
    </r>
    <r>
      <rPr>
        <b/>
        <sz val="11"/>
        <color theme="1"/>
        <rFont val="Calibri"/>
        <family val="2"/>
        <scheme val="minor"/>
      </rPr>
      <t xml:space="preserve">Loading Port Name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CHA Port Master</t>
    </r>
    <r>
      <rPr>
        <sz val="11"/>
        <color theme="1"/>
        <rFont val="Calibri"/>
        <family val="2"/>
        <scheme val="minor"/>
      </rPr>
      <t xml:space="preserve"> Page.</t>
    </r>
  </si>
  <si>
    <r>
      <t xml:space="preserve">Validate the functionality of </t>
    </r>
    <r>
      <rPr>
        <b/>
        <sz val="11"/>
        <color theme="1"/>
        <rFont val="Calibri"/>
        <family val="2"/>
        <scheme val="minor"/>
      </rPr>
      <t xml:space="preserve">Port Category </t>
    </r>
    <r>
      <rPr>
        <sz val="11"/>
        <color theme="1"/>
        <rFont val="Calibri"/>
        <family val="2"/>
        <scheme val="minor"/>
      </rPr>
      <t>radio button</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</si>
  <si>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 -&gt; EDI Master -&gt; CHA Port Master</t>
    </r>
    <r>
      <rPr>
        <sz val="11"/>
        <color theme="1"/>
        <rFont val="Calibri"/>
        <family val="2"/>
        <scheme val="minor"/>
      </rPr>
      <t xml:space="preserve">
2. Locate the </t>
    </r>
    <r>
      <rPr>
        <b/>
        <sz val="11"/>
        <color theme="1"/>
        <rFont val="Calibri"/>
        <family val="2"/>
        <scheme val="minor"/>
      </rPr>
      <t xml:space="preserve">Port Category </t>
    </r>
    <r>
      <rPr>
        <sz val="11"/>
        <color theme="1"/>
        <rFont val="Calibri"/>
        <family val="2"/>
        <scheme val="minor"/>
      </rPr>
      <t xml:space="preserve">section
3. Select each </t>
    </r>
    <r>
      <rPr>
        <b/>
        <sz val="11"/>
        <color theme="1"/>
        <rFont val="Calibri"/>
        <family val="2"/>
        <scheme val="minor"/>
      </rPr>
      <t xml:space="preserve">Port Category </t>
    </r>
    <r>
      <rPr>
        <sz val="11"/>
        <color theme="1"/>
        <rFont val="Calibri"/>
        <family val="2"/>
        <scheme val="minor"/>
      </rPr>
      <t>radio button (Air, Sea, Land, Border, Railways) one by one and observe the system behavior.</t>
    </r>
  </si>
  <si>
    <r>
      <rPr>
        <b/>
        <sz val="11"/>
        <color theme="1"/>
        <rFont val="Calibri"/>
        <family val="2"/>
        <scheme val="minor"/>
      </rPr>
      <t>Port Category Options:</t>
    </r>
    <r>
      <rPr>
        <sz val="11"/>
        <color theme="1"/>
        <rFont val="Calibri"/>
        <family val="2"/>
        <scheme val="minor"/>
      </rPr>
      <t xml:space="preserve">
 -&gt; Air
 -&gt; Sea
 -&gt; Land 
 -&gt; Border
 -&gt; Railways</t>
    </r>
  </si>
  <si>
    <r>
      <t xml:space="preserve">1. All Port Category radio buttons </t>
    </r>
    <r>
      <rPr>
        <b/>
        <sz val="11"/>
        <color theme="1"/>
        <rFont val="Calibri"/>
        <family val="2"/>
        <scheme val="minor"/>
      </rPr>
      <t xml:space="preserve">(Air, Sea, Land, Border, Railways) </t>
    </r>
    <r>
      <rPr>
        <sz val="11"/>
        <color theme="1"/>
        <rFont val="Calibri"/>
        <family val="2"/>
        <scheme val="minor"/>
      </rPr>
      <t>should be selectable and changeable.
2. Only one radio button should be selectable at a time.
3. One Port Category radio button should always remain selected.</t>
    </r>
  </si>
  <si>
    <r>
      <t xml:space="preserve">1. All Port Category radio buttons are selectable and changeable.
2. Only one radio button can be selected at a time.
3. One Port Category radio button remains selected by default.
Note: Spelling Mistake in Port Category - It should be </t>
    </r>
    <r>
      <rPr>
        <b/>
        <sz val="11"/>
        <color theme="1"/>
        <rFont val="Calibri"/>
        <family val="2"/>
        <scheme val="minor"/>
      </rPr>
      <t>Port Category.</t>
    </r>
  </si>
  <si>
    <t>CHA_PM_11</t>
  </si>
  <si>
    <r>
      <t xml:space="preserve">1. Navigate to </t>
    </r>
    <r>
      <rPr>
        <b/>
        <sz val="11"/>
        <color theme="1"/>
        <rFont val="Calibri"/>
        <family val="2"/>
        <scheme val="minor"/>
      </rPr>
      <t>Masters → EDI Master → CHA Port Master</t>
    </r>
    <r>
      <rPr>
        <sz val="11"/>
        <color theme="1"/>
        <rFont val="Calibri"/>
        <family val="2"/>
        <scheme val="minor"/>
      </rPr>
      <t xml:space="preserve">
2. Enter valid values in all mandatory and non-mandatory fields.
3. Click on the </t>
    </r>
    <r>
      <rPr>
        <b/>
        <sz val="11"/>
        <color theme="1"/>
        <rFont val="Calibri"/>
        <family val="2"/>
        <scheme val="minor"/>
      </rPr>
      <t>Save Port</t>
    </r>
    <r>
      <rPr>
        <sz val="11"/>
        <color theme="1"/>
        <rFont val="Calibri"/>
        <family val="2"/>
        <scheme val="minor"/>
      </rPr>
      <t xml:space="preserve"> button and observe the system behavior.</t>
    </r>
  </si>
  <si>
    <r>
      <t xml:space="preserve">Validate the functionality of the </t>
    </r>
    <r>
      <rPr>
        <b/>
        <sz val="11"/>
        <color theme="1"/>
        <rFont val="Calibri"/>
        <family val="2"/>
        <scheme val="minor"/>
      </rPr>
      <t>Save</t>
    </r>
    <r>
      <rPr>
        <sz val="11"/>
        <color theme="1"/>
        <rFont val="Calibri"/>
        <family val="2"/>
        <scheme val="minor"/>
      </rPr>
      <t xml:space="preserve"> </t>
    </r>
    <r>
      <rPr>
        <b/>
        <sz val="11"/>
        <color theme="1"/>
        <rFont val="Calibri"/>
        <family val="2"/>
        <scheme val="minor"/>
      </rPr>
      <t>Port</t>
    </r>
    <r>
      <rPr>
        <sz val="11"/>
        <color theme="1"/>
        <rFont val="Calibri"/>
        <family val="2"/>
        <scheme val="minor"/>
      </rPr>
      <t xml:space="preserve"> button when all fields (Mandatory &amp; Non-Mandatory) are filled in the </t>
    </r>
    <r>
      <rPr>
        <b/>
        <sz val="11"/>
        <color theme="1"/>
        <rFont val="Calibri"/>
        <family val="2"/>
        <scheme val="minor"/>
      </rPr>
      <t>CHA Port Master</t>
    </r>
    <r>
      <rPr>
        <sz val="11"/>
        <color theme="1"/>
        <rFont val="Calibri"/>
        <family val="2"/>
        <scheme val="minor"/>
      </rPr>
      <t xml:space="preserve"> Page.</t>
    </r>
  </si>
  <si>
    <r>
      <t>1. When all fields contain valid values, clicking the</t>
    </r>
    <r>
      <rPr>
        <b/>
        <sz val="11"/>
        <color theme="1"/>
        <rFont val="Calibri"/>
        <family val="2"/>
        <scheme val="minor"/>
      </rPr>
      <t xml:space="preserve"> Save Port </t>
    </r>
    <r>
      <rPr>
        <sz val="11"/>
        <color theme="1"/>
        <rFont val="Calibri"/>
        <family val="2"/>
        <scheme val="minor"/>
      </rPr>
      <t xml:space="preserve">button should save the record successfully.
2. A </t>
    </r>
    <r>
      <rPr>
        <b/>
        <sz val="11"/>
        <color theme="1"/>
        <rFont val="Calibri"/>
        <family val="2"/>
        <scheme val="minor"/>
      </rPr>
      <t>success confirmation message</t>
    </r>
    <r>
      <rPr>
        <sz val="11"/>
        <color theme="1"/>
        <rFont val="Calibri"/>
        <family val="2"/>
        <scheme val="minor"/>
      </rPr>
      <t xml:space="preserve"> should be displayed.
3. The saved record should appear in the</t>
    </r>
    <r>
      <rPr>
        <b/>
        <sz val="11"/>
        <color theme="1"/>
        <rFont val="Calibri"/>
        <family val="2"/>
        <scheme val="minor"/>
      </rPr>
      <t xml:space="preserve"> left-side panel</t>
    </r>
    <r>
      <rPr>
        <sz val="11"/>
        <color theme="1"/>
        <rFont val="Calibri"/>
        <family val="2"/>
        <scheme val="minor"/>
      </rPr>
      <t xml:space="preserve"> list.
4. The saved record should be </t>
    </r>
    <r>
      <rPr>
        <b/>
        <sz val="11"/>
        <color theme="1"/>
        <rFont val="Calibri"/>
        <family val="2"/>
        <scheme val="minor"/>
      </rPr>
      <t>searchable</t>
    </r>
    <r>
      <rPr>
        <sz val="11"/>
        <color theme="1"/>
        <rFont val="Calibri"/>
        <family val="2"/>
        <scheme val="minor"/>
      </rPr>
      <t xml:space="preserve"> using the Search textbox and </t>
    </r>
    <r>
      <rPr>
        <b/>
        <sz val="11"/>
        <color theme="1"/>
        <rFont val="Calibri"/>
        <family val="2"/>
        <scheme val="minor"/>
      </rPr>
      <t>selectable</t>
    </r>
    <r>
      <rPr>
        <sz val="11"/>
        <color theme="1"/>
        <rFont val="Calibri"/>
        <family val="2"/>
        <scheme val="minor"/>
      </rPr>
      <t xml:space="preserve"> from the list.</t>
    </r>
  </si>
  <si>
    <t>1. The record is saved successfully and a success confirmation message is displayed.
2. The saved record appears in the left-side panel list.
3. The saved record is searchable and selectable.</t>
  </si>
  <si>
    <t>CHA_PM_12</t>
  </si>
  <si>
    <r>
      <rPr>
        <b/>
        <sz val="11"/>
        <color theme="1"/>
        <rFont val="Calibri"/>
        <family val="2"/>
        <scheme val="minor"/>
      </rPr>
      <t>Mandatory fields:</t>
    </r>
    <r>
      <rPr>
        <sz val="11"/>
        <color theme="1"/>
        <rFont val="Calibri"/>
        <family val="2"/>
        <scheme val="minor"/>
      </rPr>
      <t xml:space="preserve">
 -&gt; Loading Port Name
 -&gt; Loading Port Code</t>
    </r>
  </si>
  <si>
    <r>
      <t xml:space="preserve">1. Navigate to </t>
    </r>
    <r>
      <rPr>
        <b/>
        <sz val="11"/>
        <color theme="1"/>
        <rFont val="Calibri"/>
        <family val="2"/>
        <scheme val="minor"/>
      </rPr>
      <t>Masters → EDI Master → CHA Port Master</t>
    </r>
    <r>
      <rPr>
        <sz val="11"/>
        <color theme="1"/>
        <rFont val="Calibri"/>
        <family val="2"/>
        <scheme val="minor"/>
      </rPr>
      <t xml:space="preserve">
2. Enter valid values in </t>
    </r>
    <r>
      <rPr>
        <b/>
        <sz val="11"/>
        <color theme="1"/>
        <rFont val="Calibri"/>
        <family val="2"/>
        <scheme val="minor"/>
      </rPr>
      <t>all mandatory fields.</t>
    </r>
    <r>
      <rPr>
        <sz val="11"/>
        <color theme="1"/>
        <rFont val="Calibri"/>
        <family val="2"/>
        <scheme val="minor"/>
      </rPr>
      <t xml:space="preserve">
3. Leave all </t>
    </r>
    <r>
      <rPr>
        <b/>
        <sz val="11"/>
        <color theme="1"/>
        <rFont val="Calibri"/>
        <family val="2"/>
        <scheme val="minor"/>
      </rPr>
      <t>non-mandatory fields blank.</t>
    </r>
    <r>
      <rPr>
        <sz val="11"/>
        <color theme="1"/>
        <rFont val="Calibri"/>
        <family val="2"/>
        <scheme val="minor"/>
      </rPr>
      <t xml:space="preserve">
4. Click on the</t>
    </r>
    <r>
      <rPr>
        <b/>
        <sz val="11"/>
        <color theme="1"/>
        <rFont val="Calibri"/>
        <family val="2"/>
        <scheme val="minor"/>
      </rPr>
      <t xml:space="preserve"> Save Port</t>
    </r>
    <r>
      <rPr>
        <sz val="11"/>
        <color theme="1"/>
        <rFont val="Calibri"/>
        <family val="2"/>
        <scheme val="minor"/>
      </rPr>
      <t xml:space="preserve"> button and observe the system behavior.</t>
    </r>
  </si>
  <si>
    <r>
      <t xml:space="preserve">1. When </t>
    </r>
    <r>
      <rPr>
        <b/>
        <sz val="11"/>
        <color theme="1"/>
        <rFont val="Calibri"/>
        <family val="2"/>
        <scheme val="minor"/>
      </rPr>
      <t>all mandatory fields contain valid values</t>
    </r>
    <r>
      <rPr>
        <sz val="11"/>
        <color theme="1"/>
        <rFont val="Calibri"/>
        <family val="2"/>
        <scheme val="minor"/>
      </rPr>
      <t xml:space="preserve">, clicking the </t>
    </r>
    <r>
      <rPr>
        <b/>
        <sz val="11"/>
        <color theme="1"/>
        <rFont val="Calibri"/>
        <family val="2"/>
        <scheme val="minor"/>
      </rPr>
      <t xml:space="preserve">Save Port </t>
    </r>
    <r>
      <rPr>
        <sz val="11"/>
        <color theme="1"/>
        <rFont val="Calibri"/>
        <family val="2"/>
        <scheme val="minor"/>
      </rPr>
      <t xml:space="preserve">button should save the record successfully.
2. A </t>
    </r>
    <r>
      <rPr>
        <b/>
        <sz val="11"/>
        <color theme="1"/>
        <rFont val="Calibri"/>
        <family val="2"/>
        <scheme val="minor"/>
      </rPr>
      <t>success confirmation message</t>
    </r>
    <r>
      <rPr>
        <sz val="11"/>
        <color theme="1"/>
        <rFont val="Calibri"/>
        <family val="2"/>
        <scheme val="minor"/>
      </rPr>
      <t xml:space="preserve"> should be displayed.
3. The saved record should appear in the</t>
    </r>
    <r>
      <rPr>
        <b/>
        <sz val="11"/>
        <color theme="1"/>
        <rFont val="Calibri"/>
        <family val="2"/>
        <scheme val="minor"/>
      </rPr>
      <t xml:space="preserve"> left-side panel</t>
    </r>
    <r>
      <rPr>
        <sz val="11"/>
        <color theme="1"/>
        <rFont val="Calibri"/>
        <family val="2"/>
        <scheme val="minor"/>
      </rPr>
      <t xml:space="preserve"> list.
4. The saved record should be </t>
    </r>
    <r>
      <rPr>
        <b/>
        <sz val="11"/>
        <color theme="1"/>
        <rFont val="Calibri"/>
        <family val="2"/>
        <scheme val="minor"/>
      </rPr>
      <t>searchable</t>
    </r>
    <r>
      <rPr>
        <sz val="11"/>
        <color theme="1"/>
        <rFont val="Calibri"/>
        <family val="2"/>
        <scheme val="minor"/>
      </rPr>
      <t xml:space="preserve"> using the Search textbox and </t>
    </r>
    <r>
      <rPr>
        <b/>
        <sz val="11"/>
        <color theme="1"/>
        <rFont val="Calibri"/>
        <family val="2"/>
        <scheme val="minor"/>
      </rPr>
      <t>selectable</t>
    </r>
    <r>
      <rPr>
        <sz val="11"/>
        <color theme="1"/>
        <rFont val="Calibri"/>
        <family val="2"/>
        <scheme val="minor"/>
      </rPr>
      <t xml:space="preserve"> from the list.</t>
    </r>
  </si>
  <si>
    <t>CHA_PM_13</t>
  </si>
  <si>
    <r>
      <t>Validate the functionality of the</t>
    </r>
    <r>
      <rPr>
        <b/>
        <sz val="11"/>
        <color theme="1"/>
        <rFont val="Calibri"/>
        <family val="2"/>
        <scheme val="minor"/>
      </rPr>
      <t xml:space="preserve"> Save Port</t>
    </r>
    <r>
      <rPr>
        <sz val="11"/>
        <color theme="1"/>
        <rFont val="Calibri"/>
        <family val="2"/>
        <scheme val="minor"/>
      </rPr>
      <t xml:space="preserve"> button when </t>
    </r>
    <r>
      <rPr>
        <b/>
        <sz val="11"/>
        <color theme="1"/>
        <rFont val="Calibri"/>
        <family val="2"/>
        <scheme val="minor"/>
      </rPr>
      <t>only Non-mandatory fields are filled</t>
    </r>
    <r>
      <rPr>
        <sz val="11"/>
        <color theme="1"/>
        <rFont val="Calibri"/>
        <family val="2"/>
        <scheme val="minor"/>
      </rPr>
      <t xml:space="preserve"> and mandatory fields are left blank on the</t>
    </r>
    <r>
      <rPr>
        <b/>
        <sz val="11"/>
        <color theme="1"/>
        <rFont val="Calibri"/>
        <family val="2"/>
        <scheme val="minor"/>
      </rPr>
      <t xml:space="preserve"> CHA Port Master </t>
    </r>
    <r>
      <rPr>
        <sz val="11"/>
        <color theme="1"/>
        <rFont val="Calibri"/>
        <family val="2"/>
        <scheme val="minor"/>
      </rPr>
      <t>page.</t>
    </r>
  </si>
  <si>
    <r>
      <t>Validate the functionality of the</t>
    </r>
    <r>
      <rPr>
        <b/>
        <sz val="11"/>
        <color theme="1"/>
        <rFont val="Calibri"/>
        <family val="2"/>
        <scheme val="minor"/>
      </rPr>
      <t xml:space="preserve"> Save Port</t>
    </r>
    <r>
      <rPr>
        <sz val="11"/>
        <color theme="1"/>
        <rFont val="Calibri"/>
        <family val="2"/>
        <scheme val="minor"/>
      </rPr>
      <t xml:space="preserve"> button when </t>
    </r>
    <r>
      <rPr>
        <b/>
        <sz val="11"/>
        <color theme="1"/>
        <rFont val="Calibri"/>
        <family val="2"/>
        <scheme val="minor"/>
      </rPr>
      <t>only mandatory fields are filled</t>
    </r>
    <r>
      <rPr>
        <sz val="11"/>
        <color theme="1"/>
        <rFont val="Calibri"/>
        <family val="2"/>
        <scheme val="minor"/>
      </rPr>
      <t xml:space="preserve"> and non-mandatory fields are left blank on the </t>
    </r>
    <r>
      <rPr>
        <b/>
        <sz val="11"/>
        <color theme="1"/>
        <rFont val="Calibri"/>
        <family val="2"/>
        <scheme val="minor"/>
      </rPr>
      <t>CHA Port Master</t>
    </r>
    <r>
      <rPr>
        <sz val="11"/>
        <color theme="1"/>
        <rFont val="Calibri"/>
        <family val="2"/>
        <scheme val="minor"/>
      </rPr>
      <t xml:space="preserve"> page.</t>
    </r>
  </si>
  <si>
    <r>
      <t xml:space="preserve">1. Navigate to </t>
    </r>
    <r>
      <rPr>
        <b/>
        <sz val="11"/>
        <color theme="1"/>
        <rFont val="Calibri"/>
        <family val="2"/>
        <scheme val="minor"/>
      </rPr>
      <t>Masters → EDI Master → CHA Port Master</t>
    </r>
    <r>
      <rPr>
        <sz val="11"/>
        <color theme="1"/>
        <rFont val="Calibri"/>
        <family val="2"/>
        <scheme val="minor"/>
      </rPr>
      <t xml:space="preserve">
2. Enter valid values in </t>
    </r>
    <r>
      <rPr>
        <b/>
        <sz val="11"/>
        <color theme="1"/>
        <rFont val="Calibri"/>
        <family val="2"/>
        <scheme val="minor"/>
      </rPr>
      <t>all Non-mandatory fields.</t>
    </r>
    <r>
      <rPr>
        <sz val="11"/>
        <color theme="1"/>
        <rFont val="Calibri"/>
        <family val="2"/>
        <scheme val="minor"/>
      </rPr>
      <t xml:space="preserve">
3. Leave all </t>
    </r>
    <r>
      <rPr>
        <b/>
        <sz val="11"/>
        <color theme="1"/>
        <rFont val="Calibri"/>
        <family val="2"/>
        <scheme val="minor"/>
      </rPr>
      <t>mandatory fields blank.</t>
    </r>
    <r>
      <rPr>
        <sz val="11"/>
        <color theme="1"/>
        <rFont val="Calibri"/>
        <family val="2"/>
        <scheme val="minor"/>
      </rPr>
      <t xml:space="preserve">
4. Click on the</t>
    </r>
    <r>
      <rPr>
        <b/>
        <sz val="11"/>
        <color theme="1"/>
        <rFont val="Calibri"/>
        <family val="2"/>
        <scheme val="minor"/>
      </rPr>
      <t xml:space="preserve"> Save Port</t>
    </r>
    <r>
      <rPr>
        <sz val="11"/>
        <color theme="1"/>
        <rFont val="Calibri"/>
        <family val="2"/>
        <scheme val="minor"/>
      </rPr>
      <t xml:space="preserve"> button and observe the system behavior.</t>
    </r>
  </si>
  <si>
    <r>
      <rPr>
        <b/>
        <sz val="11"/>
        <color theme="1"/>
        <rFont val="Calibri"/>
        <family val="2"/>
        <scheme val="minor"/>
      </rPr>
      <t>Non-Mandatory fields:</t>
    </r>
    <r>
      <rPr>
        <sz val="11"/>
        <color theme="1"/>
        <rFont val="Calibri"/>
        <family val="2"/>
        <scheme val="minor"/>
      </rPr>
      <t xml:space="preserve">
 -&gt; SEZ Port Category checkbox
 -&gt; Port Category radio button</t>
    </r>
  </si>
  <si>
    <r>
      <t xml:space="preserve">1. The record should </t>
    </r>
    <r>
      <rPr>
        <b/>
        <sz val="11"/>
        <color theme="1"/>
        <rFont val="Calibri"/>
        <family val="2"/>
        <scheme val="minor"/>
      </rPr>
      <t>not be saved if any mandatory fields are left blank.</t>
    </r>
    <r>
      <rPr>
        <sz val="11"/>
        <color theme="1"/>
        <rFont val="Calibri"/>
        <family val="2"/>
        <scheme val="minor"/>
      </rPr>
      <t xml:space="preserve">
2. Validation messages should be displayed for each mandatory field at the respective textbox level.
3. Validation messages should appear in the same sequence as the textbox order on the page.
4. Once all mandatory fields are filled with valid values, the record should be saved successfully.
5. A success confirmation message should be displayed.
6. The saved record should appear in the left-side panel list.
6. The saved record should be searchable using the Search textbox and selectable from the list.
</t>
    </r>
  </si>
  <si>
    <r>
      <t xml:space="preserve">1. Record is not saving, when mandatory fields are left blank.
2. Validation messages are displayed for mandatory fields.
3. After entering valid values in all mandatory fields, the record is saved successfully.
4. The saved record appears in the left-side panel list and is searchable and selectable.
</t>
    </r>
    <r>
      <rPr>
        <b/>
        <sz val="11"/>
        <color theme="1"/>
        <rFont val="Calibri"/>
        <family val="2"/>
        <scheme val="minor"/>
      </rPr>
      <t>Note: Textbox level and message is little bit different.
Textbox messgae: 
 -&gt; Please Enter Port Name !!!
 -&gt; Please Enter Port Code !!!</t>
    </r>
  </si>
  <si>
    <t>CHA_PM_14</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</si>
  <si>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CHA Port Master </t>
    </r>
    <r>
      <rPr>
        <sz val="11"/>
        <color theme="1"/>
        <rFont val="Calibri"/>
        <family val="2"/>
        <scheme val="minor"/>
      </rPr>
      <t>page.</t>
    </r>
  </si>
  <si>
    <t>Select any record from the left side panel list</t>
  </si>
  <si>
    <r>
      <t xml:space="preserve">1. Navigate to </t>
    </r>
    <r>
      <rPr>
        <b/>
        <sz val="11"/>
        <color theme="1"/>
        <rFont val="Calibri"/>
        <family val="2"/>
        <scheme val="minor"/>
      </rPr>
      <t>Masters → EDI Master → CHA Port Master</t>
    </r>
    <r>
      <rPr>
        <sz val="11"/>
        <color theme="1"/>
        <rFont val="Calibri"/>
        <family val="2"/>
        <scheme val="minor"/>
      </rPr>
      <t xml:space="preserve">
2. Select any record from the left-side panel list.
3. Modify one or more fields with new valid data.
4. Click the Modify button.
5. Re-select the same record from the left-side panel and verify the updated values.</t>
    </r>
  </si>
  <si>
    <t>1. When the page is in a new state, the Modify button should be disabled.
2. The Modify button should be enabled only when a record is selected from the left-side panel and its data is loaded into the textboxes.
3. On clicking Modify, the record should be updated successfully with the new values.
4. The updated record should appear correctly in the left-side records list.
5. The user should be able to modify the same record multiple times.</t>
  </si>
  <si>
    <t xml:space="preserve">1. The Modify button remains disabled in the new state.
2. The Modify button becomes enabled once a record is selected and loaded into the textboxes.
3. Record is not modify properly. (when modifying Port Code, it is saying no record founmd)
</t>
  </si>
  <si>
    <t>CHA_PM_15</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</si>
  <si>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CHA Port Master </t>
    </r>
    <r>
      <rPr>
        <sz val="11"/>
        <color theme="1"/>
        <rFont val="Calibri"/>
        <family val="2"/>
        <scheme val="minor"/>
      </rPr>
      <t>Page.</t>
    </r>
  </si>
  <si>
    <r>
      <t xml:space="preserve">1. Navigate to </t>
    </r>
    <r>
      <rPr>
        <b/>
        <sz val="11"/>
        <color theme="1"/>
        <rFont val="Calibri"/>
        <family val="2"/>
        <scheme val="minor"/>
      </rPr>
      <t>Masters → EDI Master → CHA Port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behavior. </t>
    </r>
  </si>
  <si>
    <r>
      <t xml:space="preserve">1. On clicking the </t>
    </r>
    <r>
      <rPr>
        <b/>
        <sz val="11"/>
        <color theme="1"/>
        <rFont val="Calibri"/>
        <family val="2"/>
        <scheme val="minor"/>
      </rPr>
      <t>Clear</t>
    </r>
    <r>
      <rPr>
        <sz val="11"/>
        <color theme="1"/>
        <rFont val="Calibri"/>
        <family val="2"/>
        <scheme val="minor"/>
      </rPr>
      <t xml:space="preserve"> button, all textboxes, checkboxes, and radio buttons should be reset to their default state.
2. All entered values in the textboxes should be cleared.</t>
    </r>
  </si>
  <si>
    <t xml:space="preserve">1. Functionality is working as Expected.
Note: Clear button is also working on left side panel, but not owrking properly. (Clicking on clear button search textbox value is clearred but default list is not displayed)
</t>
  </si>
  <si>
    <t xml:space="preserve">EDI Master --&gt; Transporter Master
</t>
  </si>
  <si>
    <t>Transporter_M_01</t>
  </si>
  <si>
    <r>
      <t xml:space="preserve">Validate the functionality of </t>
    </r>
    <r>
      <rPr>
        <b/>
        <sz val="11"/>
        <color theme="1"/>
        <rFont val="Calibri"/>
        <family val="2"/>
        <scheme val="minor"/>
      </rPr>
      <t xml:space="preserve">Transporter Master,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</si>
  <si>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t>EDI Master -&gt; Transporter Master</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</si>
  <si>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Transporter Master</t>
    </r>
  </si>
  <si>
    <r>
      <t xml:space="preserve">On Mouse Hovering action on </t>
    </r>
    <r>
      <rPr>
        <b/>
        <sz val="11"/>
        <color theme="1"/>
        <rFont val="Calibri"/>
        <family val="2"/>
        <scheme val="minor"/>
      </rPr>
      <t xml:space="preserve">Masters -&gt; EDI Master -&gt; Transporter Master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</si>
  <si>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Transporter Master</t>
    </r>
    <r>
      <rPr>
        <sz val="11"/>
        <color theme="1"/>
        <rFont val="Calibri"/>
        <family val="2"/>
        <scheme val="minor"/>
      </rPr>
      <t xml:space="preserve"> Page is opening properly.</t>
    </r>
  </si>
  <si>
    <t>Transporter_M_02</t>
  </si>
  <si>
    <r>
      <t xml:space="preserve">Validate the functionality of </t>
    </r>
    <r>
      <rPr>
        <b/>
        <sz val="11"/>
        <rFont val="Calibri"/>
        <family val="2"/>
        <scheme val="minor"/>
      </rPr>
      <t>Search Transporter</t>
    </r>
    <r>
      <rPr>
        <sz val="11"/>
        <rFont val="Calibri"/>
        <family val="2"/>
        <scheme val="minor"/>
      </rPr>
      <t xml:space="preserve"> textbox of the left side panel in </t>
    </r>
    <r>
      <rPr>
        <b/>
        <sz val="11"/>
        <rFont val="Calibri"/>
        <family val="2"/>
        <scheme val="minor"/>
      </rPr>
      <t>Transporter Master</t>
    </r>
    <r>
      <rPr>
        <sz val="11"/>
        <rFont val="Calibri"/>
        <family val="2"/>
        <scheme val="minor"/>
      </rPr>
      <t xml:space="preserve"> Page</t>
    </r>
  </si>
  <si>
    <r>
      <t xml:space="preserve">Search Data - </t>
    </r>
    <r>
      <rPr>
        <sz val="11"/>
        <rFont val="Calibri"/>
        <family val="2"/>
        <scheme val="minor"/>
      </rPr>
      <t>TEST SINGH 123</t>
    </r>
  </si>
  <si>
    <t>1. The search textbox should return all matching records:
 -&gt; Full match
 -&gt; Partial match
2. Records displayed should automatically filter and sort according to the search keyword.
3. If no record matches, the list should show empty.</t>
  </si>
  <si>
    <r>
      <t xml:space="preserve">1. The Search textbox is working only for the first word of the record name.
</t>
    </r>
    <r>
      <rPr>
        <b/>
        <sz val="11"/>
        <color theme="1"/>
        <rFont val="Calibri"/>
        <family val="2"/>
        <scheme val="minor"/>
      </rPr>
      <t>Example record: TEST SINGH 123
-&gt; Searching 'TEST' → Return Result
 -&gt; Searching 'SINGH' →  No result
 -&gt; Searching '123' →  No result</t>
    </r>
  </si>
  <si>
    <t>Transporter_M_03</t>
  </si>
  <si>
    <r>
      <t xml:space="preserve">Validate </t>
    </r>
    <r>
      <rPr>
        <b/>
        <sz val="11"/>
        <color theme="1"/>
        <rFont val="Calibri"/>
        <family val="2"/>
        <scheme val="minor"/>
      </rPr>
      <t>Sort Ascending / Sort Descending</t>
    </r>
    <r>
      <rPr>
        <sz val="11"/>
        <color theme="1"/>
        <rFont val="Calibri"/>
        <family val="2"/>
        <scheme val="minor"/>
      </rPr>
      <t xml:space="preserve"> and </t>
    </r>
    <r>
      <rPr>
        <b/>
        <sz val="11"/>
        <color theme="1"/>
        <rFont val="Calibri"/>
        <family val="2"/>
        <scheme val="minor"/>
      </rPr>
      <t>Column</t>
    </r>
    <r>
      <rPr>
        <sz val="11"/>
        <color theme="1"/>
        <rFont val="Calibri"/>
        <family val="2"/>
        <scheme val="minor"/>
      </rPr>
      <t xml:space="preserve"> Selection Checkbox Behavior for Left Panel List of </t>
    </r>
    <r>
      <rPr>
        <b/>
        <sz val="11"/>
        <color theme="1"/>
        <rFont val="Calibri"/>
        <family val="2"/>
        <scheme val="minor"/>
      </rPr>
      <t>Transporter Master</t>
    </r>
    <r>
      <rPr>
        <sz val="11"/>
        <color theme="1"/>
        <rFont val="Calibri"/>
        <family val="2"/>
        <scheme val="minor"/>
      </rPr>
      <t xml:space="preserve"> Page.</t>
    </r>
  </si>
  <si>
    <r>
      <t xml:space="preserve">1. Navigate to </t>
    </r>
    <r>
      <rPr>
        <b/>
        <sz val="11"/>
        <rFont val="Calibri"/>
        <family val="2"/>
        <scheme val="minor"/>
      </rPr>
      <t>Masters</t>
    </r>
    <r>
      <rPr>
        <sz val="11"/>
        <rFont val="Calibri"/>
        <family val="2"/>
        <scheme val="minor"/>
      </rPr>
      <t xml:space="preserve"> -&gt; </t>
    </r>
    <r>
      <rPr>
        <b/>
        <sz val="11"/>
        <rFont val="Calibri"/>
        <family val="2"/>
        <scheme val="minor"/>
      </rPr>
      <t>EDI</t>
    </r>
    <r>
      <rPr>
        <sz val="11"/>
        <rFont val="Calibri"/>
        <family val="2"/>
        <scheme val="minor"/>
      </rPr>
      <t xml:space="preserve"> </t>
    </r>
    <r>
      <rPr>
        <b/>
        <sz val="11"/>
        <rFont val="Calibri"/>
        <family val="2"/>
        <scheme val="minor"/>
      </rPr>
      <t>Master</t>
    </r>
    <r>
      <rPr>
        <sz val="11"/>
        <rFont val="Calibri"/>
        <family val="2"/>
        <scheme val="minor"/>
      </rPr>
      <t xml:space="preserve"> -&gt; T</t>
    </r>
    <r>
      <rPr>
        <b/>
        <sz val="11"/>
        <rFont val="Calibri"/>
        <family val="2"/>
        <scheme val="minor"/>
      </rPr>
      <t xml:space="preserve">ransporter Master
</t>
    </r>
    <r>
      <rPr>
        <sz val="11"/>
        <rFont val="Calibri"/>
        <family val="2"/>
        <scheme val="minor"/>
      </rPr>
      <t>2. Observe how the record list is filtered based on the entered search keyword.</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</si>
  <si>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Transporter Master
2</t>
    </r>
    <r>
      <rPr>
        <sz val="11"/>
        <color theme="1"/>
        <rFont val="Calibri"/>
        <family val="2"/>
        <scheme val="minor"/>
      </rPr>
      <t>. On the left panel list, Click 
 -&gt; Sort Ascending and verify list order.
 -&gt; Click Sort Descending and verify list order.
 -&gt; Checkboxes: select all checkboxes all columns visible
 - &gt; deselect all - all columns hidden.</t>
    </r>
  </si>
  <si>
    <r>
      <t xml:space="preserve">1. </t>
    </r>
    <r>
      <rPr>
        <b/>
        <sz val="11"/>
        <color theme="1"/>
        <rFont val="Calibri"/>
        <family val="2"/>
        <scheme val="minor"/>
      </rPr>
      <t>Sorting:</t>
    </r>
    <r>
      <rPr>
        <sz val="11"/>
        <color theme="1"/>
        <rFont val="Calibri"/>
        <family val="2"/>
        <scheme val="minor"/>
      </rPr>
      <t xml:space="preserve"> record list should sort correctly in both ascending and descending order.
2. </t>
    </r>
    <r>
      <rPr>
        <b/>
        <sz val="11"/>
        <color theme="1"/>
        <rFont val="Calibri"/>
        <family val="2"/>
        <scheme val="minor"/>
      </rPr>
      <t>Column Selection:</t>
    </r>
    <r>
      <rPr>
        <sz val="11"/>
        <color theme="1"/>
        <rFont val="Calibri"/>
        <family val="2"/>
        <scheme val="minor"/>
      </rPr>
      <t xml:space="preserve">
- &gt; When all column checkboxes are selected →</t>
    </r>
    <r>
      <rPr>
        <b/>
        <sz val="11"/>
        <color theme="1"/>
        <rFont val="Calibri"/>
        <family val="2"/>
        <scheme val="minor"/>
      </rPr>
      <t xml:space="preserve"> All columns should be displayed.</t>
    </r>
    <r>
      <rPr>
        <sz val="11"/>
        <color theme="1"/>
        <rFont val="Calibri"/>
        <family val="2"/>
        <scheme val="minor"/>
      </rPr>
      <t xml:space="preserve">
- &gt; When all checkboxes are deselected → </t>
    </r>
    <r>
      <rPr>
        <b/>
        <sz val="11"/>
        <color theme="1"/>
        <rFont val="Calibri"/>
        <family val="2"/>
        <scheme val="minor"/>
      </rPr>
      <t>All columns should be hidden.</t>
    </r>
  </si>
  <si>
    <r>
      <t xml:space="preserve">1. </t>
    </r>
    <r>
      <rPr>
        <b/>
        <sz val="11"/>
        <color theme="1"/>
        <rFont val="Calibri"/>
        <family val="2"/>
        <scheme val="minor"/>
      </rPr>
      <t>Sorting:</t>
    </r>
    <r>
      <rPr>
        <sz val="11"/>
        <color theme="1"/>
        <rFont val="Calibri"/>
        <family val="2"/>
        <scheme val="minor"/>
      </rPr>
      <t xml:space="preserve"> Transporter list should sort correctly in both ascending and descending order.
2. </t>
    </r>
    <r>
      <rPr>
        <b/>
        <sz val="11"/>
        <color theme="1"/>
        <rFont val="Calibri"/>
        <family val="2"/>
        <scheme val="minor"/>
      </rPr>
      <t>Column Selection:</t>
    </r>
    <r>
      <rPr>
        <sz val="11"/>
        <color theme="1"/>
        <rFont val="Calibri"/>
        <family val="2"/>
        <scheme val="minor"/>
      </rPr>
      <t xml:space="preserve">
- &gt; When all column checkboxes are selected →</t>
    </r>
    <r>
      <rPr>
        <b/>
        <sz val="11"/>
        <color theme="1"/>
        <rFont val="Calibri"/>
        <family val="2"/>
        <scheme val="minor"/>
      </rPr>
      <t xml:space="preserve"> All columns should be displayed.</t>
    </r>
    <r>
      <rPr>
        <sz val="11"/>
        <color theme="1"/>
        <rFont val="Calibri"/>
        <family val="2"/>
        <scheme val="minor"/>
      </rPr>
      <t xml:space="preserve">
- &gt; When all checkboxes are deselected → </t>
    </r>
    <r>
      <rPr>
        <b/>
        <sz val="11"/>
        <color theme="1"/>
        <rFont val="Calibri"/>
        <family val="2"/>
        <scheme val="minor"/>
      </rPr>
      <t>All columns should be hidden.</t>
    </r>
  </si>
  <si>
    <r>
      <t xml:space="preserve">1. </t>
    </r>
    <r>
      <rPr>
        <b/>
        <sz val="11"/>
        <color theme="1"/>
        <rFont val="Calibri"/>
        <family val="2"/>
        <scheme val="minor"/>
      </rPr>
      <t>Sorting:</t>
    </r>
    <r>
      <rPr>
        <sz val="11"/>
        <color theme="1"/>
        <rFont val="Calibri"/>
        <family val="2"/>
        <scheme val="minor"/>
      </rPr>
      <t xml:space="preserve"> This functionality is disabled.
2. Column Checkbox when all checkboxes are selected, all columns display as expected. </t>
    </r>
    <r>
      <rPr>
        <b/>
        <sz val="11"/>
        <color theme="1"/>
        <rFont val="Calibri"/>
        <family val="2"/>
        <scheme val="minor"/>
      </rPr>
      <t>However, when all checkboxes are deselected, one column remains visible.</t>
    </r>
  </si>
  <si>
    <t>Transporter_M_04</t>
  </si>
  <si>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Transporter Master</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</si>
  <si>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Transporter Master
</t>
    </r>
    <r>
      <rPr>
        <sz val="11"/>
        <color theme="1"/>
        <rFont val="Calibri"/>
        <family val="2"/>
        <scheme val="minor"/>
      </rPr>
      <t xml:space="preserve">2. From the </t>
    </r>
    <r>
      <rPr>
        <b/>
        <sz val="11"/>
        <color theme="1"/>
        <rFont val="Calibri"/>
        <family val="2"/>
        <scheme val="minor"/>
      </rPr>
      <t>left-panel list</t>
    </r>
    <r>
      <rPr>
        <sz val="11"/>
        <color theme="1"/>
        <rFont val="Calibri"/>
        <family val="2"/>
        <scheme val="minor"/>
      </rPr>
      <t xml:space="preserve">, select any record and observe the system behaviour.
2. Now select another record from the </t>
    </r>
    <r>
      <rPr>
        <b/>
        <sz val="11"/>
        <color theme="1"/>
        <rFont val="Calibri"/>
        <family val="2"/>
        <scheme val="minor"/>
      </rPr>
      <t>left panel list</t>
    </r>
    <r>
      <rPr>
        <sz val="11"/>
        <color theme="1"/>
        <rFont val="Calibri"/>
        <family val="2"/>
        <scheme val="minor"/>
      </rPr>
      <t xml:space="preserve"> and observe the system behaviour.</t>
    </r>
  </si>
  <si>
    <r>
      <t xml:space="preserve">1. The record selected from the </t>
    </r>
    <r>
      <rPr>
        <b/>
        <sz val="11"/>
        <color theme="1"/>
        <rFont val="Calibri"/>
        <family val="2"/>
        <scheme val="minor"/>
      </rPr>
      <t xml:space="preserve">left-panel list </t>
    </r>
    <r>
      <rPr>
        <sz val="11"/>
        <color theme="1"/>
        <rFont val="Calibri"/>
        <family val="2"/>
        <scheme val="minor"/>
      </rPr>
      <t xml:space="preserve">should be displayed correctly in the corresponding textboxes on the </t>
    </r>
    <r>
      <rPr>
        <b/>
        <sz val="11"/>
        <color theme="1"/>
        <rFont val="Calibri"/>
        <family val="2"/>
        <scheme val="minor"/>
      </rPr>
      <t xml:space="preserve">Transporter Master </t>
    </r>
    <r>
      <rPr>
        <sz val="11"/>
        <color theme="1"/>
        <rFont val="Calibri"/>
        <family val="2"/>
        <scheme val="minor"/>
      </rPr>
      <t>page.
2. When another record is selected, the previously displayed details should be refreshed and replaced with the newly selected record details.</t>
    </r>
  </si>
  <si>
    <t>Transporter_M_05</t>
  </si>
  <si>
    <r>
      <t xml:space="preserve">Validate the functionality of </t>
    </r>
    <r>
      <rPr>
        <b/>
        <sz val="11"/>
        <rFont val="Calibri"/>
        <family val="2"/>
        <scheme val="minor"/>
      </rPr>
      <t>Name</t>
    </r>
    <r>
      <rPr>
        <sz val="11"/>
        <rFont val="Calibri"/>
        <family val="2"/>
        <scheme val="minor"/>
      </rPr>
      <t xml:space="preserve"> textbox  in </t>
    </r>
    <r>
      <rPr>
        <b/>
        <sz val="11"/>
        <rFont val="Calibri"/>
        <family val="2"/>
        <scheme val="minor"/>
      </rPr>
      <t>Transporter Master</t>
    </r>
    <r>
      <rPr>
        <sz val="11"/>
        <rFont val="Calibri"/>
        <family val="2"/>
        <scheme val="minor"/>
      </rPr>
      <t xml:space="preserve"> Page</t>
    </r>
  </si>
  <si>
    <t>Transporter_M_06</t>
  </si>
  <si>
    <r>
      <t xml:space="preserve">Validate the functionality of </t>
    </r>
    <r>
      <rPr>
        <b/>
        <sz val="11"/>
        <rFont val="Calibri"/>
        <family val="2"/>
        <scheme val="minor"/>
      </rPr>
      <t>Address 1</t>
    </r>
    <r>
      <rPr>
        <sz val="11"/>
        <rFont val="Calibri"/>
        <family val="2"/>
        <scheme val="minor"/>
      </rPr>
      <t xml:space="preserve"> textbox  in </t>
    </r>
    <r>
      <rPr>
        <b/>
        <sz val="11"/>
        <rFont val="Calibri"/>
        <family val="2"/>
        <scheme val="minor"/>
      </rPr>
      <t>Transporter Master</t>
    </r>
    <r>
      <rPr>
        <sz val="11"/>
        <rFont val="Calibri"/>
        <family val="2"/>
        <scheme val="minor"/>
      </rPr>
      <t xml:space="preserve"> Page</t>
    </r>
  </si>
  <si>
    <r>
      <rPr>
        <b/>
        <sz val="11"/>
        <rFont val="Calibri"/>
        <family val="2"/>
        <scheme val="minor"/>
      </rPr>
      <t xml:space="preserve">Test Data:
</t>
    </r>
    <r>
      <rPr>
        <sz val="11"/>
        <rFont val="Calibri"/>
        <family val="2"/>
        <scheme val="minor"/>
      </rPr>
      <t xml:space="preserve"> -&gt;</t>
    </r>
    <r>
      <rPr>
        <b/>
        <sz val="11"/>
        <rFont val="Calibri"/>
        <family val="2"/>
        <scheme val="minor"/>
      </rPr>
      <t xml:space="preserve"> </t>
    </r>
    <r>
      <rPr>
        <sz val="11"/>
        <rFont val="Calibri"/>
        <family val="2"/>
        <scheme val="minor"/>
      </rPr>
      <t>Alphabetic values
 -&gt; Numeric values
 -&gt; Special characters</t>
    </r>
    <r>
      <rPr>
        <b/>
        <sz val="11"/>
        <rFont val="Calibri"/>
        <family val="2"/>
        <scheme val="minor"/>
      </rPr>
      <t xml:space="preserve">
</t>
    </r>
  </si>
  <si>
    <r>
      <t xml:space="preserve">1. </t>
    </r>
    <r>
      <rPr>
        <b/>
        <sz val="11"/>
        <rFont val="Calibri"/>
        <family val="2"/>
        <scheme val="minor"/>
      </rPr>
      <t xml:space="preserve">Address 1 </t>
    </r>
    <r>
      <rPr>
        <sz val="11"/>
        <rFont val="Calibri"/>
        <family val="2"/>
        <scheme val="minor"/>
      </rPr>
      <t xml:space="preserve">textbox should accept:
 -&gt; Alphabetic values
 -&gt; Numeric values
 -&gt; Special characters
2. </t>
    </r>
    <r>
      <rPr>
        <b/>
        <sz val="11"/>
        <rFont val="Calibri"/>
        <family val="2"/>
        <scheme val="minor"/>
      </rPr>
      <t>Address 1</t>
    </r>
    <r>
      <rPr>
        <sz val="11"/>
        <rFont val="Calibri"/>
        <family val="2"/>
        <scheme val="minor"/>
      </rPr>
      <t xml:space="preserve"> textbox length should be limited to 50 characters.</t>
    </r>
  </si>
  <si>
    <r>
      <t xml:space="preserve">1. As per use case, </t>
    </r>
    <r>
      <rPr>
        <b/>
        <sz val="11"/>
        <rFont val="Calibri"/>
        <family val="2"/>
        <scheme val="minor"/>
      </rPr>
      <t>Name</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Name</t>
    </r>
    <r>
      <rPr>
        <sz val="11"/>
        <rFont val="Calibri"/>
        <family val="2"/>
        <scheme val="minor"/>
      </rPr>
      <t xml:space="preserve"> textbox length should be limited to 50 characters.</t>
    </r>
  </si>
  <si>
    <t>Transporter_M_07</t>
  </si>
  <si>
    <r>
      <t xml:space="preserve">Validate the functionality of </t>
    </r>
    <r>
      <rPr>
        <b/>
        <sz val="11"/>
        <rFont val="Calibri"/>
        <family val="2"/>
        <scheme val="minor"/>
      </rPr>
      <t>Address 2</t>
    </r>
    <r>
      <rPr>
        <sz val="11"/>
        <rFont val="Calibri"/>
        <family val="2"/>
        <scheme val="minor"/>
      </rPr>
      <t xml:space="preserve"> textbox  in </t>
    </r>
    <r>
      <rPr>
        <b/>
        <sz val="11"/>
        <rFont val="Calibri"/>
        <family val="2"/>
        <scheme val="minor"/>
      </rPr>
      <t>Transporter Master</t>
    </r>
    <r>
      <rPr>
        <sz val="11"/>
        <rFont val="Calibri"/>
        <family val="2"/>
        <scheme val="minor"/>
      </rPr>
      <t xml:space="preserve"> Page</t>
    </r>
  </si>
  <si>
    <r>
      <t xml:space="preserve">1. </t>
    </r>
    <r>
      <rPr>
        <b/>
        <sz val="11"/>
        <rFont val="Calibri"/>
        <family val="2"/>
        <scheme val="minor"/>
      </rPr>
      <t xml:space="preserve">Address 2 </t>
    </r>
    <r>
      <rPr>
        <sz val="11"/>
        <rFont val="Calibri"/>
        <family val="2"/>
        <scheme val="minor"/>
      </rPr>
      <t xml:space="preserve">textbox should accept:
 -&gt; Alphabetic values
 -&gt; Numeric values
 -&gt; Special characters
2. </t>
    </r>
    <r>
      <rPr>
        <b/>
        <sz val="11"/>
        <rFont val="Calibri"/>
        <family val="2"/>
        <scheme val="minor"/>
      </rPr>
      <t>Address 2</t>
    </r>
    <r>
      <rPr>
        <sz val="11"/>
        <rFont val="Calibri"/>
        <family val="2"/>
        <scheme val="minor"/>
      </rPr>
      <t xml:space="preserve"> textbox length should be limited to 50 characters.</t>
    </r>
  </si>
  <si>
    <t>Transporter_M_08</t>
  </si>
  <si>
    <r>
      <t xml:space="preserve">Validate the functionality of </t>
    </r>
    <r>
      <rPr>
        <b/>
        <sz val="11"/>
        <rFont val="Calibri"/>
        <family val="2"/>
        <scheme val="minor"/>
      </rPr>
      <t>State</t>
    </r>
    <r>
      <rPr>
        <sz val="11"/>
        <rFont val="Calibri"/>
        <family val="2"/>
        <scheme val="minor"/>
      </rPr>
      <t xml:space="preserve"> textbox  in </t>
    </r>
    <r>
      <rPr>
        <b/>
        <sz val="11"/>
        <rFont val="Calibri"/>
        <family val="2"/>
        <scheme val="minor"/>
      </rPr>
      <t>Transporter Master</t>
    </r>
    <r>
      <rPr>
        <sz val="11"/>
        <rFont val="Calibri"/>
        <family val="2"/>
        <scheme val="minor"/>
      </rPr>
      <t xml:space="preserve"> Page</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</si>
  <si>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State</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 space and combination of character.</t>
    </r>
  </si>
  <si>
    <r>
      <t xml:space="preserve">1. As per use case, </t>
    </r>
    <r>
      <rPr>
        <b/>
        <sz val="11"/>
        <rFont val="Calibri"/>
        <family val="2"/>
        <scheme val="minor"/>
      </rPr>
      <t>State</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State</t>
    </r>
    <r>
      <rPr>
        <sz val="11"/>
        <rFont val="Calibri"/>
        <family val="2"/>
        <scheme val="minor"/>
      </rPr>
      <t xml:space="preserve"> textbox length should be limited to 50 characters.</t>
    </r>
  </si>
  <si>
    <r>
      <t xml:space="preserve">1. Functionality is not working as expected.
2. </t>
    </r>
    <r>
      <rPr>
        <b/>
        <sz val="11"/>
        <rFont val="Calibri"/>
        <family val="2"/>
        <scheme val="minor"/>
      </rPr>
      <t>State</t>
    </r>
    <r>
      <rPr>
        <sz val="11"/>
        <rFont val="Calibri"/>
        <family val="2"/>
        <scheme val="minor"/>
      </rPr>
      <t xml:space="preserve"> textbox is accepting all types of values, including invalid characters.
3. 50-character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State</t>
    </r>
    <r>
      <rPr>
        <sz val="11"/>
        <rFont val="Calibri"/>
        <family val="2"/>
        <scheme val="minor"/>
      </rPr>
      <t xml:space="preserve"> textbox should accept alphanumeric value with space and following special character:   Dot (.), Comma (,), Percent (%), Hyphen (-), Forward Slash(/), Backslash (\), Ampersand (&amp;),  Underscore ( _)</t>
    </r>
  </si>
  <si>
    <r>
      <t xml:space="preserve">1. Functionality is not working as expected.
2. </t>
    </r>
    <r>
      <rPr>
        <b/>
        <sz val="11"/>
        <rFont val="Calibri"/>
        <family val="2"/>
        <scheme val="minor"/>
      </rPr>
      <t>Name</t>
    </r>
    <r>
      <rPr>
        <sz val="11"/>
        <rFont val="Calibri"/>
        <family val="2"/>
        <scheme val="minor"/>
      </rPr>
      <t xml:space="preserve"> textbox is accepting all types of values, including invalid characters.
3. 50-character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Name</t>
    </r>
    <r>
      <rPr>
        <sz val="11"/>
        <rFont val="Calibri"/>
        <family val="2"/>
        <scheme val="minor"/>
      </rPr>
      <t xml:space="preserve"> textbox should accept alphanumeric value with space and following special character:   Dot (.), Comma (,), Percent (%), Hyphen (-), Forward Slash(/), Backslash (\), Ampersand (&amp;),  Underscore ( _)</t>
    </r>
  </si>
  <si>
    <t>Transporter_M_09</t>
  </si>
  <si>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Transporter Master</t>
    </r>
    <r>
      <rPr>
        <sz val="11"/>
        <color theme="1"/>
        <rFont val="Calibri"/>
        <family val="2"/>
        <scheme val="minor"/>
      </rPr>
      <t xml:space="preserve"> Page.</t>
    </r>
  </si>
  <si>
    <r>
      <rPr>
        <b/>
        <sz val="11"/>
        <color theme="1"/>
        <rFont val="Calibri"/>
        <family val="2"/>
        <scheme val="minor"/>
      </rPr>
      <t xml:space="preserve">Testbox:
</t>
    </r>
    <r>
      <rPr>
        <sz val="11"/>
        <color theme="1"/>
        <rFont val="Calibri"/>
        <family val="2"/>
        <scheme val="minor"/>
      </rPr>
      <t xml:space="preserve"> -&gt; Name
 -&gt; Address 1
 -&gt; Address 2
 -&gt; State </t>
    </r>
  </si>
  <si>
    <r>
      <t>1. When all fields contain valid values, clicking the</t>
    </r>
    <r>
      <rPr>
        <b/>
        <sz val="11"/>
        <color theme="1"/>
        <rFont val="Calibri"/>
        <family val="2"/>
        <scheme val="minor"/>
      </rPr>
      <t xml:space="preserve"> Save </t>
    </r>
    <r>
      <rPr>
        <sz val="11"/>
        <color theme="1"/>
        <rFont val="Calibri"/>
        <family val="2"/>
        <scheme val="minor"/>
      </rPr>
      <t xml:space="preserve">button should save the record successfully.
2. A </t>
    </r>
    <r>
      <rPr>
        <b/>
        <sz val="11"/>
        <color theme="1"/>
        <rFont val="Calibri"/>
        <family val="2"/>
        <scheme val="minor"/>
      </rPr>
      <t>success confirmation message</t>
    </r>
    <r>
      <rPr>
        <sz val="11"/>
        <color theme="1"/>
        <rFont val="Calibri"/>
        <family val="2"/>
        <scheme val="minor"/>
      </rPr>
      <t xml:space="preserve"> should be displayed.
3. The saved record should appear in the</t>
    </r>
    <r>
      <rPr>
        <b/>
        <sz val="11"/>
        <color theme="1"/>
        <rFont val="Calibri"/>
        <family val="2"/>
        <scheme val="minor"/>
      </rPr>
      <t xml:space="preserve"> left-side panel</t>
    </r>
    <r>
      <rPr>
        <sz val="11"/>
        <color theme="1"/>
        <rFont val="Calibri"/>
        <family val="2"/>
        <scheme val="minor"/>
      </rPr>
      <t xml:space="preserve"> list.
4. The saved record should be </t>
    </r>
    <r>
      <rPr>
        <b/>
        <sz val="11"/>
        <color theme="1"/>
        <rFont val="Calibri"/>
        <family val="2"/>
        <scheme val="minor"/>
      </rPr>
      <t>searchable</t>
    </r>
    <r>
      <rPr>
        <sz val="11"/>
        <color theme="1"/>
        <rFont val="Calibri"/>
        <family val="2"/>
        <scheme val="minor"/>
      </rPr>
      <t xml:space="preserve"> using the Search textbox and </t>
    </r>
    <r>
      <rPr>
        <b/>
        <sz val="11"/>
        <color theme="1"/>
        <rFont val="Calibri"/>
        <family val="2"/>
        <scheme val="minor"/>
      </rPr>
      <t>selectable</t>
    </r>
    <r>
      <rPr>
        <sz val="11"/>
        <color theme="1"/>
        <rFont val="Calibri"/>
        <family val="2"/>
        <scheme val="minor"/>
      </rPr>
      <t xml:space="preserve"> from the list.</t>
    </r>
  </si>
  <si>
    <t>Transporter_M_10</t>
  </si>
  <si>
    <r>
      <t xml:space="preserve">1. Navigate to </t>
    </r>
    <r>
      <rPr>
        <b/>
        <sz val="11"/>
        <color theme="1"/>
        <rFont val="Calibri"/>
        <family val="2"/>
        <scheme val="minor"/>
      </rPr>
      <t>Masters → EDI Master → Transporter Master</t>
    </r>
    <r>
      <rPr>
        <sz val="11"/>
        <color theme="1"/>
        <rFont val="Calibri"/>
        <family val="2"/>
        <scheme val="minor"/>
      </rPr>
      <t xml:space="preserve">
2. Leave all fields blank.
4. Click on the </t>
    </r>
    <r>
      <rPr>
        <b/>
        <sz val="11"/>
        <color theme="1"/>
        <rFont val="Calibri"/>
        <family val="2"/>
        <scheme val="minor"/>
      </rPr>
      <t>Save</t>
    </r>
    <r>
      <rPr>
        <sz val="11"/>
        <color theme="1"/>
        <rFont val="Calibri"/>
        <family val="2"/>
        <scheme val="minor"/>
      </rPr>
      <t xml:space="preserve"> button and observe the system behaviour.</t>
    </r>
  </si>
  <si>
    <r>
      <t xml:space="preserve">1. Navigate to </t>
    </r>
    <r>
      <rPr>
        <b/>
        <sz val="11"/>
        <color theme="1"/>
        <rFont val="Calibri"/>
        <family val="2"/>
        <scheme val="minor"/>
      </rPr>
      <t>Masters → EDI Master → Transporter Master</t>
    </r>
    <r>
      <rPr>
        <sz val="11"/>
        <color theme="1"/>
        <rFont val="Calibri"/>
        <family val="2"/>
        <scheme val="minor"/>
      </rPr>
      <t xml:space="preserve">
2. Enter valid values in all mandatory and non-mandatory fields.
3. Click on the </t>
    </r>
    <r>
      <rPr>
        <b/>
        <sz val="11"/>
        <color theme="1"/>
        <rFont val="Calibri"/>
        <family val="2"/>
        <scheme val="minor"/>
      </rPr>
      <t xml:space="preserve">Save </t>
    </r>
    <r>
      <rPr>
        <sz val="11"/>
        <color theme="1"/>
        <rFont val="Calibri"/>
        <family val="2"/>
        <scheme val="minor"/>
      </rPr>
      <t>button and observe the system behaviour.</t>
    </r>
  </si>
  <si>
    <r>
      <t xml:space="preserve">1. Navigate to </t>
    </r>
    <r>
      <rPr>
        <b/>
        <sz val="11"/>
        <rFont val="Calibri"/>
        <family val="2"/>
        <scheme val="minor"/>
      </rPr>
      <t>Masters -&gt; EDI Master -&gt; Transporter Master</t>
    </r>
    <r>
      <rPr>
        <sz val="11"/>
        <rFont val="Calibri"/>
        <family val="2"/>
        <scheme val="minor"/>
      </rPr>
      <t xml:space="preserve">
2. Enter valid and invalid data in the </t>
    </r>
    <r>
      <rPr>
        <b/>
        <sz val="11"/>
        <rFont val="Calibri"/>
        <family val="2"/>
        <scheme val="minor"/>
      </rPr>
      <t>State</t>
    </r>
    <r>
      <rPr>
        <sz val="11"/>
        <rFont val="Calibri"/>
        <family val="2"/>
        <scheme val="minor"/>
      </rPr>
      <t xml:space="preserve"> textbox.
3. Observe the system behaviour.</t>
    </r>
  </si>
  <si>
    <r>
      <t xml:space="preserve">1. Navigate to </t>
    </r>
    <r>
      <rPr>
        <b/>
        <sz val="11"/>
        <rFont val="Calibri"/>
        <family val="2"/>
        <scheme val="minor"/>
      </rPr>
      <t>Masters -&gt; EDI Master -&gt; Transporter Master</t>
    </r>
    <r>
      <rPr>
        <sz val="11"/>
        <rFont val="Calibri"/>
        <family val="2"/>
        <scheme val="minor"/>
      </rPr>
      <t xml:space="preserve">
2. Enter Valid &amp; Invalid Data in </t>
    </r>
    <r>
      <rPr>
        <b/>
        <sz val="11"/>
        <rFont val="Calibri"/>
        <family val="2"/>
        <scheme val="minor"/>
      </rPr>
      <t>Address 2</t>
    </r>
    <r>
      <rPr>
        <sz val="11"/>
        <rFont val="Calibri"/>
        <family val="2"/>
        <scheme val="minor"/>
      </rPr>
      <t xml:space="preserve"> textbox.
3. Observe the system behaviour.</t>
    </r>
  </si>
  <si>
    <r>
      <t xml:space="preserve">1. Navigate to </t>
    </r>
    <r>
      <rPr>
        <b/>
        <sz val="11"/>
        <rFont val="Calibri"/>
        <family val="2"/>
        <scheme val="minor"/>
      </rPr>
      <t>Masters -&gt; EDI Master -&gt; Transporter Master</t>
    </r>
    <r>
      <rPr>
        <sz val="11"/>
        <rFont val="Calibri"/>
        <family val="2"/>
        <scheme val="minor"/>
      </rPr>
      <t xml:space="preserve">
2. Enter Valid &amp; Invalid Data in </t>
    </r>
    <r>
      <rPr>
        <b/>
        <sz val="11"/>
        <rFont val="Calibri"/>
        <family val="2"/>
        <scheme val="minor"/>
      </rPr>
      <t>Address 1</t>
    </r>
    <r>
      <rPr>
        <sz val="11"/>
        <rFont val="Calibri"/>
        <family val="2"/>
        <scheme val="minor"/>
      </rPr>
      <t xml:space="preserve"> textbox.
3. Observe the system behaviour.</t>
    </r>
  </si>
  <si>
    <r>
      <t xml:space="preserve">1. Navigate to </t>
    </r>
    <r>
      <rPr>
        <b/>
        <sz val="11"/>
        <rFont val="Calibri"/>
        <family val="2"/>
        <scheme val="minor"/>
      </rPr>
      <t>Masters -&gt; EDI Master -&gt; Transporter Master</t>
    </r>
    <r>
      <rPr>
        <sz val="11"/>
        <rFont val="Calibri"/>
        <family val="2"/>
        <scheme val="minor"/>
      </rPr>
      <t xml:space="preserve">
2. Enter valid and invalid data in the </t>
    </r>
    <r>
      <rPr>
        <b/>
        <sz val="11"/>
        <rFont val="Calibri"/>
        <family val="2"/>
        <scheme val="minor"/>
      </rPr>
      <t>Name</t>
    </r>
    <r>
      <rPr>
        <sz val="11"/>
        <rFont val="Calibri"/>
        <family val="2"/>
        <scheme val="minor"/>
      </rPr>
      <t xml:space="preserve"> textbox.
3. Observe the system behaviour.</t>
    </r>
  </si>
  <si>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the </t>
    </r>
    <r>
      <rPr>
        <b/>
        <sz val="11"/>
        <color theme="1"/>
        <rFont val="Calibri"/>
        <family val="2"/>
        <scheme val="minor"/>
      </rPr>
      <t>Transporter Master</t>
    </r>
    <r>
      <rPr>
        <sz val="11"/>
        <color theme="1"/>
        <rFont val="Calibri"/>
        <family val="2"/>
        <scheme val="minor"/>
      </rPr>
      <t xml:space="preserve"> Page.</t>
    </r>
  </si>
  <si>
    <r>
      <t xml:space="preserve">1. Record should not be saved </t>
    </r>
    <r>
      <rPr>
        <b/>
        <sz val="11"/>
        <color theme="1"/>
        <rFont val="Calibri"/>
        <family val="2"/>
        <scheme val="minor"/>
      </rPr>
      <t>if any mandatory fields are left blank.</t>
    </r>
    <r>
      <rPr>
        <sz val="11"/>
        <color theme="1"/>
        <rFont val="Calibri"/>
        <family val="2"/>
        <scheme val="minor"/>
      </rPr>
      <t xml:space="preserve">
2. Validation messages should be displayed for each mandatory field at the respective textbox level.
3. Validation messages should appear in the same sequence as the textbox order on the page.
4. After filling all mandatory fields with valid data:
 -&gt; Record should be saved successfully.
5. A success confirmation message should be displayed.
6. Saved record should appear in the left-side panel list.
7. Saved record should be searchable and selectable from the list.
</t>
    </r>
  </si>
  <si>
    <r>
      <t xml:space="preserve">1. Record is saved </t>
    </r>
    <r>
      <rPr>
        <b/>
        <sz val="11"/>
        <color theme="1"/>
        <rFont val="Calibri"/>
        <family val="2"/>
        <scheme val="minor"/>
      </rPr>
      <t>even when mandatory fields are left blank.</t>
    </r>
    <r>
      <rPr>
        <sz val="11"/>
        <color theme="1"/>
        <rFont val="Calibri"/>
        <family val="2"/>
        <scheme val="minor"/>
      </rPr>
      <t xml:space="preserve">
2. As per </t>
    </r>
    <r>
      <rPr>
        <b/>
        <sz val="11"/>
        <color theme="1"/>
        <rFont val="Calibri"/>
        <family val="2"/>
        <scheme val="minor"/>
      </rPr>
      <t>mandatory field indicators (red textbox)</t>
    </r>
    <r>
      <rPr>
        <sz val="11"/>
        <color theme="1"/>
        <rFont val="Calibri"/>
        <family val="2"/>
        <scheme val="minor"/>
      </rPr>
      <t xml:space="preserve">, the following fields are marked mandatory:
 -&gt; Address 1
 -&gt; Address 2
 -&gt; State
3. Record is saved even when the above three fields are left blank.
4. No validation messages are displayed for these fields.
</t>
    </r>
    <r>
      <rPr>
        <b/>
        <sz val="11"/>
        <color theme="1"/>
        <rFont val="Calibri"/>
        <family val="2"/>
        <scheme val="minor"/>
      </rPr>
      <t>Note: Mandatory indicator should be removed from:
 -&gt; Address 1
 -&gt; Address 2
 -&gt; State</t>
    </r>
  </si>
  <si>
    <t>Transporter_M_11</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</si>
  <si>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Transporter Master </t>
    </r>
    <r>
      <rPr>
        <sz val="11"/>
        <color theme="1"/>
        <rFont val="Calibri"/>
        <family val="2"/>
        <scheme val="minor"/>
      </rPr>
      <t>page.</t>
    </r>
  </si>
  <si>
    <r>
      <t xml:space="preserve">1. Navigate to </t>
    </r>
    <r>
      <rPr>
        <b/>
        <sz val="11"/>
        <color theme="1"/>
        <rFont val="Calibri"/>
        <family val="2"/>
        <scheme val="minor"/>
      </rPr>
      <t>Masters → EDI Master → Transporter Master</t>
    </r>
    <r>
      <rPr>
        <sz val="11"/>
        <color theme="1"/>
        <rFont val="Calibri"/>
        <family val="2"/>
        <scheme val="minor"/>
      </rPr>
      <t xml:space="preserve">
2. Select any record from the left-side panel list.
3. Modify one or more fields with new valid data.
4. Click the Modify button.
5.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</si>
  <si>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t>
    </r>
    <r>
      <rPr>
        <b/>
        <sz val="11"/>
        <color theme="1"/>
        <rFont val="Calibri"/>
        <family val="2"/>
        <scheme val="minor"/>
      </rPr>
      <t>Modify button should be enabled only when a record is selected from the left-side panel and its data is loaded into the textboxes.</t>
    </r>
    <r>
      <rPr>
        <sz val="11"/>
        <color theme="1"/>
        <rFont val="Calibri"/>
        <family val="2"/>
        <scheme val="minor"/>
      </rPr>
      <t xml:space="preserve">
3. On clicking </t>
    </r>
    <r>
      <rPr>
        <b/>
        <sz val="11"/>
        <color theme="1"/>
        <rFont val="Calibri"/>
        <family val="2"/>
        <scheme val="minor"/>
      </rPr>
      <t>Modify,</t>
    </r>
    <r>
      <rPr>
        <sz val="11"/>
        <color theme="1"/>
        <rFont val="Calibri"/>
        <family val="2"/>
        <scheme val="minor"/>
      </rPr>
      <t xml:space="preserve"> the record should be updated successfully with the new values.
4. The updated record should appear correctly in the left-side records list.
5. The user should be able to modify the same record multiple times.</t>
    </r>
  </si>
  <si>
    <r>
      <t xml:space="preserve">1. </t>
    </r>
    <r>
      <rPr>
        <b/>
        <sz val="11"/>
        <color theme="1"/>
        <rFont val="Calibri"/>
        <family val="2"/>
        <scheme val="minor"/>
      </rPr>
      <t xml:space="preserve">Modify button </t>
    </r>
    <r>
      <rPr>
        <sz val="11"/>
        <color theme="1"/>
        <rFont val="Calibri"/>
        <family val="2"/>
        <scheme val="minor"/>
      </rPr>
      <t xml:space="preserve">remains disabled in the new state.
2. </t>
    </r>
    <r>
      <rPr>
        <b/>
        <sz val="11"/>
        <color theme="1"/>
        <rFont val="Calibri"/>
        <family val="2"/>
        <scheme val="minor"/>
      </rPr>
      <t xml:space="preserve">Modify button </t>
    </r>
    <r>
      <rPr>
        <sz val="11"/>
        <color theme="1"/>
        <rFont val="Calibri"/>
        <family val="2"/>
        <scheme val="minor"/>
      </rPr>
      <t xml:space="preserve">becomes enabled after selecting a record and loading data into textboxes.
3. Record is not modified correctly:
 -&gt; Address 1, Address 2, and State values are modified successfully.
4. While modifying the Name field:
 -&gt; Success message </t>
    </r>
    <r>
      <rPr>
        <b/>
        <sz val="11"/>
        <color theme="1"/>
        <rFont val="Calibri"/>
        <family val="2"/>
        <scheme val="minor"/>
      </rPr>
      <t>Transporter Modified successfully!!!</t>
    </r>
    <r>
      <rPr>
        <sz val="11"/>
        <color theme="1"/>
        <rFont val="Calibri"/>
        <family val="2"/>
        <scheme val="minor"/>
      </rPr>
      <t xml:space="preserve"> is displayed.
 -&gt; On re-selecting the same record from the left-side panel, Name value is not updated and the old value is displayed.</t>
    </r>
  </si>
  <si>
    <t>Transporter_M_12</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</si>
  <si>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Transporter Master </t>
    </r>
    <r>
      <rPr>
        <sz val="11"/>
        <color theme="1"/>
        <rFont val="Calibri"/>
        <family val="2"/>
        <scheme val="minor"/>
      </rPr>
      <t>page.</t>
    </r>
  </si>
  <si>
    <r>
      <t xml:space="preserve">1. Navigate to </t>
    </r>
    <r>
      <rPr>
        <b/>
        <sz val="11"/>
        <color theme="1"/>
        <rFont val="Calibri"/>
        <family val="2"/>
        <scheme val="minor"/>
      </rPr>
      <t>Masters → EDI Master → Transporter Master</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</si>
  <si>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r>
      <t xml:space="preserve">1. When the page is in a new state, the </t>
    </r>
    <r>
      <rPr>
        <b/>
        <sz val="11"/>
        <color theme="1"/>
        <rFont val="Calibri"/>
        <family val="2"/>
        <scheme val="minor"/>
      </rPr>
      <t>Delete</t>
    </r>
    <r>
      <rPr>
        <sz val="11"/>
        <color theme="1"/>
        <rFont val="Calibri"/>
        <family val="2"/>
        <scheme val="minor"/>
      </rPr>
      <t xml:space="preserve"> button should be disabled.
2. The </t>
    </r>
    <r>
      <rPr>
        <b/>
        <sz val="11"/>
        <color theme="1"/>
        <rFont val="Calibri"/>
        <family val="2"/>
        <scheme val="minor"/>
      </rPr>
      <t>Delete</t>
    </r>
    <r>
      <rPr>
        <sz val="11"/>
        <color theme="1"/>
        <rFont val="Calibri"/>
        <family val="2"/>
        <scheme val="minor"/>
      </rPr>
      <t xml:space="preserve"> button should be enabled only when a record is selected from the left-side panel and its data is loaded into the textboxes.
2. On clicking Delete, a confirmation pop-up should be displayed with the message:
</t>
    </r>
    <r>
      <rPr>
        <b/>
        <sz val="11"/>
        <color theme="1"/>
        <rFont val="Calibri"/>
        <family val="2"/>
        <scheme val="minor"/>
      </rPr>
      <t>Are you sure you want to delete this record?</t>
    </r>
    <r>
      <rPr>
        <sz val="11"/>
        <color theme="1"/>
        <rFont val="Calibri"/>
        <family val="2"/>
        <scheme val="minor"/>
      </rPr>
      <t xml:space="preserve">
with Yes / No options.
</t>
    </r>
    <r>
      <rPr>
        <b/>
        <sz val="11"/>
        <color theme="1"/>
        <rFont val="Calibri"/>
        <family val="2"/>
        <scheme val="minor"/>
      </rPr>
      <t xml:space="preserve"> -&gt; If Yes is selected:</t>
    </r>
    <r>
      <rPr>
        <sz val="11"/>
        <color theme="1"/>
        <rFont val="Calibri"/>
        <family val="2"/>
        <scheme val="minor"/>
      </rPr>
      <t xml:space="preserve">
 -&gt; Record should be deleted successfully.
 -&gt; Deleted record should no longer appear in the left-side list.
</t>
    </r>
    <r>
      <rPr>
        <b/>
        <sz val="11"/>
        <color theme="1"/>
        <rFont val="Calibri"/>
        <family val="2"/>
        <scheme val="minor"/>
      </rPr>
      <t xml:space="preserve"> -&gt; If No is selected:</t>
    </r>
    <r>
      <rPr>
        <sz val="11"/>
        <color theme="1"/>
        <rFont val="Calibri"/>
        <family val="2"/>
        <scheme val="minor"/>
      </rPr>
      <t xml:space="preserve">
 -&gt; Deletion should be cancelled.
 -&gt; Record should remain unchanged.</t>
    </r>
  </si>
  <si>
    <r>
      <t xml:space="preserve">1. Functionality is not working as expected.
2. </t>
    </r>
    <r>
      <rPr>
        <b/>
        <sz val="11"/>
        <color theme="1"/>
        <rFont val="Calibri"/>
        <family val="2"/>
        <scheme val="minor"/>
      </rPr>
      <t>Delete</t>
    </r>
    <r>
      <rPr>
        <sz val="11"/>
        <color theme="1"/>
        <rFont val="Calibri"/>
        <family val="2"/>
        <scheme val="minor"/>
      </rPr>
      <t xml:space="preserve"> button remains enabled at all times, even when the page is in a new state.
</t>
    </r>
    <r>
      <rPr>
        <b/>
        <sz val="11"/>
        <color theme="1"/>
        <rFont val="Calibri"/>
        <family val="2"/>
        <scheme val="minor"/>
      </rPr>
      <t>3. On clicking Delete:
 -&gt; No confirmation message is displayed.
 -&gt; No action is performed.
 -&gt; Record is not deleted.</t>
    </r>
  </si>
  <si>
    <t>Transporter_M_13</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</si>
  <si>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Transporter Master </t>
    </r>
    <r>
      <rPr>
        <sz val="11"/>
        <color theme="1"/>
        <rFont val="Calibri"/>
        <family val="2"/>
        <scheme val="minor"/>
      </rPr>
      <t>Page.</t>
    </r>
  </si>
  <si>
    <r>
      <t xml:space="preserve">1. Navigate to </t>
    </r>
    <r>
      <rPr>
        <b/>
        <sz val="11"/>
        <color theme="1"/>
        <rFont val="Calibri"/>
        <family val="2"/>
        <scheme val="minor"/>
      </rPr>
      <t>Masters → EDI Master → Transporter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</si>
  <si>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r>
      <t xml:space="preserve">1. On clicking the </t>
    </r>
    <r>
      <rPr>
        <b/>
        <sz val="11"/>
        <color theme="1"/>
        <rFont val="Calibri"/>
        <family val="2"/>
        <scheme val="minor"/>
      </rPr>
      <t>Clear</t>
    </r>
    <r>
      <rPr>
        <sz val="11"/>
        <color theme="1"/>
        <rFont val="Calibri"/>
        <family val="2"/>
        <scheme val="minor"/>
      </rPr>
      <t xml:space="preserve"> button, all textboxes should be reset to their default state.
2. All entered values in the textboxes should be cleared.</t>
    </r>
  </si>
  <si>
    <t>Transporter_M_14</t>
  </si>
  <si>
    <r>
      <t xml:space="preserve">Validate the functionality of </t>
    </r>
    <r>
      <rPr>
        <b/>
        <sz val="11"/>
        <color theme="1"/>
        <rFont val="Calibri"/>
        <family val="2"/>
        <scheme val="minor"/>
      </rPr>
      <t>Entered By</t>
    </r>
    <r>
      <rPr>
        <sz val="11"/>
        <color theme="1"/>
        <rFont val="Calibri"/>
        <family val="2"/>
        <scheme val="minor"/>
      </rPr>
      <t xml:space="preserve"> textbox in the </t>
    </r>
    <r>
      <rPr>
        <b/>
        <sz val="11"/>
        <color theme="1"/>
        <rFont val="Calibri"/>
        <family val="2"/>
        <scheme val="minor"/>
      </rPr>
      <t xml:space="preserve">Transporter Master </t>
    </r>
    <r>
      <rPr>
        <sz val="11"/>
        <color theme="1"/>
        <rFont val="Calibri"/>
        <family val="2"/>
        <scheme val="minor"/>
      </rPr>
      <t>Page.</t>
    </r>
  </si>
  <si>
    <r>
      <t xml:space="preserve">1. Navigate to </t>
    </r>
    <r>
      <rPr>
        <b/>
        <sz val="11"/>
        <color theme="1"/>
        <rFont val="Calibri"/>
        <family val="2"/>
        <scheme val="minor"/>
      </rPr>
      <t xml:space="preserve">Masters → EDI Master → Transporter Master
</t>
    </r>
    <r>
      <rPr>
        <sz val="11"/>
        <color theme="1"/>
        <rFont val="Calibri"/>
        <family val="2"/>
        <scheme val="minor"/>
      </rPr>
      <t xml:space="preserve">2. Enter valid data in all required input fields and click Save.
3. From the left-side panel list, select the recently saved record.
4. Observe the value displayed in the </t>
    </r>
    <r>
      <rPr>
        <b/>
        <sz val="11"/>
        <color theme="1"/>
        <rFont val="Calibri"/>
        <family val="2"/>
        <scheme val="minor"/>
      </rPr>
      <t>Entered By</t>
    </r>
    <r>
      <rPr>
        <sz val="11"/>
        <color theme="1"/>
        <rFont val="Calibri"/>
        <family val="2"/>
        <scheme val="minor"/>
      </rPr>
      <t xml:space="preserve"> textbox.</t>
    </r>
  </si>
  <si>
    <r>
      <t xml:space="preserve">1. </t>
    </r>
    <r>
      <rPr>
        <b/>
        <sz val="11"/>
        <color theme="1"/>
        <rFont val="Calibri"/>
        <family val="2"/>
        <scheme val="minor"/>
      </rPr>
      <t xml:space="preserve">Entered By </t>
    </r>
    <r>
      <rPr>
        <sz val="11"/>
        <color theme="1"/>
        <rFont val="Calibri"/>
        <family val="2"/>
        <scheme val="minor"/>
      </rPr>
      <t xml:space="preserve">textbox should be disabled.
2. </t>
    </r>
    <r>
      <rPr>
        <b/>
        <sz val="11"/>
        <color theme="1"/>
        <rFont val="Calibri"/>
        <family val="2"/>
        <scheme val="minor"/>
      </rPr>
      <t>Entered By</t>
    </r>
    <r>
      <rPr>
        <sz val="11"/>
        <color theme="1"/>
        <rFont val="Calibri"/>
        <family val="2"/>
        <scheme val="minor"/>
      </rPr>
      <t xml:space="preserve"> value should be populated after record creation.
3. </t>
    </r>
    <r>
      <rPr>
        <b/>
        <sz val="11"/>
        <color theme="1"/>
        <rFont val="Calibri"/>
        <family val="2"/>
        <scheme val="minor"/>
      </rPr>
      <t>Entered By</t>
    </r>
    <r>
      <rPr>
        <sz val="11"/>
        <color theme="1"/>
        <rFont val="Calibri"/>
        <family val="2"/>
        <scheme val="minor"/>
      </rPr>
      <t xml:space="preserve"> value should be auto-populated with the username of the user who created the record.
4. The value should not be editable.</t>
    </r>
  </si>
  <si>
    <t>Transporter_M_15</t>
  </si>
  <si>
    <r>
      <t xml:space="preserve">Validate the functionality of </t>
    </r>
    <r>
      <rPr>
        <b/>
        <sz val="11"/>
        <color theme="1"/>
        <rFont val="Calibri"/>
        <family val="2"/>
        <scheme val="minor"/>
      </rPr>
      <t xml:space="preserve">Entered Date </t>
    </r>
    <r>
      <rPr>
        <sz val="11"/>
        <color theme="1"/>
        <rFont val="Calibri"/>
        <family val="2"/>
        <scheme val="minor"/>
      </rPr>
      <t xml:space="preserve">textbox in the </t>
    </r>
    <r>
      <rPr>
        <b/>
        <sz val="11"/>
        <color theme="1"/>
        <rFont val="Calibri"/>
        <family val="2"/>
        <scheme val="minor"/>
      </rPr>
      <t xml:space="preserve">Transporter Master </t>
    </r>
    <r>
      <rPr>
        <sz val="11"/>
        <color theme="1"/>
        <rFont val="Calibri"/>
        <family val="2"/>
        <scheme val="minor"/>
      </rPr>
      <t>Page.</t>
    </r>
  </si>
  <si>
    <r>
      <t xml:space="preserve">1. Navigate to </t>
    </r>
    <r>
      <rPr>
        <b/>
        <sz val="11"/>
        <color theme="1"/>
        <rFont val="Calibri"/>
        <family val="2"/>
        <scheme val="minor"/>
      </rPr>
      <t xml:space="preserve">Masters → EDI Master → Transporter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</si>
  <si>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r>
      <t xml:space="preserve">1. </t>
    </r>
    <r>
      <rPr>
        <b/>
        <sz val="11"/>
        <color theme="1"/>
        <rFont val="Calibri"/>
        <family val="2"/>
        <scheme val="minor"/>
      </rPr>
      <t>Entered Date</t>
    </r>
    <r>
      <rPr>
        <sz val="11"/>
        <color theme="1"/>
        <rFont val="Calibri"/>
        <family val="2"/>
        <scheme val="minor"/>
      </rPr>
      <t xml:space="preserve"> textbox should be disabled.
2. </t>
    </r>
    <r>
      <rPr>
        <b/>
        <sz val="11"/>
        <color theme="1"/>
        <rFont val="Calibri"/>
        <family val="2"/>
        <scheme val="minor"/>
      </rPr>
      <t>Entered Date</t>
    </r>
    <r>
      <rPr>
        <sz val="11"/>
        <color theme="1"/>
        <rFont val="Calibri"/>
        <family val="2"/>
        <scheme val="minor"/>
      </rPr>
      <t xml:space="preserve"> value should be populated after record creation.
3. </t>
    </r>
    <r>
      <rPr>
        <b/>
        <sz val="11"/>
        <color theme="1"/>
        <rFont val="Calibri"/>
        <family val="2"/>
        <scheme val="minor"/>
      </rPr>
      <t>Entered Date</t>
    </r>
    <r>
      <rPr>
        <sz val="11"/>
        <color theme="1"/>
        <rFont val="Calibri"/>
        <family val="2"/>
        <scheme val="minor"/>
      </rPr>
      <t xml:space="preserve"> textbox should be auto-populated with the date when the record was saved.
4. The date format should match the application’s  date format (e.g., DD-MM-YYYY).</t>
    </r>
  </si>
  <si>
    <t xml:space="preserve">Charge Master - Pricing
</t>
  </si>
  <si>
    <t>BA-584</t>
  </si>
  <si>
    <r>
      <rPr>
        <b/>
        <sz val="11"/>
        <color theme="1"/>
        <rFont val="Calibri"/>
        <family val="2"/>
        <scheme val="minor"/>
      </rPr>
      <t xml:space="preserve">Textbox </t>
    </r>
    <r>
      <rPr>
        <sz val="11"/>
        <color theme="1"/>
        <rFont val="Calibri"/>
        <family val="2"/>
        <scheme val="minor"/>
      </rPr>
      <t xml:space="preserve">- Follow Up days
</t>
    </r>
    <r>
      <rPr>
        <b/>
        <sz val="11"/>
        <color theme="1"/>
        <rFont val="Calibri"/>
        <family val="2"/>
        <scheme val="minor"/>
      </rPr>
      <t>Valid Data</t>
    </r>
    <r>
      <rPr>
        <sz val="11"/>
        <color theme="1"/>
        <rFont val="Calibri"/>
        <family val="2"/>
        <scheme val="minor"/>
      </rPr>
      <t xml:space="preserve"> - Numeric Value only
</t>
    </r>
    <r>
      <rPr>
        <b/>
        <sz val="11"/>
        <color theme="1"/>
        <rFont val="Calibri"/>
        <family val="2"/>
        <scheme val="minor"/>
      </rPr>
      <t xml:space="preserve">Invalid data - </t>
    </r>
    <r>
      <rPr>
        <sz val="11"/>
        <color theme="1"/>
        <rFont val="Calibri"/>
        <family val="2"/>
        <scheme val="minor"/>
      </rPr>
      <t>Only space value, special character and alphabetic value</t>
    </r>
  </si>
  <si>
    <t xml:space="preserve">EDI Master --&gt; Drawback Schedule
</t>
  </si>
  <si>
    <t>DBK_Schedule_01</t>
  </si>
  <si>
    <t>EDI Master -&gt; Drawback Schedule</t>
  </si>
  <si>
    <r>
      <t xml:space="preserve">Validate the functionality of </t>
    </r>
    <r>
      <rPr>
        <b/>
        <sz val="11"/>
        <color theme="1"/>
        <rFont val="Calibri"/>
        <family val="2"/>
        <scheme val="minor"/>
      </rPr>
      <t xml:space="preserve">Drawback Schedule,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</si>
  <si>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Drawback Schedule</t>
    </r>
  </si>
  <si>
    <r>
      <t xml:space="preserve">On Mouse Hovering action on </t>
    </r>
    <r>
      <rPr>
        <b/>
        <sz val="11"/>
        <color theme="1"/>
        <rFont val="Calibri"/>
        <family val="2"/>
        <scheme val="minor"/>
      </rPr>
      <t xml:space="preserve">Masters -&gt; EDI Master -&gt; Drawback Schedule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</si>
  <si>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Drawback Schedule</t>
    </r>
    <r>
      <rPr>
        <sz val="11"/>
        <color theme="1"/>
        <rFont val="Calibri"/>
        <family val="2"/>
        <scheme val="minor"/>
      </rPr>
      <t xml:space="preserve"> Page is opening properly.</t>
    </r>
  </si>
  <si>
    <t>DBK_Schedule_02</t>
  </si>
  <si>
    <r>
      <t>Validate the functionality of</t>
    </r>
    <r>
      <rPr>
        <b/>
        <sz val="11"/>
        <color theme="1"/>
        <rFont val="Calibri"/>
        <family val="2"/>
        <scheme val="minor"/>
      </rPr>
      <t xml:space="preserve"> Header Dropdown</t>
    </r>
    <r>
      <rPr>
        <sz val="11"/>
        <color theme="1"/>
        <rFont val="Calibri"/>
        <family val="2"/>
        <scheme val="minor"/>
      </rPr>
      <t xml:space="preserve"> in the left-side panel of the </t>
    </r>
    <r>
      <rPr>
        <b/>
        <sz val="11"/>
        <color theme="1"/>
        <rFont val="Calibri"/>
        <family val="2"/>
        <scheme val="minor"/>
      </rPr>
      <t>Drawback Schedule</t>
    </r>
    <r>
      <rPr>
        <sz val="11"/>
        <color theme="1"/>
        <rFont val="Calibri"/>
        <family val="2"/>
        <scheme val="minor"/>
      </rPr>
      <t xml:space="preserve"> page.</t>
    </r>
  </si>
  <si>
    <r>
      <t xml:space="preserve">1. Navigate to </t>
    </r>
    <r>
      <rPr>
        <b/>
        <sz val="11"/>
        <color theme="1"/>
        <rFont val="Calibri"/>
        <family val="2"/>
        <scheme val="minor"/>
      </rPr>
      <t>Masters → EDI Master → Drawback Schedule</t>
    </r>
    <r>
      <rPr>
        <sz val="11"/>
        <color theme="1"/>
        <rFont val="Calibri"/>
        <family val="2"/>
        <scheme val="minor"/>
      </rPr>
      <t xml:space="preserve">
2. Verify the </t>
    </r>
    <r>
      <rPr>
        <b/>
        <sz val="11"/>
        <color theme="1"/>
        <rFont val="Calibri"/>
        <family val="2"/>
        <scheme val="minor"/>
      </rPr>
      <t>Header dropdown</t>
    </r>
    <r>
      <rPr>
        <sz val="11"/>
        <color theme="1"/>
        <rFont val="Calibri"/>
        <family val="2"/>
        <scheme val="minor"/>
      </rPr>
      <t xml:space="preserve"> in the left-side search panel
3. Select a value from the </t>
    </r>
    <r>
      <rPr>
        <b/>
        <sz val="11"/>
        <color theme="1"/>
        <rFont val="Calibri"/>
        <family val="2"/>
        <scheme val="minor"/>
      </rPr>
      <t>Header</t>
    </r>
    <r>
      <rPr>
        <sz val="11"/>
        <color theme="1"/>
        <rFont val="Calibri"/>
        <family val="2"/>
        <scheme val="minor"/>
      </rPr>
      <t xml:space="preserve"> dropdown.
4. Observe the records displayed in the grid.
5. Change the Header dropdown value and observe whether the grid is refreshed based on the newly selected value.
6. Select any record from the grid.
7. Observe the data populated in the corresponding textboxes.</t>
    </r>
  </si>
  <si>
    <r>
      <t>1. Default value of the Header dropdown should be</t>
    </r>
    <r>
      <rPr>
        <b/>
        <sz val="11"/>
        <color theme="1"/>
        <rFont val="Calibri"/>
        <family val="2"/>
        <scheme val="minor"/>
      </rPr>
      <t xml:space="preserve"> “Select”.</t>
    </r>
    <r>
      <rPr>
        <sz val="11"/>
        <color theme="1"/>
        <rFont val="Calibri"/>
        <family val="2"/>
        <scheme val="minor"/>
      </rPr>
      <t xml:space="preserve">
2. User should be able to select and change Header dropdown values.
3. Based on the selected Header dropdown value, the relevant records should be displayed in the grid.
4. On changing the Header dropdown value, the grid data should refresh automatically.
5. User should be able to select any record from the grid.
6. Selected grid record should be auto-populated in the corresponding textboxes.
7. On selecting another grid record, the textbox data should refresh and display the newly selected record details.
8. The previously selected grid record should automatically return to its default (non-highlighted) color when a new record is selected.</t>
    </r>
  </si>
  <si>
    <r>
      <t xml:space="preserve">1. The user is able to </t>
    </r>
    <r>
      <rPr>
        <b/>
        <sz val="11"/>
        <color theme="1"/>
        <rFont val="Calibri"/>
        <family val="2"/>
        <scheme val="minor"/>
      </rPr>
      <t>select and change values from the Header</t>
    </r>
    <r>
      <rPr>
        <sz val="11"/>
        <color theme="1"/>
        <rFont val="Calibri"/>
        <family val="2"/>
        <scheme val="minor"/>
      </rPr>
      <t xml:space="preserve"> dropdown.
2. Based on the selected </t>
    </r>
    <r>
      <rPr>
        <b/>
        <sz val="11"/>
        <color theme="1"/>
        <rFont val="Calibri"/>
        <family val="2"/>
        <scheme val="minor"/>
      </rPr>
      <t>Header dropdown</t>
    </r>
    <r>
      <rPr>
        <sz val="11"/>
        <color theme="1"/>
        <rFont val="Calibri"/>
        <family val="2"/>
        <scheme val="minor"/>
      </rPr>
      <t xml:space="preserve"> value, the relevant records are displayed correctly in the grid.
3. On changing the </t>
    </r>
    <r>
      <rPr>
        <b/>
        <sz val="11"/>
        <color theme="1"/>
        <rFont val="Calibri"/>
        <family val="2"/>
        <scheme val="minor"/>
      </rPr>
      <t>Header dropdown</t>
    </r>
    <r>
      <rPr>
        <sz val="11"/>
        <color theme="1"/>
        <rFont val="Calibri"/>
        <family val="2"/>
        <scheme val="minor"/>
      </rPr>
      <t xml:space="preserve"> value, the grid data is refreshed automatically as per the newly selected value.
4. The user is able to select any record from the grid.
5. The selected grid record is auto-populated correctly in the corresponding textboxes.
6. On selecting another grid record, the textbox data is refreshed and displays the newly selected record details.
7. The previously selected grid record returns to its default (non-highlighted) color when a new record is selected.</t>
    </r>
  </si>
  <si>
    <t>DBK_Schedule_03</t>
  </si>
  <si>
    <r>
      <t>Validate the functionality of</t>
    </r>
    <r>
      <rPr>
        <b/>
        <sz val="11"/>
        <color theme="1"/>
        <rFont val="Calibri"/>
        <family val="2"/>
        <scheme val="minor"/>
      </rPr>
      <t xml:space="preserve"> Sr No. Dropdown</t>
    </r>
    <r>
      <rPr>
        <sz val="11"/>
        <color theme="1"/>
        <rFont val="Calibri"/>
        <family val="2"/>
        <scheme val="minor"/>
      </rPr>
      <t xml:space="preserve"> in the left-side panel of the </t>
    </r>
    <r>
      <rPr>
        <b/>
        <sz val="11"/>
        <color theme="1"/>
        <rFont val="Calibri"/>
        <family val="2"/>
        <scheme val="minor"/>
      </rPr>
      <t>Drawback Schedule</t>
    </r>
    <r>
      <rPr>
        <sz val="11"/>
        <color theme="1"/>
        <rFont val="Calibri"/>
        <family val="2"/>
        <scheme val="minor"/>
      </rPr>
      <t xml:space="preserve"> page.</t>
    </r>
  </si>
  <si>
    <r>
      <t xml:space="preserve">1. Navigate to </t>
    </r>
    <r>
      <rPr>
        <b/>
        <sz val="11"/>
        <color theme="1"/>
        <rFont val="Calibri"/>
        <family val="2"/>
        <scheme val="minor"/>
      </rPr>
      <t>Masters → EDI Master → Drawback Schedule</t>
    </r>
    <r>
      <rPr>
        <sz val="11"/>
        <color theme="1"/>
        <rFont val="Calibri"/>
        <family val="2"/>
        <scheme val="minor"/>
      </rPr>
      <t xml:space="preserve">
2. Verify the</t>
    </r>
    <r>
      <rPr>
        <b/>
        <sz val="11"/>
        <color theme="1"/>
        <rFont val="Calibri"/>
        <family val="2"/>
        <scheme val="minor"/>
      </rPr>
      <t xml:space="preserve"> Sr No. dropdown</t>
    </r>
    <r>
      <rPr>
        <sz val="11"/>
        <color theme="1"/>
        <rFont val="Calibri"/>
        <family val="2"/>
        <scheme val="minor"/>
      </rPr>
      <t xml:space="preserve"> in the left-side search panel.
3. Without selecting any value in the</t>
    </r>
    <r>
      <rPr>
        <b/>
        <sz val="11"/>
        <color theme="1"/>
        <rFont val="Calibri"/>
        <family val="2"/>
        <scheme val="minor"/>
      </rPr>
      <t xml:space="preserve"> Header dropdown</t>
    </r>
    <r>
      <rPr>
        <sz val="11"/>
        <color theme="1"/>
        <rFont val="Calibri"/>
        <family val="2"/>
        <scheme val="minor"/>
      </rPr>
      <t xml:space="preserve">, click on the </t>
    </r>
    <r>
      <rPr>
        <b/>
        <sz val="11"/>
        <color theme="1"/>
        <rFont val="Calibri"/>
        <family val="2"/>
        <scheme val="minor"/>
      </rPr>
      <t>Sr No. dropdown.</t>
    </r>
    <r>
      <rPr>
        <sz val="11"/>
        <color theme="1"/>
        <rFont val="Calibri"/>
        <family val="2"/>
        <scheme val="minor"/>
      </rPr>
      <t xml:space="preserve">
4. Observe the system behavior.
5. Select a value from the </t>
    </r>
    <r>
      <rPr>
        <b/>
        <sz val="11"/>
        <color theme="1"/>
        <rFont val="Calibri"/>
        <family val="2"/>
        <scheme val="minor"/>
      </rPr>
      <t xml:space="preserve">Header dropdown.
6. </t>
    </r>
    <r>
      <rPr>
        <sz val="11"/>
        <color theme="1"/>
        <rFont val="Calibri"/>
        <family val="2"/>
        <scheme val="minor"/>
      </rPr>
      <t xml:space="preserve">Observe the values populated in the </t>
    </r>
    <r>
      <rPr>
        <b/>
        <sz val="11"/>
        <color theme="1"/>
        <rFont val="Calibri"/>
        <family val="2"/>
        <scheme val="minor"/>
      </rPr>
      <t>Sr No. dropdown.</t>
    </r>
    <r>
      <rPr>
        <sz val="11"/>
        <color theme="1"/>
        <rFont val="Calibri"/>
        <family val="2"/>
        <scheme val="minor"/>
      </rPr>
      <t xml:space="preserve">
7. Select a value from the</t>
    </r>
    <r>
      <rPr>
        <b/>
        <sz val="11"/>
        <color theme="1"/>
        <rFont val="Calibri"/>
        <family val="2"/>
        <scheme val="minor"/>
      </rPr>
      <t xml:space="preserve"> Sr No. dropdown.</t>
    </r>
    <r>
      <rPr>
        <sz val="11"/>
        <color theme="1"/>
        <rFont val="Calibri"/>
        <family val="2"/>
        <scheme val="minor"/>
      </rPr>
      <t xml:space="preserve">
8. Observe the records displayed in the grid.
9. Select a record from the grid.
10. Change the Header dropdown value.
11. Observe the Sr No. dropdown and grid behavior.</t>
    </r>
  </si>
  <si>
    <r>
      <t xml:space="preserve">1. The </t>
    </r>
    <r>
      <rPr>
        <b/>
        <sz val="11"/>
        <color theme="1"/>
        <rFont val="Calibri"/>
        <family val="2"/>
        <scheme val="minor"/>
      </rPr>
      <t xml:space="preserve">Sr No. dropdown </t>
    </r>
    <r>
      <rPr>
        <sz val="11"/>
        <color theme="1"/>
        <rFont val="Calibri"/>
        <family val="2"/>
        <scheme val="minor"/>
      </rPr>
      <t xml:space="preserve">should not allow selection when no Header value is selected.
2. The user should not be able to select any </t>
    </r>
    <r>
      <rPr>
        <b/>
        <sz val="11"/>
        <color theme="1"/>
        <rFont val="Calibri"/>
        <family val="2"/>
        <scheme val="minor"/>
      </rPr>
      <t>Sr No. value</t>
    </r>
    <r>
      <rPr>
        <sz val="11"/>
        <color theme="1"/>
        <rFont val="Calibri"/>
        <family val="2"/>
        <scheme val="minor"/>
      </rPr>
      <t xml:space="preserve"> </t>
    </r>
    <r>
      <rPr>
        <b/>
        <sz val="11"/>
        <color theme="1"/>
        <rFont val="Calibri"/>
        <family val="2"/>
        <scheme val="minor"/>
      </rPr>
      <t>without</t>
    </r>
    <r>
      <rPr>
        <sz val="11"/>
        <color theme="1"/>
        <rFont val="Calibri"/>
        <family val="2"/>
        <scheme val="minor"/>
      </rPr>
      <t xml:space="preserve"> </t>
    </r>
    <r>
      <rPr>
        <b/>
        <sz val="11"/>
        <color theme="1"/>
        <rFont val="Calibri"/>
        <family val="2"/>
        <scheme val="minor"/>
      </rPr>
      <t>selecting a Header dropdown value.</t>
    </r>
    <r>
      <rPr>
        <sz val="11"/>
        <color theme="1"/>
        <rFont val="Calibri"/>
        <family val="2"/>
        <scheme val="minor"/>
      </rPr>
      <t xml:space="preserve">
3. Once a</t>
    </r>
    <r>
      <rPr>
        <b/>
        <sz val="11"/>
        <color theme="1"/>
        <rFont val="Calibri"/>
        <family val="2"/>
        <scheme val="minor"/>
      </rPr>
      <t xml:space="preserve"> Header dropdown value is selected, the corresponding Sr No. values should be populated in Sr No. dropdown.</t>
    </r>
    <r>
      <rPr>
        <sz val="11"/>
        <color theme="1"/>
        <rFont val="Calibri"/>
        <family val="2"/>
        <scheme val="minor"/>
      </rPr>
      <t xml:space="preserve">
4. The user should be able to select a Sr No. value only after selecting a Header value.
5. Based on the selected Sr No., relevant records should be displayed in the grid.
6. The user should be able to select a record from the grid and the selected record should be displayed in the corresponding textboxes.
7. On changing the Header dropdown value, the Sr No. dropdown values should refresh automatically.
8. The grid data should refresh based on the newly selected Header and Sr No. values.</t>
    </r>
  </si>
  <si>
    <t>DBK_Schedule_04</t>
  </si>
  <si>
    <r>
      <t>Validate the functionality of</t>
    </r>
    <r>
      <rPr>
        <b/>
        <sz val="11"/>
        <color theme="1"/>
        <rFont val="Calibri"/>
        <family val="2"/>
        <scheme val="minor"/>
      </rPr>
      <t xml:space="preserve"> Header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</si>
  <si>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The </t>
    </r>
    <r>
      <rPr>
        <b/>
        <sz val="11"/>
        <color theme="1"/>
        <rFont val="Calibri"/>
        <family val="2"/>
        <scheme val="minor"/>
      </rPr>
      <t>Sr No. dropdown does not allow selection when no Header value is selected.</t>
    </r>
    <r>
      <rPr>
        <sz val="11"/>
        <color theme="1"/>
        <rFont val="Calibri"/>
        <family val="2"/>
        <scheme val="minor"/>
      </rPr>
      <t xml:space="preserve">
2. The user is</t>
    </r>
    <r>
      <rPr>
        <b/>
        <sz val="11"/>
        <color theme="1"/>
        <rFont val="Calibri"/>
        <family val="2"/>
        <scheme val="minor"/>
      </rPr>
      <t xml:space="preserve"> not able to select any Sr No. value without selecting a Header dropdown value.</t>
    </r>
    <r>
      <rPr>
        <sz val="11"/>
        <color theme="1"/>
        <rFont val="Calibri"/>
        <family val="2"/>
        <scheme val="minor"/>
      </rPr>
      <t xml:space="preserve">
3. The user is able to select a </t>
    </r>
    <r>
      <rPr>
        <b/>
        <sz val="11"/>
        <color theme="1"/>
        <rFont val="Calibri"/>
        <family val="2"/>
        <scheme val="minor"/>
      </rPr>
      <t>Sr No. value only after selecting a Header value.</t>
    </r>
    <r>
      <rPr>
        <sz val="11"/>
        <color theme="1"/>
        <rFont val="Calibri"/>
        <family val="2"/>
        <scheme val="minor"/>
      </rPr>
      <t xml:space="preserve">
4. Based on the selected </t>
    </r>
    <r>
      <rPr>
        <b/>
        <sz val="11"/>
        <color theme="1"/>
        <rFont val="Calibri"/>
        <family val="2"/>
        <scheme val="minor"/>
      </rPr>
      <t>Sr No., the relevant records are displayed correctly in the grid.</t>
    </r>
    <r>
      <rPr>
        <sz val="11"/>
        <color theme="1"/>
        <rFont val="Calibri"/>
        <family val="2"/>
        <scheme val="minor"/>
      </rPr>
      <t xml:space="preserve">
5. The</t>
    </r>
    <r>
      <rPr>
        <b/>
        <sz val="11"/>
        <color theme="1"/>
        <rFont val="Calibri"/>
        <family val="2"/>
        <scheme val="minor"/>
      </rPr>
      <t xml:space="preserve"> user is able to select a record from the grid</t>
    </r>
    <r>
      <rPr>
        <sz val="11"/>
        <color theme="1"/>
        <rFont val="Calibri"/>
        <family val="2"/>
        <scheme val="minor"/>
      </rPr>
      <t xml:space="preserve">, and the selected record is displayed correctly in the corresponding textboxes.
6. On changing the </t>
    </r>
    <r>
      <rPr>
        <b/>
        <sz val="11"/>
        <color theme="1"/>
        <rFont val="Calibri"/>
        <family val="2"/>
        <scheme val="minor"/>
      </rPr>
      <t>Header dropdown value, the Sr No. dropdown values refresh automatically.</t>
    </r>
    <r>
      <rPr>
        <sz val="11"/>
        <color theme="1"/>
        <rFont val="Calibri"/>
        <family val="2"/>
        <scheme val="minor"/>
      </rPr>
      <t xml:space="preserve">
</t>
    </r>
    <r>
      <rPr>
        <b/>
        <sz val="11"/>
        <color theme="1"/>
        <rFont val="Calibri"/>
        <family val="2"/>
        <scheme val="minor"/>
      </rPr>
      <t xml:space="preserve">
Observation:</t>
    </r>
    <r>
      <rPr>
        <sz val="11"/>
        <color theme="1"/>
        <rFont val="Calibri"/>
        <family val="2"/>
        <scheme val="minor"/>
      </rPr>
      <t xml:space="preserve">  
1. When the page is in a New State, the Sr No. dropdown is showing blank instead of the default “Select” option.
2. Once a Header value is selected in the dropdown, the Sr No. dropdown moves correctly to the Select stage and displays relevant values.
3. On clicking the Clear button, the Header dropdown resets to the default state, but the previously selected Header’s Sr No. values are still visible in the Sr No. dropdown instead of being cleared.</t>
    </r>
  </si>
  <si>
    <r>
      <t xml:space="preserve">1. The functionality is not working as expected.
2. The textbox is accepting </t>
    </r>
    <r>
      <rPr>
        <b/>
        <sz val="11"/>
        <color theme="1"/>
        <rFont val="Calibri"/>
        <family val="2"/>
        <scheme val="minor"/>
      </rPr>
      <t>all type</t>
    </r>
    <r>
      <rPr>
        <sz val="11"/>
        <color theme="1"/>
        <rFont val="Calibri"/>
        <family val="2"/>
        <scheme val="minor"/>
      </rPr>
      <t xml:space="preserve"> </t>
    </r>
    <r>
      <rPr>
        <b/>
        <sz val="11"/>
        <color theme="1"/>
        <rFont val="Calibri"/>
        <family val="2"/>
        <scheme val="minor"/>
      </rPr>
      <t>special character</t>
    </r>
    <r>
      <rPr>
        <sz val="11"/>
        <color theme="1"/>
        <rFont val="Calibri"/>
        <family val="2"/>
        <scheme val="minor"/>
      </rPr>
      <t xml:space="preserve">.
3. Textbox character limit of 20 characters is correctly implemented.
Note:  </t>
    </r>
    <r>
      <rPr>
        <b/>
        <sz val="11"/>
        <color theme="1"/>
        <rFont val="Calibri"/>
        <family val="2"/>
        <scheme val="minor"/>
      </rPr>
      <t>As Per business rule, This textbox should accept alphanumeric value  with sapce and following special character - Dot (.), Comma (,), Percent (%), Hyphen (-), Forward Slash (/), Backslash (\) and (&amp;), Underscore(_)</t>
    </r>
  </si>
  <si>
    <t>1. As per Use Case, Name textbox should accept only alphanumeric value.
2. It should not accept invalid value such as - 
 -&gt; Only Space value
 -&gt; Special character value
 -&gt; Letter of combination (Alphanumeric with speical character and space only value)
5.  Textbox limit should be maximum 20 characters.</t>
  </si>
  <si>
    <t xml:space="preserve">Local
UAT (https://idp.icaffe.co.in/demouat/)
</t>
  </si>
  <si>
    <t>06-01-2026
02-02-2026</t>
  </si>
  <si>
    <t>Yes</t>
  </si>
  <si>
    <t>30-01-2026
02-02-2026</t>
  </si>
  <si>
    <t>BA-588</t>
  </si>
  <si>
    <t>BA-589</t>
  </si>
  <si>
    <t xml:space="preserve">1. Functionality is not working as expected.
2. The record first loads into the Action Details Grid.
3. The user must then select the record again from the grid to load it into the corresponding textboxes.
</t>
  </si>
  <si>
    <t>BA-590</t>
  </si>
  <si>
    <r>
      <t xml:space="preserve">1. Navigate to </t>
    </r>
    <r>
      <rPr>
        <b/>
        <sz val="11"/>
        <rFont val="Calibri"/>
        <family val="2"/>
        <scheme val="minor"/>
      </rPr>
      <t>Masters -&gt; EDI Master -&gt; Drawback Schedule</t>
    </r>
    <r>
      <rPr>
        <sz val="11"/>
        <rFont val="Calibri"/>
        <family val="2"/>
        <scheme val="minor"/>
      </rPr>
      <t xml:space="preserve">
2. Enter Valid &amp; Invalid Data in </t>
    </r>
    <r>
      <rPr>
        <b/>
        <sz val="11"/>
        <rFont val="Calibri"/>
        <family val="2"/>
        <scheme val="minor"/>
      </rPr>
      <t>Header</t>
    </r>
    <r>
      <rPr>
        <sz val="11"/>
        <rFont val="Calibri"/>
        <family val="2"/>
        <scheme val="minor"/>
      </rPr>
      <t xml:space="preserve"> textbox.
3. Observe the system behaviour.</t>
    </r>
  </si>
  <si>
    <r>
      <t xml:space="preserve">1. </t>
    </r>
    <r>
      <rPr>
        <b/>
        <sz val="11"/>
        <rFont val="Calibri"/>
        <family val="2"/>
        <scheme val="minor"/>
      </rPr>
      <t xml:space="preserve">Header </t>
    </r>
    <r>
      <rPr>
        <sz val="11"/>
        <rFont val="Calibri"/>
        <family val="2"/>
        <scheme val="minor"/>
      </rPr>
      <t xml:space="preserve">textbox should accept:
 -&gt; Numeric values
2. </t>
    </r>
    <r>
      <rPr>
        <b/>
        <sz val="11"/>
        <rFont val="Calibri"/>
        <family val="2"/>
        <scheme val="minor"/>
      </rPr>
      <t xml:space="preserve">Header </t>
    </r>
    <r>
      <rPr>
        <sz val="11"/>
        <rFont val="Calibri"/>
        <family val="2"/>
        <scheme val="minor"/>
      </rPr>
      <t xml:space="preserve">should not accept alphabetic value, Special character values.
2. </t>
    </r>
    <r>
      <rPr>
        <b/>
        <sz val="11"/>
        <rFont val="Calibri"/>
        <family val="2"/>
        <scheme val="minor"/>
      </rPr>
      <t>Header</t>
    </r>
    <r>
      <rPr>
        <sz val="11"/>
        <rFont val="Calibri"/>
        <family val="2"/>
        <scheme val="minor"/>
      </rPr>
      <t xml:space="preserve"> textbox length should be limited to 3 characters.</t>
    </r>
  </si>
  <si>
    <r>
      <t xml:space="preserve">1. Functionality is working as expected.
2. </t>
    </r>
    <r>
      <rPr>
        <b/>
        <sz val="11"/>
        <color theme="1"/>
        <rFont val="Calibri"/>
        <family val="2"/>
        <scheme val="minor"/>
      </rPr>
      <t>Header</t>
    </r>
    <r>
      <rPr>
        <sz val="11"/>
        <color theme="1"/>
        <rFont val="Calibri"/>
        <family val="2"/>
        <scheme val="minor"/>
      </rPr>
      <t xml:space="preserve"> textbox accepts Numeric values only
3. 3-character limit is correctly implemented.
</t>
    </r>
  </si>
  <si>
    <t>DBK_Schedule_05</t>
  </si>
  <si>
    <r>
      <t>Validate the functionality of</t>
    </r>
    <r>
      <rPr>
        <b/>
        <sz val="11"/>
        <color theme="1"/>
        <rFont val="Calibri"/>
        <family val="2"/>
        <scheme val="minor"/>
      </rPr>
      <t xml:space="preserve"> Sr.No.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</si>
  <si>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Sr.No.</t>
    </r>
    <r>
      <rPr>
        <sz val="11"/>
        <rFont val="Calibri"/>
        <family val="2"/>
        <scheme val="minor"/>
      </rPr>
      <t xml:space="preserve"> textobx.
3. Enter Valid &amp; Invalid Data in </t>
    </r>
    <r>
      <rPr>
        <b/>
        <sz val="11"/>
        <rFont val="Calibri"/>
        <family val="2"/>
        <scheme val="minor"/>
      </rPr>
      <t>Sr.No.</t>
    </r>
    <r>
      <rPr>
        <sz val="11"/>
        <rFont val="Calibri"/>
        <family val="2"/>
        <scheme val="minor"/>
      </rPr>
      <t xml:space="preserve"> textbox.
4. Observe the system behaviour.</t>
    </r>
  </si>
  <si>
    <r>
      <t xml:space="preserve">1. As per the Use Case, </t>
    </r>
    <r>
      <rPr>
        <b/>
        <sz val="11"/>
        <rFont val="Calibri"/>
        <family val="2"/>
        <scheme val="minor"/>
      </rPr>
      <t xml:space="preserve">Sr.No. </t>
    </r>
    <r>
      <rPr>
        <sz val="11"/>
        <rFont val="Calibri"/>
        <family val="2"/>
        <scheme val="minor"/>
      </rPr>
      <t xml:space="preserve">textbox should accept:
 -&gt; Alphanumeric values
2. </t>
    </r>
    <r>
      <rPr>
        <b/>
        <sz val="11"/>
        <rFont val="Calibri"/>
        <family val="2"/>
        <scheme val="minor"/>
      </rPr>
      <t xml:space="preserve">Sr.No. </t>
    </r>
    <r>
      <rPr>
        <sz val="11"/>
        <rFont val="Calibri"/>
        <family val="2"/>
        <scheme val="minor"/>
      </rPr>
      <t xml:space="preserve">should not accept Special character values.
2. </t>
    </r>
    <r>
      <rPr>
        <b/>
        <sz val="11"/>
        <rFont val="Calibri"/>
        <family val="2"/>
        <scheme val="minor"/>
      </rPr>
      <t>Sr.No.</t>
    </r>
    <r>
      <rPr>
        <sz val="11"/>
        <rFont val="Calibri"/>
        <family val="2"/>
        <scheme val="minor"/>
      </rPr>
      <t xml:space="preserve"> textbox length should be limited to 10 characters.</t>
    </r>
  </si>
  <si>
    <t>DBK_Schedule_06</t>
  </si>
  <si>
    <r>
      <t>Validate the functionality of</t>
    </r>
    <r>
      <rPr>
        <b/>
        <sz val="11"/>
        <color theme="1"/>
        <rFont val="Calibri"/>
        <family val="2"/>
        <scheme val="minor"/>
      </rPr>
      <t xml:space="preserve"> Sub Sr.No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</si>
  <si>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Sub Sr.No</t>
    </r>
    <r>
      <rPr>
        <sz val="11"/>
        <rFont val="Calibri"/>
        <family val="2"/>
        <scheme val="minor"/>
      </rPr>
      <t xml:space="preserve"> textobx.
3. Enter Valid &amp; Invalid Data in </t>
    </r>
    <r>
      <rPr>
        <b/>
        <sz val="11"/>
        <rFont val="Calibri"/>
        <family val="2"/>
        <scheme val="minor"/>
      </rPr>
      <t>Sub Sr.No</t>
    </r>
    <r>
      <rPr>
        <sz val="11"/>
        <rFont val="Calibri"/>
        <family val="2"/>
        <scheme val="minor"/>
      </rPr>
      <t xml:space="preserve"> textbox.
4. Observe the system behaviour.</t>
    </r>
  </si>
  <si>
    <r>
      <t xml:space="preserve">1. As per the Use Case, </t>
    </r>
    <r>
      <rPr>
        <b/>
        <sz val="11"/>
        <rFont val="Calibri"/>
        <family val="2"/>
        <scheme val="minor"/>
      </rPr>
      <t xml:space="preserve">Sub Sr.No </t>
    </r>
    <r>
      <rPr>
        <sz val="11"/>
        <rFont val="Calibri"/>
        <family val="2"/>
        <scheme val="minor"/>
      </rPr>
      <t xml:space="preserve">textbox should accept:
 -&gt; Numeric values
2. </t>
    </r>
    <r>
      <rPr>
        <b/>
        <sz val="11"/>
        <rFont val="Calibri"/>
        <family val="2"/>
        <scheme val="minor"/>
      </rPr>
      <t xml:space="preserve">Sub Sr.No </t>
    </r>
    <r>
      <rPr>
        <sz val="11"/>
        <rFont val="Calibri"/>
        <family val="2"/>
        <scheme val="minor"/>
      </rPr>
      <t xml:space="preserve">should not accept Alphabetic &amp; Special character values.
2. </t>
    </r>
    <r>
      <rPr>
        <b/>
        <sz val="11"/>
        <rFont val="Calibri"/>
        <family val="2"/>
        <scheme val="minor"/>
      </rPr>
      <t>Sub Sr.No</t>
    </r>
    <r>
      <rPr>
        <sz val="11"/>
        <rFont val="Calibri"/>
        <family val="2"/>
        <scheme val="minor"/>
      </rPr>
      <t xml:space="preserve"> textbox length should be limited to 10 characters.</t>
    </r>
  </si>
  <si>
    <r>
      <t xml:space="preserve">1. Functionality is working as expected.
2. </t>
    </r>
    <r>
      <rPr>
        <b/>
        <sz val="11"/>
        <color theme="1"/>
        <rFont val="Calibri"/>
        <family val="2"/>
        <scheme val="minor"/>
      </rPr>
      <t>Sub Sr.No</t>
    </r>
    <r>
      <rPr>
        <sz val="11"/>
        <color theme="1"/>
        <rFont val="Calibri"/>
        <family val="2"/>
        <scheme val="minor"/>
      </rPr>
      <t xml:space="preserve"> textbox accepts </t>
    </r>
    <r>
      <rPr>
        <b/>
        <sz val="11"/>
        <color theme="1"/>
        <rFont val="Calibri"/>
        <family val="2"/>
        <scheme val="minor"/>
      </rPr>
      <t>numeric values only.</t>
    </r>
    <r>
      <rPr>
        <sz val="11"/>
        <color theme="1"/>
        <rFont val="Calibri"/>
        <family val="2"/>
        <scheme val="minor"/>
      </rPr>
      <t xml:space="preserve">
3. 10-character limit is correctly implemented.
Note: </t>
    </r>
    <r>
      <rPr>
        <b/>
        <sz val="11"/>
        <color theme="1"/>
        <rFont val="Calibri"/>
        <family val="2"/>
        <scheme val="minor"/>
      </rPr>
      <t xml:space="preserve">
</t>
    </r>
    <r>
      <rPr>
        <sz val="11"/>
        <color theme="1"/>
        <rFont val="Calibri"/>
        <family val="2"/>
        <scheme val="minor"/>
      </rPr>
      <t xml:space="preserve"> -&gt; Sub Sr.No -&gt; Sub Sr. No (Add space)</t>
    </r>
  </si>
  <si>
    <r>
      <t xml:space="preserve">1. Functionality is not working as expected.
2. </t>
    </r>
    <r>
      <rPr>
        <b/>
        <sz val="11"/>
        <color theme="1"/>
        <rFont val="Calibri"/>
        <family val="2"/>
        <scheme val="minor"/>
      </rPr>
      <t>Sr.No.</t>
    </r>
    <r>
      <rPr>
        <sz val="11"/>
        <color theme="1"/>
        <rFont val="Calibri"/>
        <family val="2"/>
        <scheme val="minor"/>
      </rPr>
      <t xml:space="preserve"> textbox accepts all types of values.
3. 10-character limit is correctly implemented.
Note: </t>
    </r>
    <r>
      <rPr>
        <b/>
        <sz val="11"/>
        <color theme="1"/>
        <rFont val="Calibri"/>
        <family val="2"/>
        <scheme val="minor"/>
      </rPr>
      <t xml:space="preserve">Need confirmation about special character, It should accept or not. 
 -&gt; </t>
    </r>
    <r>
      <rPr>
        <sz val="11"/>
        <color theme="1"/>
        <rFont val="Calibri"/>
        <family val="2"/>
        <scheme val="minor"/>
      </rPr>
      <t>Sr.No -&gt; Sr. No (Add space)</t>
    </r>
  </si>
  <si>
    <t>DBK_Schedule_07</t>
  </si>
  <si>
    <r>
      <t>Validate the functionality of</t>
    </r>
    <r>
      <rPr>
        <b/>
        <sz val="11"/>
        <color theme="1"/>
        <rFont val="Calibri"/>
        <family val="2"/>
        <scheme val="minor"/>
      </rPr>
      <t xml:space="preserve"> Effective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</si>
  <si>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1. Navigate to</t>
    </r>
    <r>
      <rPr>
        <b/>
        <sz val="11"/>
        <color theme="1"/>
        <rFont val="Calibri"/>
        <family val="2"/>
        <scheme val="minor"/>
      </rPr>
      <t xml:space="preserve"> Masters -&gt; EDI Master -&gt; Drawback Schedule</t>
    </r>
    <r>
      <rPr>
        <sz val="11"/>
        <color theme="1"/>
        <rFont val="Calibri"/>
        <family val="2"/>
        <scheme val="minor"/>
      </rPr>
      <t xml:space="preserve">
2. Locate the </t>
    </r>
    <r>
      <rPr>
        <b/>
        <sz val="11"/>
        <color theme="1"/>
        <rFont val="Calibri"/>
        <family val="2"/>
        <scheme val="minor"/>
      </rPr>
      <t>Effective Date</t>
    </r>
    <r>
      <rPr>
        <sz val="11"/>
        <color theme="1"/>
        <rFont val="Calibri"/>
        <family val="2"/>
        <scheme val="minor"/>
      </rPr>
      <t xml:space="preserve"> textobx.
3. In the </t>
    </r>
    <r>
      <rPr>
        <b/>
        <sz val="11"/>
        <color theme="1"/>
        <rFont val="Calibri"/>
        <family val="2"/>
        <scheme val="minor"/>
      </rPr>
      <t>Effective Date</t>
    </r>
    <r>
      <rPr>
        <sz val="11"/>
        <color theme="1"/>
        <rFont val="Calibri"/>
        <family val="2"/>
        <scheme val="minor"/>
      </rPr>
      <t xml:space="preserve"> textbox, try entering manual inputs.
3. Select  </t>
    </r>
    <r>
      <rPr>
        <b/>
        <sz val="11"/>
        <color theme="1"/>
        <rFont val="Calibri"/>
        <family val="2"/>
        <scheme val="minor"/>
      </rPr>
      <t>Effective Date</t>
    </r>
    <r>
      <rPr>
        <sz val="11"/>
        <color theme="1"/>
        <rFont val="Calibri"/>
        <family val="2"/>
        <scheme val="minor"/>
      </rPr>
      <t xml:space="preserve"> from the calendar autosuggest
4. Observe the System behaviour while saving the record.</t>
    </r>
  </si>
  <si>
    <r>
      <t xml:space="preserve">1. Manual input should not be allowed in the </t>
    </r>
    <r>
      <rPr>
        <b/>
        <sz val="11"/>
        <color theme="1"/>
        <rFont val="Calibri"/>
        <family val="2"/>
        <scheme val="minor"/>
      </rPr>
      <t>Effective Date</t>
    </r>
    <r>
      <rPr>
        <sz val="11"/>
        <color theme="1"/>
        <rFont val="Calibri"/>
        <family val="2"/>
        <scheme val="minor"/>
      </rPr>
      <t xml:space="preserve"> field.
2. User should be able to select the </t>
    </r>
    <r>
      <rPr>
        <b/>
        <sz val="11"/>
        <color theme="1"/>
        <rFont val="Calibri"/>
        <family val="2"/>
        <scheme val="minor"/>
      </rPr>
      <t>Effective Date</t>
    </r>
    <r>
      <rPr>
        <sz val="11"/>
        <color theme="1"/>
        <rFont val="Calibri"/>
        <family val="2"/>
        <scheme val="minor"/>
      </rPr>
      <t xml:space="preserve"> only via the calendar autosuggest.
3. If an invalid date format is typed, the textbox should automatically clear or show a validation message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Effective Date</t>
    </r>
    <r>
      <rPr>
        <sz val="11"/>
        <color theme="1"/>
        <rFont val="Calibri"/>
        <family val="2"/>
        <scheme val="minor"/>
      </rPr>
      <t xml:space="preserve"> textbox character limit should be maximum 10 characters</t>
    </r>
  </si>
  <si>
    <r>
      <t xml:space="preserve">Textbox - </t>
    </r>
    <r>
      <rPr>
        <b/>
        <sz val="11"/>
        <color theme="1"/>
        <rFont val="Calibri"/>
        <family val="2"/>
        <scheme val="minor"/>
      </rPr>
      <t>Effective Date
Manual Inputs:</t>
    </r>
    <r>
      <rPr>
        <sz val="11"/>
        <color theme="1"/>
        <rFont val="Calibri"/>
        <family val="2"/>
        <scheme val="minor"/>
      </rPr>
      <t xml:space="preserve">
 -&gt; 1234567890
 -&gt; 6346374230
</t>
    </r>
    <r>
      <rPr>
        <b/>
        <sz val="11"/>
        <color theme="1"/>
        <rFont val="Calibri"/>
        <family val="2"/>
        <scheme val="minor"/>
      </rPr>
      <t>Autosuggest Value:</t>
    </r>
    <r>
      <rPr>
        <sz val="11"/>
        <color theme="1"/>
        <rFont val="Calibri"/>
        <family val="2"/>
        <scheme val="minor"/>
      </rPr>
      <t xml:space="preserve">
 -&gt; 03/02/2026</t>
    </r>
  </si>
  <si>
    <r>
      <t xml:space="preserve">1. Functionality is not working as expected.
2. While saving the record with invalid date format(entered by manually), a validation message is coming:
Current Message: Please Enter a Valid Value!!!
</t>
    </r>
    <r>
      <rPr>
        <b/>
        <sz val="11"/>
        <color theme="1"/>
        <rFont val="Calibri"/>
        <family val="2"/>
        <scheme val="minor"/>
      </rPr>
      <t>Expected Message: Please Enter a Valid Expected Date!!</t>
    </r>
    <r>
      <rPr>
        <sz val="11"/>
        <color theme="1"/>
        <rFont val="Calibri"/>
        <family val="2"/>
        <scheme val="minor"/>
      </rPr>
      <t xml:space="preserve">
4. Date validation for </t>
    </r>
    <r>
      <rPr>
        <b/>
        <sz val="11"/>
        <color theme="1"/>
        <rFont val="Calibri"/>
        <family val="2"/>
        <scheme val="minor"/>
      </rPr>
      <t>DD-MM-YYYY</t>
    </r>
    <r>
      <rPr>
        <sz val="11"/>
        <color theme="1"/>
        <rFont val="Calibri"/>
        <family val="2"/>
        <scheme val="minor"/>
      </rPr>
      <t xml:space="preserve"> format is enforced.
5. </t>
    </r>
    <r>
      <rPr>
        <b/>
        <sz val="11"/>
        <color theme="1"/>
        <rFont val="Calibri"/>
        <family val="2"/>
        <scheme val="minor"/>
      </rPr>
      <t>Expected Date</t>
    </r>
    <r>
      <rPr>
        <sz val="11"/>
        <color theme="1"/>
        <rFont val="Calibri"/>
        <family val="2"/>
        <scheme val="minor"/>
      </rPr>
      <t xml:space="preserve"> textbox is accepting 10 character value.</t>
    </r>
  </si>
  <si>
    <t>DBK_Schedule_08</t>
  </si>
  <si>
    <r>
      <t>Validate the functionality of</t>
    </r>
    <r>
      <rPr>
        <b/>
        <sz val="11"/>
        <color theme="1"/>
        <rFont val="Calibri"/>
        <family val="2"/>
        <scheme val="minor"/>
      </rPr>
      <t xml:space="preserve"> Notification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</si>
  <si>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Notification No.</t>
    </r>
    <r>
      <rPr>
        <sz val="11"/>
        <rFont val="Calibri"/>
        <family val="2"/>
        <scheme val="minor"/>
      </rPr>
      <t xml:space="preserve"> textobx.
3. Enter Valid &amp; Invalid Data in </t>
    </r>
    <r>
      <rPr>
        <b/>
        <sz val="11"/>
        <rFont val="Calibri"/>
        <family val="2"/>
        <scheme val="minor"/>
      </rPr>
      <t>Notification No.</t>
    </r>
    <r>
      <rPr>
        <sz val="11"/>
        <rFont val="Calibri"/>
        <family val="2"/>
        <scheme val="minor"/>
      </rPr>
      <t xml:space="preserve"> textbox.
4. Observe the system behaviour.</t>
    </r>
  </si>
  <si>
    <r>
      <t xml:space="preserve">1. As per the Use Case, </t>
    </r>
    <r>
      <rPr>
        <b/>
        <sz val="11"/>
        <rFont val="Calibri"/>
        <family val="2"/>
        <scheme val="minor"/>
      </rPr>
      <t xml:space="preserve">Notification No. </t>
    </r>
    <r>
      <rPr>
        <sz val="11"/>
        <rFont val="Calibri"/>
        <family val="2"/>
        <scheme val="minor"/>
      </rPr>
      <t xml:space="preserve">textbox should accept:
 -&gt; Alphanumeric values
2. </t>
    </r>
    <r>
      <rPr>
        <b/>
        <sz val="11"/>
        <rFont val="Calibri"/>
        <family val="2"/>
        <scheme val="minor"/>
      </rPr>
      <t xml:space="preserve">Notification No. </t>
    </r>
    <r>
      <rPr>
        <sz val="11"/>
        <rFont val="Calibri"/>
        <family val="2"/>
        <scheme val="minor"/>
      </rPr>
      <t xml:space="preserve">should not accept Special character values.
2. </t>
    </r>
    <r>
      <rPr>
        <b/>
        <sz val="11"/>
        <rFont val="Calibri"/>
        <family val="2"/>
        <scheme val="minor"/>
      </rPr>
      <t>Notification No.</t>
    </r>
    <r>
      <rPr>
        <sz val="11"/>
        <rFont val="Calibri"/>
        <family val="2"/>
        <scheme val="minor"/>
      </rPr>
      <t xml:space="preserve"> textbox length should be limited to 10 characters.</t>
    </r>
  </si>
  <si>
    <r>
      <t xml:space="preserve">1. Functionality is not working as expected.
2. </t>
    </r>
    <r>
      <rPr>
        <b/>
        <sz val="11"/>
        <color theme="1"/>
        <rFont val="Calibri"/>
        <family val="2"/>
        <scheme val="minor"/>
      </rPr>
      <t xml:space="preserve">Notification No. </t>
    </r>
    <r>
      <rPr>
        <sz val="11"/>
        <color theme="1"/>
        <rFont val="Calibri"/>
        <family val="2"/>
        <scheme val="minor"/>
      </rPr>
      <t>textbox accepts all types of values</t>
    </r>
    <r>
      <rPr>
        <b/>
        <sz val="11"/>
        <color theme="1"/>
        <rFont val="Calibri"/>
        <family val="2"/>
        <scheme val="minor"/>
      </rPr>
      <t>.</t>
    </r>
    <r>
      <rPr>
        <sz val="11"/>
        <color theme="1"/>
        <rFont val="Calibri"/>
        <family val="2"/>
        <scheme val="minor"/>
      </rPr>
      <t xml:space="preserve">
3. 10-character limit is correctly implemented.
Note: Confirmation required.</t>
    </r>
  </si>
  <si>
    <r>
      <rPr>
        <b/>
        <sz val="11"/>
        <rFont val="Calibri"/>
        <family val="2"/>
        <scheme val="minor"/>
      </rPr>
      <t xml:space="preserve">Test Data:
</t>
    </r>
    <r>
      <rPr>
        <sz val="11"/>
        <rFont val="Calibri"/>
        <family val="2"/>
        <scheme val="minor"/>
      </rPr>
      <t xml:space="preserve"> -&gt;</t>
    </r>
    <r>
      <rPr>
        <b/>
        <sz val="11"/>
        <rFont val="Calibri"/>
        <family val="2"/>
        <scheme val="minor"/>
      </rPr>
      <t xml:space="preserve"> </t>
    </r>
    <r>
      <rPr>
        <sz val="11"/>
        <rFont val="Calibri"/>
        <family val="2"/>
        <scheme val="minor"/>
      </rPr>
      <t>Alphabetic values
 -&gt; Numeric values
 -&gt; Special characters</t>
    </r>
  </si>
  <si>
    <t>DBK_Schedule_09</t>
  </si>
  <si>
    <r>
      <t>Validate the functionality of</t>
    </r>
    <r>
      <rPr>
        <b/>
        <sz val="11"/>
        <color theme="1"/>
        <rFont val="Calibri"/>
        <family val="2"/>
        <scheme val="minor"/>
      </rPr>
      <t xml:space="preserve"> Note Att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</si>
  <si>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Note Att</t>
    </r>
    <r>
      <rPr>
        <sz val="11"/>
        <rFont val="Calibri"/>
        <family val="2"/>
        <scheme val="minor"/>
      </rPr>
      <t xml:space="preserve"> textobx.
3. Enter Valid &amp; Invalid Data in </t>
    </r>
    <r>
      <rPr>
        <b/>
        <sz val="11"/>
        <rFont val="Calibri"/>
        <family val="2"/>
        <scheme val="minor"/>
      </rPr>
      <t>Note Att</t>
    </r>
    <r>
      <rPr>
        <sz val="11"/>
        <rFont val="Calibri"/>
        <family val="2"/>
        <scheme val="minor"/>
      </rPr>
      <t xml:space="preserve"> textbox.
4. Observe the system behaviour.</t>
    </r>
  </si>
  <si>
    <r>
      <t xml:space="preserve">1. As per the Use Case, </t>
    </r>
    <r>
      <rPr>
        <b/>
        <sz val="11"/>
        <rFont val="Calibri"/>
        <family val="2"/>
        <scheme val="minor"/>
      </rPr>
      <t xml:space="preserve">Note Att </t>
    </r>
    <r>
      <rPr>
        <sz val="11"/>
        <rFont val="Calibri"/>
        <family val="2"/>
        <scheme val="minor"/>
      </rPr>
      <t xml:space="preserve">textbox should accept:
 -&gt; Alphanumeric values
2. </t>
    </r>
    <r>
      <rPr>
        <b/>
        <sz val="11"/>
        <rFont val="Calibri"/>
        <family val="2"/>
        <scheme val="minor"/>
      </rPr>
      <t xml:space="preserve">Note Att </t>
    </r>
    <r>
      <rPr>
        <sz val="11"/>
        <rFont val="Calibri"/>
        <family val="2"/>
        <scheme val="minor"/>
      </rPr>
      <t xml:space="preserve">should not accept Special character values.
2. </t>
    </r>
    <r>
      <rPr>
        <b/>
        <sz val="11"/>
        <rFont val="Calibri"/>
        <family val="2"/>
        <scheme val="minor"/>
      </rPr>
      <t>Note Att</t>
    </r>
    <r>
      <rPr>
        <sz val="11"/>
        <rFont val="Calibri"/>
        <family val="2"/>
        <scheme val="minor"/>
      </rPr>
      <t xml:space="preserve"> textbox length should be limited to 1 characters.</t>
    </r>
  </si>
  <si>
    <r>
      <t xml:space="preserve">1. Functionality is not working as expected.
2. </t>
    </r>
    <r>
      <rPr>
        <b/>
        <sz val="11"/>
        <color theme="1"/>
        <rFont val="Calibri"/>
        <family val="2"/>
        <scheme val="minor"/>
      </rPr>
      <t xml:space="preserve">Note Att </t>
    </r>
    <r>
      <rPr>
        <sz val="11"/>
        <color theme="1"/>
        <rFont val="Calibri"/>
        <family val="2"/>
        <scheme val="minor"/>
      </rPr>
      <t>textbox accepts all types of values</t>
    </r>
    <r>
      <rPr>
        <b/>
        <sz val="11"/>
        <color theme="1"/>
        <rFont val="Calibri"/>
        <family val="2"/>
        <scheme val="minor"/>
      </rPr>
      <t>.</t>
    </r>
    <r>
      <rPr>
        <sz val="11"/>
        <color theme="1"/>
        <rFont val="Calibri"/>
        <family val="2"/>
        <scheme val="minor"/>
      </rPr>
      <t xml:space="preserve">
3. 1-character limit is correctly implemented.
Note: It should not accept Speical character values.</t>
    </r>
  </si>
  <si>
    <t>DBK_Schedule_10</t>
  </si>
  <si>
    <r>
      <t>Validate the functionality of</t>
    </r>
    <r>
      <rPr>
        <b/>
        <sz val="11"/>
        <color theme="1"/>
        <rFont val="Calibri"/>
        <family val="2"/>
        <scheme val="minor"/>
      </rPr>
      <t xml:space="preserve"> Rate Adv.(%)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</si>
  <si>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Adv.(%)</t>
    </r>
    <r>
      <rPr>
        <sz val="11"/>
        <rFont val="Calibri"/>
        <family val="2"/>
        <scheme val="minor"/>
      </rPr>
      <t xml:space="preserve"> textobx.
3. Enter Valid &amp; Invalid Data in </t>
    </r>
    <r>
      <rPr>
        <b/>
        <sz val="11"/>
        <rFont val="Calibri"/>
        <family val="2"/>
        <scheme val="minor"/>
      </rPr>
      <t>Rate Adv.(%)</t>
    </r>
    <r>
      <rPr>
        <sz val="11"/>
        <rFont val="Calibri"/>
        <family val="2"/>
        <scheme val="minor"/>
      </rPr>
      <t xml:space="preserve"> textbox.
4. Observe the system behaviour.</t>
    </r>
  </si>
  <si>
    <r>
      <rPr>
        <b/>
        <sz val="11"/>
        <rFont val="Calibri"/>
        <family val="2"/>
        <scheme val="minor"/>
      </rPr>
      <t xml:space="preserve">Test Data:
</t>
    </r>
    <r>
      <rPr>
        <sz val="11"/>
        <rFont val="Calibri"/>
        <family val="2"/>
        <scheme val="minor"/>
      </rPr>
      <t xml:space="preserve"> -&gt;</t>
    </r>
    <r>
      <rPr>
        <b/>
        <sz val="11"/>
        <rFont val="Calibri"/>
        <family val="2"/>
        <scheme val="minor"/>
      </rPr>
      <t xml:space="preserve"> </t>
    </r>
    <r>
      <rPr>
        <sz val="11"/>
        <rFont val="Calibri"/>
        <family val="2"/>
        <scheme val="minor"/>
      </rPr>
      <t>Alphabetic values
 -&gt; Numeric values with decial 
 -&gt; Special characters</t>
    </r>
  </si>
  <si>
    <r>
      <t xml:space="preserve">1. </t>
    </r>
    <r>
      <rPr>
        <b/>
        <sz val="11"/>
        <color theme="1"/>
        <rFont val="Calibri"/>
        <family val="2"/>
        <scheme val="minor"/>
      </rPr>
      <t>Rate Adv.(%)</t>
    </r>
    <r>
      <rPr>
        <sz val="11"/>
        <color theme="1"/>
        <rFont val="Calibri"/>
        <family val="2"/>
        <scheme val="minor"/>
      </rPr>
      <t xml:space="preserve"> textbox should accept valid </t>
    </r>
    <r>
      <rPr>
        <b/>
        <sz val="11"/>
        <color theme="1"/>
        <rFont val="Calibri"/>
        <family val="2"/>
        <scheme val="minor"/>
      </rPr>
      <t>numeric and decimal values only.
2. Rate Adv.(%)</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Rate Adv.(%)</t>
    </r>
    <r>
      <rPr>
        <sz val="11"/>
        <color theme="1"/>
        <rFont val="Calibri"/>
        <family val="2"/>
        <scheme val="minor"/>
      </rPr>
      <t xml:space="preserve"> textbox length validation: </t>
    </r>
    <r>
      <rPr>
        <b/>
        <sz val="11"/>
        <color theme="1"/>
        <rFont val="Calibri"/>
        <family val="2"/>
        <scheme val="minor"/>
      </rPr>
      <t>(Max Length should be 9,3)</t>
    </r>
    <r>
      <rPr>
        <sz val="11"/>
        <color theme="1"/>
        <rFont val="Calibri"/>
        <family val="2"/>
        <scheme val="minor"/>
      </rPr>
      <t xml:space="preserve">
 -&gt; Without decimal: Maximum 6 characters
 -&gt; With decimal: Maximum 9 characters (After decimal: Maximum 3 digits)</t>
    </r>
  </si>
  <si>
    <r>
      <t>1. Rate Adv.(%)</t>
    </r>
    <r>
      <rPr>
        <b/>
        <sz val="11"/>
        <color theme="1"/>
        <rFont val="Calibri"/>
        <family val="2"/>
        <scheme val="minor"/>
      </rPr>
      <t xml:space="preserve"> </t>
    </r>
    <r>
      <rPr>
        <sz val="11"/>
        <color theme="1"/>
        <rFont val="Calibri"/>
        <family val="2"/>
        <scheme val="minor"/>
      </rPr>
      <t xml:space="preserve">textbox accepts valid numeric and decimal values.
2. </t>
    </r>
    <r>
      <rPr>
        <b/>
        <sz val="11"/>
        <color theme="1"/>
        <rFont val="Calibri"/>
        <family val="2"/>
        <scheme val="minor"/>
      </rPr>
      <t>Rate Adv.(%) textbox accepts the hyphen (-) character, which is not expected.</t>
    </r>
    <r>
      <rPr>
        <sz val="11"/>
        <color theme="1"/>
        <rFont val="Calibri"/>
        <family val="2"/>
        <scheme val="minor"/>
      </rPr>
      <t xml:space="preserve">
3. Rate Adv.(%)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</si>
  <si>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t>DBK_Schedule_11</t>
  </si>
  <si>
    <r>
      <t>Validate the functionality of</t>
    </r>
    <r>
      <rPr>
        <b/>
        <sz val="11"/>
        <color theme="1"/>
        <rFont val="Calibri"/>
        <family val="2"/>
        <scheme val="minor"/>
      </rPr>
      <t xml:space="preserve"> Rate Spec.Cap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</si>
  <si>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Spec.Cap</t>
    </r>
    <r>
      <rPr>
        <sz val="11"/>
        <rFont val="Calibri"/>
        <family val="2"/>
        <scheme val="minor"/>
      </rPr>
      <t xml:space="preserve"> textobx.
3. Enter Valid &amp; Invalid Data in </t>
    </r>
    <r>
      <rPr>
        <b/>
        <sz val="11"/>
        <rFont val="Calibri"/>
        <family val="2"/>
        <scheme val="minor"/>
      </rPr>
      <t>Rate Spec.Cap</t>
    </r>
    <r>
      <rPr>
        <sz val="11"/>
        <rFont val="Calibri"/>
        <family val="2"/>
        <scheme val="minor"/>
      </rPr>
      <t xml:space="preserve"> textbox.
4. Observe the system behaviour.</t>
    </r>
  </si>
  <si>
    <r>
      <t xml:space="preserve">1. </t>
    </r>
    <r>
      <rPr>
        <b/>
        <sz val="11"/>
        <color theme="1"/>
        <rFont val="Calibri"/>
        <family val="2"/>
        <scheme val="minor"/>
      </rPr>
      <t>Rate Spec.Cap</t>
    </r>
    <r>
      <rPr>
        <sz val="11"/>
        <color theme="1"/>
        <rFont val="Calibri"/>
        <family val="2"/>
        <scheme val="minor"/>
      </rPr>
      <t xml:space="preserve"> textbox should accept valid </t>
    </r>
    <r>
      <rPr>
        <b/>
        <sz val="11"/>
        <color theme="1"/>
        <rFont val="Calibri"/>
        <family val="2"/>
        <scheme val="minor"/>
      </rPr>
      <t>numeric and decimal values only.
2. Rate Spec.Cap</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Rate Spec.Cap</t>
    </r>
    <r>
      <rPr>
        <sz val="11"/>
        <color theme="1"/>
        <rFont val="Calibri"/>
        <family val="2"/>
        <scheme val="minor"/>
      </rPr>
      <t xml:space="preserve"> textbox length validation: </t>
    </r>
    <r>
      <rPr>
        <b/>
        <sz val="11"/>
        <color theme="1"/>
        <rFont val="Calibri"/>
        <family val="2"/>
        <scheme val="minor"/>
      </rPr>
      <t>(Max Length should be 8,3)</t>
    </r>
    <r>
      <rPr>
        <sz val="11"/>
        <color theme="1"/>
        <rFont val="Calibri"/>
        <family val="2"/>
        <scheme val="minor"/>
      </rPr>
      <t xml:space="preserve">
 -&gt; Without decimal: Maximum 5 characters
 -&gt; With decimal: Maximum 8 characters (After decimal: Maximum 3 digits)</t>
    </r>
  </si>
  <si>
    <r>
      <t>1. Rate Spec.Cap</t>
    </r>
    <r>
      <rPr>
        <b/>
        <sz val="11"/>
        <color theme="1"/>
        <rFont val="Calibri"/>
        <family val="2"/>
        <scheme val="minor"/>
      </rPr>
      <t xml:space="preserve"> </t>
    </r>
    <r>
      <rPr>
        <sz val="11"/>
        <color theme="1"/>
        <rFont val="Calibri"/>
        <family val="2"/>
        <scheme val="minor"/>
      </rPr>
      <t xml:space="preserve">textbox accepts valid numeric and decimal values.
2. </t>
    </r>
    <r>
      <rPr>
        <b/>
        <sz val="11"/>
        <color theme="1"/>
        <rFont val="Calibri"/>
        <family val="2"/>
        <scheme val="minor"/>
      </rPr>
      <t>Rate Spec.Cap textbox accepts the hyphen (-) character, which is not expected.</t>
    </r>
    <r>
      <rPr>
        <sz val="11"/>
        <color theme="1"/>
        <rFont val="Calibri"/>
        <family val="2"/>
        <scheme val="minor"/>
      </rPr>
      <t xml:space="preserve">
3. Rate Spec.Cap textbox length validation:
 -&gt; Without Decimal: 5 character 
 -&gt; With decimal: Maximum 8 characters (after decimal: maximum 3 digits).
</t>
    </r>
    <r>
      <rPr>
        <b/>
        <sz val="11"/>
        <color theme="1"/>
        <rFont val="Calibri"/>
        <family val="2"/>
        <scheme val="minor"/>
      </rPr>
      <t xml:space="preserve">
Note: Hyphen(-) need to be blocked. It should not accepted.</t>
    </r>
  </si>
  <si>
    <t>DBK_Schedule_12</t>
  </si>
  <si>
    <r>
      <t>Validate the functionality of</t>
    </r>
    <r>
      <rPr>
        <b/>
        <sz val="11"/>
        <color theme="1"/>
        <rFont val="Calibri"/>
        <family val="2"/>
        <scheme val="minor"/>
      </rPr>
      <t xml:space="preserve"> Drawback Flag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</si>
  <si>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Drawback Flag</t>
    </r>
    <r>
      <rPr>
        <sz val="11"/>
        <rFont val="Calibri"/>
        <family val="2"/>
        <scheme val="minor"/>
      </rPr>
      <t xml:space="preserve"> textobx.
3. Enter Valid &amp; Invalid Data in </t>
    </r>
    <r>
      <rPr>
        <b/>
        <sz val="11"/>
        <rFont val="Calibri"/>
        <family val="2"/>
        <scheme val="minor"/>
      </rPr>
      <t>Drawback Flag</t>
    </r>
    <r>
      <rPr>
        <sz val="11"/>
        <rFont val="Calibri"/>
        <family val="2"/>
        <scheme val="minor"/>
      </rPr>
      <t xml:space="preserve"> textbox.
4. Observe the system behaviour.</t>
    </r>
  </si>
  <si>
    <r>
      <t xml:space="preserve">1. As per the Use Case, </t>
    </r>
    <r>
      <rPr>
        <b/>
        <sz val="11"/>
        <rFont val="Calibri"/>
        <family val="2"/>
        <scheme val="minor"/>
      </rPr>
      <t xml:space="preserve">Drawback Flag </t>
    </r>
    <r>
      <rPr>
        <sz val="11"/>
        <rFont val="Calibri"/>
        <family val="2"/>
        <scheme val="minor"/>
      </rPr>
      <t xml:space="preserve">textbox should accept:
 -&gt; Numeric values only
2. </t>
    </r>
    <r>
      <rPr>
        <b/>
        <sz val="11"/>
        <rFont val="Calibri"/>
        <family val="2"/>
        <scheme val="minor"/>
      </rPr>
      <t xml:space="preserve">Drawback Flag </t>
    </r>
    <r>
      <rPr>
        <sz val="11"/>
        <rFont val="Calibri"/>
        <family val="2"/>
        <scheme val="minor"/>
      </rPr>
      <t xml:space="preserve">should not accept Alphabetic &amp; Special character values.
2. </t>
    </r>
    <r>
      <rPr>
        <b/>
        <sz val="11"/>
        <rFont val="Calibri"/>
        <family val="2"/>
        <scheme val="minor"/>
      </rPr>
      <t>Drawback Flag</t>
    </r>
    <r>
      <rPr>
        <sz val="11"/>
        <rFont val="Calibri"/>
        <family val="2"/>
        <scheme val="minor"/>
      </rPr>
      <t xml:space="preserve"> textbox length should be limited to 6 characters.</t>
    </r>
  </si>
  <si>
    <r>
      <t xml:space="preserve">1. Functionality is working as expected.
2. </t>
    </r>
    <r>
      <rPr>
        <b/>
        <sz val="11"/>
        <color theme="1"/>
        <rFont val="Calibri"/>
        <family val="2"/>
        <scheme val="minor"/>
      </rPr>
      <t xml:space="preserve">Drawback Flag </t>
    </r>
    <r>
      <rPr>
        <sz val="11"/>
        <color theme="1"/>
        <rFont val="Calibri"/>
        <family val="2"/>
        <scheme val="minor"/>
      </rPr>
      <t>textbox accepts only numeric values</t>
    </r>
    <r>
      <rPr>
        <b/>
        <sz val="11"/>
        <color theme="1"/>
        <rFont val="Calibri"/>
        <family val="2"/>
        <scheme val="minor"/>
      </rPr>
      <t>.</t>
    </r>
    <r>
      <rPr>
        <sz val="11"/>
        <color theme="1"/>
        <rFont val="Calibri"/>
        <family val="2"/>
        <scheme val="minor"/>
      </rPr>
      <t xml:space="preserve">
3. 6-character limit is correctly implemented.</t>
    </r>
  </si>
  <si>
    <t>DBK_Schedule_13</t>
  </si>
  <si>
    <r>
      <t>Validate the functionality of</t>
    </r>
    <r>
      <rPr>
        <b/>
        <sz val="11"/>
        <color theme="1"/>
        <rFont val="Calibri"/>
        <family val="2"/>
        <scheme val="minor"/>
      </rPr>
      <t xml:space="preserve"> Unit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</si>
  <si>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Navigate to </t>
    </r>
    <r>
      <rPr>
        <b/>
        <sz val="11"/>
        <color theme="1"/>
        <rFont val="Calibri"/>
        <family val="2"/>
        <scheme val="minor"/>
      </rPr>
      <t>Masters → EDI Master → Drawback Schedule</t>
    </r>
    <r>
      <rPr>
        <sz val="11"/>
        <color theme="1"/>
        <rFont val="Calibri"/>
        <family val="2"/>
        <scheme val="minor"/>
      </rPr>
      <t xml:space="preserve">
2. Locate the </t>
    </r>
    <r>
      <rPr>
        <b/>
        <sz val="11"/>
        <color theme="1"/>
        <rFont val="Calibri"/>
        <family val="2"/>
        <scheme val="minor"/>
      </rPr>
      <t>Unit</t>
    </r>
    <r>
      <rPr>
        <sz val="11"/>
        <color theme="1"/>
        <rFont val="Calibri"/>
        <family val="2"/>
        <scheme val="minor"/>
      </rPr>
      <t xml:space="preserve"> textbox.
3. Try entering manual input
4. Select a value from the autosuggest list and observe the system behavior.</t>
    </r>
  </si>
  <si>
    <r>
      <t xml:space="preserve">Textbox - </t>
    </r>
    <r>
      <rPr>
        <b/>
        <sz val="11"/>
        <color theme="1"/>
        <rFont val="Calibri"/>
        <family val="2"/>
        <scheme val="minor"/>
      </rPr>
      <t>Unit
Manual Inputs:</t>
    </r>
    <r>
      <rPr>
        <sz val="11"/>
        <color theme="1"/>
        <rFont val="Calibri"/>
        <family val="2"/>
        <scheme val="minor"/>
      </rPr>
      <t xml:space="preserve">
Space, special characters, numeric values, alphabets
</t>
    </r>
    <r>
      <rPr>
        <b/>
        <sz val="11"/>
        <color theme="1"/>
        <rFont val="Calibri"/>
        <family val="2"/>
        <scheme val="minor"/>
      </rPr>
      <t>Autosuggest Inputs:</t>
    </r>
    <r>
      <rPr>
        <sz val="11"/>
        <color theme="1"/>
        <rFont val="Calibri"/>
        <family val="2"/>
        <scheme val="minor"/>
      </rPr>
      <t xml:space="preserve">
 -&gt; BLK, BLO, BLS etc.</t>
    </r>
  </si>
  <si>
    <r>
      <t xml:space="preserve">1. </t>
    </r>
    <r>
      <rPr>
        <b/>
        <sz val="11"/>
        <color theme="1"/>
        <rFont val="Calibri"/>
        <family val="2"/>
        <scheme val="minor"/>
      </rPr>
      <t xml:space="preserve">Unit </t>
    </r>
    <r>
      <rPr>
        <sz val="11"/>
        <color theme="1"/>
        <rFont val="Calibri"/>
        <family val="2"/>
        <scheme val="minor"/>
      </rPr>
      <t>textbox should not accept any manual input.
2. User must be able to select values only from the autosuggest list.
3. If the user types any invalid value or characters, the textbox should auto-clear the input.</t>
    </r>
  </si>
  <si>
    <t>DBK_Schedule_14</t>
  </si>
  <si>
    <r>
      <t>Validate the functionality of</t>
    </r>
    <r>
      <rPr>
        <b/>
        <sz val="11"/>
        <color theme="1"/>
        <rFont val="Calibri"/>
        <family val="2"/>
        <scheme val="minor"/>
      </rPr>
      <t xml:space="preserve"> Qty.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</si>
  <si>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Qty.</t>
    </r>
    <r>
      <rPr>
        <sz val="11"/>
        <rFont val="Calibri"/>
        <family val="2"/>
        <scheme val="minor"/>
      </rPr>
      <t xml:space="preserve"> textobx.
3. Enter Valid &amp; Invalid Data in </t>
    </r>
    <r>
      <rPr>
        <b/>
        <sz val="11"/>
        <rFont val="Calibri"/>
        <family val="2"/>
        <scheme val="minor"/>
      </rPr>
      <t>Qty.</t>
    </r>
    <r>
      <rPr>
        <sz val="11"/>
        <rFont val="Calibri"/>
        <family val="2"/>
        <scheme val="minor"/>
      </rPr>
      <t xml:space="preserve"> textbox.
4. Observe the system behaviour.</t>
    </r>
  </si>
  <si>
    <r>
      <t xml:space="preserve">1. </t>
    </r>
    <r>
      <rPr>
        <b/>
        <sz val="11"/>
        <color theme="1"/>
        <rFont val="Calibri"/>
        <family val="2"/>
        <scheme val="minor"/>
      </rPr>
      <t>Qty.</t>
    </r>
    <r>
      <rPr>
        <sz val="11"/>
        <color theme="1"/>
        <rFont val="Calibri"/>
        <family val="2"/>
        <scheme val="minor"/>
      </rPr>
      <t xml:space="preserve"> textbox should accept valid </t>
    </r>
    <r>
      <rPr>
        <b/>
        <sz val="11"/>
        <color theme="1"/>
        <rFont val="Calibri"/>
        <family val="2"/>
        <scheme val="minor"/>
      </rPr>
      <t>numeric and decimal values only.
2. Qty.</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Qty.</t>
    </r>
    <r>
      <rPr>
        <sz val="11"/>
        <color theme="1"/>
        <rFont val="Calibri"/>
        <family val="2"/>
        <scheme val="minor"/>
      </rPr>
      <t xml:space="preserve"> textbox length validation: </t>
    </r>
    <r>
      <rPr>
        <b/>
        <sz val="11"/>
        <color theme="1"/>
        <rFont val="Calibri"/>
        <family val="2"/>
        <scheme val="minor"/>
      </rPr>
      <t>(Max Length should be 14,3)</t>
    </r>
    <r>
      <rPr>
        <sz val="11"/>
        <color theme="1"/>
        <rFont val="Calibri"/>
        <family val="2"/>
        <scheme val="minor"/>
      </rPr>
      <t xml:space="preserve">
 -&gt; Without decimal: Maximum 10 characters
 -&gt; With decimal: Maximum 14 characters (After decimal: Maximum 3 digits)</t>
    </r>
  </si>
  <si>
    <r>
      <t xml:space="preserve">1. </t>
    </r>
    <r>
      <rPr>
        <b/>
        <sz val="11"/>
        <color theme="1"/>
        <rFont val="Calibri"/>
        <family val="2"/>
        <scheme val="minor"/>
      </rPr>
      <t xml:space="preserve">Qty. </t>
    </r>
    <r>
      <rPr>
        <sz val="11"/>
        <color theme="1"/>
        <rFont val="Calibri"/>
        <family val="2"/>
        <scheme val="minor"/>
      </rPr>
      <t xml:space="preserve">textbox accepts valid numeric and decimal values.
2. </t>
    </r>
    <r>
      <rPr>
        <b/>
        <sz val="11"/>
        <color theme="1"/>
        <rFont val="Calibri"/>
        <family val="2"/>
        <scheme val="minor"/>
      </rPr>
      <t>Qty. textbox accepts the hyphen (-) character, which is not expected.</t>
    </r>
    <r>
      <rPr>
        <sz val="11"/>
        <color theme="1"/>
        <rFont val="Calibri"/>
        <family val="2"/>
        <scheme val="minor"/>
      </rPr>
      <t xml:space="preserve">
3. Qty. textbox length validation:
 -&gt; Without Decimal: 10 character 
 -&gt; With decimal: Maximum 14 characters (after decimal: maximum 3 digits).
</t>
    </r>
    <r>
      <rPr>
        <b/>
        <sz val="11"/>
        <color theme="1"/>
        <rFont val="Calibri"/>
        <family val="2"/>
        <scheme val="minor"/>
      </rPr>
      <t xml:space="preserve">
Note: Hyphen(-) need to be blocked. It should not accepted.</t>
    </r>
  </si>
  <si>
    <t>DBK_Schedule_15</t>
  </si>
  <si>
    <r>
      <t>Validate the functionality of</t>
    </r>
    <r>
      <rPr>
        <b/>
        <sz val="11"/>
        <color theme="1"/>
        <rFont val="Calibri"/>
        <family val="2"/>
        <scheme val="minor"/>
      </rPr>
      <t xml:space="preserve"> Description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</si>
  <si>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Description</t>
    </r>
    <r>
      <rPr>
        <sz val="11"/>
        <rFont val="Calibri"/>
        <family val="2"/>
        <scheme val="minor"/>
      </rPr>
      <t xml:space="preserve"> textobx.
3. Enter Valid &amp; Invalid Data in </t>
    </r>
    <r>
      <rPr>
        <b/>
        <sz val="11"/>
        <rFont val="Calibri"/>
        <family val="2"/>
        <scheme val="minor"/>
      </rPr>
      <t>Description</t>
    </r>
    <r>
      <rPr>
        <sz val="11"/>
        <rFont val="Calibri"/>
        <family val="2"/>
        <scheme val="minor"/>
      </rPr>
      <t xml:space="preserve"> textbox.
4. Observe the system behaviour.</t>
    </r>
  </si>
  <si>
    <r>
      <t xml:space="preserve">1. As per the Use Case, </t>
    </r>
    <r>
      <rPr>
        <b/>
        <sz val="11"/>
        <rFont val="Calibri"/>
        <family val="2"/>
        <scheme val="minor"/>
      </rPr>
      <t xml:space="preserve">Description </t>
    </r>
    <r>
      <rPr>
        <sz val="11"/>
        <rFont val="Calibri"/>
        <family val="2"/>
        <scheme val="minor"/>
      </rPr>
      <t xml:space="preserve">textbox should accept:
 -&gt; Alphanumeric values only
2. </t>
    </r>
    <r>
      <rPr>
        <b/>
        <sz val="11"/>
        <rFont val="Calibri"/>
        <family val="2"/>
        <scheme val="minor"/>
      </rPr>
      <t xml:space="preserve">Description </t>
    </r>
    <r>
      <rPr>
        <sz val="11"/>
        <rFont val="Calibri"/>
        <family val="2"/>
        <scheme val="minor"/>
      </rPr>
      <t xml:space="preserve">should not accept Alphabetic &amp; Special character values.
2. </t>
    </r>
    <r>
      <rPr>
        <b/>
        <sz val="11"/>
        <rFont val="Calibri"/>
        <family val="2"/>
        <scheme val="minor"/>
      </rPr>
      <t>Description</t>
    </r>
    <r>
      <rPr>
        <sz val="11"/>
        <rFont val="Calibri"/>
        <family val="2"/>
        <scheme val="minor"/>
      </rPr>
      <t xml:space="preserve"> textbox length should be limited to 250 characters.</t>
    </r>
  </si>
  <si>
    <r>
      <t xml:space="preserve">1. </t>
    </r>
    <r>
      <rPr>
        <b/>
        <sz val="11"/>
        <color theme="1"/>
        <rFont val="Calibri"/>
        <family val="2"/>
        <scheme val="minor"/>
      </rPr>
      <t>Description</t>
    </r>
    <r>
      <rPr>
        <sz val="11"/>
        <color theme="1"/>
        <rFont val="Calibri"/>
        <family val="2"/>
        <scheme val="minor"/>
      </rPr>
      <t xml:space="preserve"> text is accepting all types of values.
3. 250-character limit is correctly implemented.
Note: </t>
    </r>
    <r>
      <rPr>
        <b/>
        <sz val="11"/>
        <color theme="1"/>
        <rFont val="Calibri"/>
        <family val="2"/>
        <scheme val="minor"/>
      </rPr>
      <t>Description</t>
    </r>
    <r>
      <rPr>
        <sz val="11"/>
        <color theme="1"/>
        <rFont val="Calibri"/>
        <family val="2"/>
        <scheme val="minor"/>
      </rPr>
      <t xml:space="preserve"> textbox can be accept all types of values. </t>
    </r>
  </si>
  <si>
    <t>DBK_Schedule_16</t>
  </si>
  <si>
    <r>
      <t xml:space="preserve">Validate the functionality of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Drawback Schedule</t>
    </r>
    <r>
      <rPr>
        <sz val="11"/>
        <color theme="1"/>
        <rFont val="Calibri"/>
        <family val="2"/>
        <scheme val="minor"/>
      </rPr>
      <t xml:space="preserve"> page.</t>
    </r>
  </si>
  <si>
    <t>Fill all fields with valid data.</t>
  </si>
  <si>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Enter valid data in all fields (mandatory and non-mandatory).
3. Click on the Save button.
4. Observe the system behavior.
</t>
    </r>
  </si>
  <si>
    <t>1. When all fields are filled with valid data and the Save button is clicked:
 -&gt; The record should be saved successfully.
 -&gt; A success validation message should be displayed.
 -&gt; The saved record should be listed in the left-side panel.
 -&gt; The saved record should be listed under the corresponding Header value.
 -&gt; The user should be able to select the newly saved record from the left-side panel by selecting the correct Header value.
2. On selecting the saved record:
 -&gt; The record details should be populated correctly in the corresponding textboxes.</t>
  </si>
  <si>
    <r>
      <t xml:space="preserve">1. When all mandatory and non-mandatory fields are filled with valid data and the Save button is clicked, the record is saved successfully.
2. The saved record is displayed in the left-side panel.
3. The saved record is listed under the correct Header value.
4. The saved record is searchable and selectable from the left-side panel.
Note: 
</t>
    </r>
    <r>
      <rPr>
        <b/>
        <sz val="11"/>
        <color theme="1"/>
        <rFont val="Calibri"/>
        <family val="2"/>
        <scheme val="minor"/>
      </rPr>
      <t>1. The Header value sequence in the left-side panel is mismatched.</t>
    </r>
    <r>
      <rPr>
        <sz val="11"/>
        <color theme="1"/>
        <rFont val="Calibri"/>
        <family val="2"/>
        <scheme val="minor"/>
      </rPr>
      <t xml:space="preserve">
 -&gt; Expected: Header values should be displayed in ascending order (1, 2, 3, …).
 -&gt; Actual: The newly saved Header value is displayed in between existing data instead of proper sequence.
</t>
    </r>
    <r>
      <rPr>
        <b/>
        <sz val="11"/>
        <color theme="1"/>
        <rFont val="Calibri"/>
        <family val="2"/>
        <scheme val="minor"/>
      </rPr>
      <t xml:space="preserve">2. A generic validation message is displayed across all textboxes:   </t>
    </r>
    <r>
      <rPr>
        <sz val="11"/>
        <color theme="1"/>
        <rFont val="Calibri"/>
        <family val="2"/>
        <scheme val="minor"/>
      </rPr>
      <t xml:space="preserve"> “Please enter valid value”
 -&gt; Due to this generic message, the user is unable to identify which specific textbox has an invalid value.
 -&gt; Validation messages should be displayed at the respective textbox level to clearly indicate the incorrect field.</t>
    </r>
  </si>
  <si>
    <t>DBK_Schedule_17</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</si>
  <si>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Drawback Schedule</t>
    </r>
    <r>
      <rPr>
        <sz val="11"/>
        <color theme="1"/>
        <rFont val="Calibri"/>
        <family val="2"/>
        <scheme val="minor"/>
      </rPr>
      <t xml:space="preserve"> page.</t>
    </r>
  </si>
  <si>
    <t>Mandatory Fields As per the Page UI:
 -&gt; Header
 -&gt; Sr.No.</t>
  </si>
  <si>
    <t>1. When all mandatory fields are filled with valid data and the Save button is clicked:
 -&gt; The record should be saved successfully.
 -&gt; A success validation message should be displayed.
 -&gt; The saved record should be listed in the left-side panel.
 -&gt; The saved record should be listed under the corresponding Header value.
 -&gt; The user should be able to select the newly saved record from the left-side panel by selecting the correct Header value.
2. On selecting the saved record:
 -&gt; The record details should be populated correctly in the corresponding textboxes.</t>
  </si>
  <si>
    <t>1. When all mandatory fields are filled with valid data and the Save button is clicked, the record is saved successfully.
2. The saved record is displayed in the left-side panel.
3. The saved record is listed under the correct Header value.
4. The saved record is searchable and selectable from the left-side panel.</t>
  </si>
  <si>
    <t>DBK_Schedule_18</t>
  </si>
  <si>
    <r>
      <t xml:space="preserve">Validate the functionality of </t>
    </r>
    <r>
      <rPr>
        <b/>
        <sz val="11"/>
        <color theme="1"/>
        <rFont val="Calibri"/>
        <family val="2"/>
        <scheme val="minor"/>
      </rPr>
      <t>Save</t>
    </r>
    <r>
      <rPr>
        <sz val="11"/>
        <color theme="1"/>
        <rFont val="Calibri"/>
        <family val="2"/>
        <scheme val="minor"/>
      </rPr>
      <t xml:space="preserve"> button When only  Non-Mandatory are filled and Mandatory fields are left blank in the </t>
    </r>
    <r>
      <rPr>
        <b/>
        <sz val="11"/>
        <color theme="1"/>
        <rFont val="Calibri"/>
        <family val="2"/>
        <scheme val="minor"/>
      </rPr>
      <t>Drawback Schedule</t>
    </r>
    <r>
      <rPr>
        <sz val="11"/>
        <color theme="1"/>
        <rFont val="Calibri"/>
        <family val="2"/>
        <scheme val="minor"/>
      </rPr>
      <t xml:space="preserve"> page.</t>
    </r>
  </si>
  <si>
    <r>
      <rPr>
        <b/>
        <sz val="11"/>
        <color theme="1"/>
        <rFont val="Calibri"/>
        <family val="2"/>
        <scheme val="minor"/>
      </rPr>
      <t>Non- Mandatory Fields As per the UI:</t>
    </r>
    <r>
      <rPr>
        <sz val="11"/>
        <color theme="1"/>
        <rFont val="Calibri"/>
        <family val="2"/>
        <scheme val="minor"/>
      </rPr>
      <t xml:space="preserve">
 -&gt; Sub Sr.No
 -&gt; Effective Date
 -&gt; Notification No.
 -&gt; Note Att
 -&gt; Rate Adv.(%)
 -&gt; Rate Spec.Cap
 -&gt; Drawback Flag
 -&gt; Unit
 -&gt; Qty.
 -&gt; Description</t>
    </r>
  </si>
  <si>
    <r>
      <t xml:space="preserve">1. Navigate to </t>
    </r>
    <r>
      <rPr>
        <b/>
        <sz val="11"/>
        <rFont val="Calibri"/>
        <family val="2"/>
        <scheme val="minor"/>
      </rPr>
      <t xml:space="preserve">Masters -&gt; EDI Master -&gt; Drawback Schedule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</si>
  <si>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r>
      <t xml:space="preserve">1. </t>
    </r>
    <r>
      <rPr>
        <b/>
        <sz val="11"/>
        <color theme="1"/>
        <rFont val="Calibri"/>
        <family val="2"/>
        <scheme val="minor"/>
      </rPr>
      <t xml:space="preserve">When only Non-Mandatory fields are filled and Mandatory fields are left blank:
 -&gt; </t>
    </r>
    <r>
      <rPr>
        <sz val="11"/>
        <color theme="1"/>
        <rFont val="Calibri"/>
        <family val="2"/>
        <scheme val="minor"/>
      </rPr>
      <t xml:space="preserve">The record should not be saved.
 -&gt; Validation messages should be displayed for all mandatory fields at the textbox level.
2. </t>
    </r>
    <r>
      <rPr>
        <b/>
        <sz val="11"/>
        <color theme="1"/>
        <rFont val="Calibri"/>
        <family val="2"/>
        <scheme val="minor"/>
      </rPr>
      <t>Once all mandatory fields are filled with valid data and the Save button is clicked:</t>
    </r>
    <r>
      <rPr>
        <sz val="11"/>
        <color theme="1"/>
        <rFont val="Calibri"/>
        <family val="2"/>
        <scheme val="minor"/>
      </rPr>
      <t xml:space="preserve">
 -&gt; The record should be saved successfully.
 -&gt; The saved record should be listed under the corresponding Header value in the left-side panel.
 -&gt; The record should be searchable and selectable.</t>
    </r>
  </si>
  <si>
    <r>
      <t xml:space="preserve">1. When </t>
    </r>
    <r>
      <rPr>
        <b/>
        <sz val="11"/>
        <color theme="1"/>
        <rFont val="Calibri"/>
        <family val="2"/>
        <scheme val="minor"/>
      </rPr>
      <t>Mandatory fields are left blank and the Save button is clicked, the record is not saved.</t>
    </r>
    <r>
      <rPr>
        <sz val="11"/>
        <color theme="1"/>
        <rFont val="Calibri"/>
        <family val="2"/>
        <scheme val="minor"/>
      </rPr>
      <t xml:space="preserve">
2. </t>
    </r>
    <r>
      <rPr>
        <b/>
        <sz val="11"/>
        <color theme="1"/>
        <rFont val="Calibri"/>
        <family val="2"/>
        <scheme val="minor"/>
      </rPr>
      <t>Validation messages are displayed for the mandatory fields.</t>
    </r>
    <r>
      <rPr>
        <sz val="11"/>
        <color theme="1"/>
        <rFont val="Calibri"/>
        <family val="2"/>
        <scheme val="minor"/>
      </rPr>
      <t xml:space="preserve">
3. After </t>
    </r>
    <r>
      <rPr>
        <b/>
        <sz val="11"/>
        <color theme="1"/>
        <rFont val="Calibri"/>
        <family val="2"/>
        <scheme val="minor"/>
      </rPr>
      <t>entering valid data in all mandatory fields and clicking the Save button, the record is saved successfully</t>
    </r>
    <r>
      <rPr>
        <sz val="11"/>
        <color theme="1"/>
        <rFont val="Calibri"/>
        <family val="2"/>
        <scheme val="minor"/>
      </rPr>
      <t>.
4. The saved record is listed under the corresponding Header value in the left-side panel.
5. The saved record is searchable and selectable from the left-side panel.</t>
    </r>
  </si>
  <si>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Drawback Schedule </t>
    </r>
    <r>
      <rPr>
        <sz val="11"/>
        <color theme="1"/>
        <rFont val="Calibri"/>
        <family val="2"/>
        <scheme val="minor"/>
      </rPr>
      <t>page.</t>
    </r>
  </si>
  <si>
    <r>
      <t xml:space="preserve">1. Navigate to </t>
    </r>
    <r>
      <rPr>
        <b/>
        <sz val="11"/>
        <color theme="1"/>
        <rFont val="Calibri"/>
        <family val="2"/>
        <scheme val="minor"/>
      </rPr>
      <t>Masters → EDI Master → Drawback Schedule</t>
    </r>
    <r>
      <rPr>
        <sz val="11"/>
        <color theme="1"/>
        <rFont val="Calibri"/>
        <family val="2"/>
        <scheme val="minor"/>
      </rPr>
      <t xml:space="preserve">
2. Verify the state of the Modify button when the page is in a new state.
3. Select any record from the left-side panel list.
4. Verify that the selected record details are loaded into the textboxes.
5. Modify one or more editable fields with new valid data.
5. Click on the Modify button.
6.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</si>
  <si>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Modify button should be enabled only after a record is selected and loaded into the textboxes.
3.</t>
    </r>
    <r>
      <rPr>
        <b/>
        <sz val="11"/>
        <color theme="1"/>
        <rFont val="Calibri"/>
        <family val="2"/>
        <scheme val="minor"/>
      </rPr>
      <t xml:space="preserve"> The Header and Sr. No. textboxes should remain disabled and not be editable.</t>
    </r>
    <r>
      <rPr>
        <sz val="11"/>
        <color theme="1"/>
        <rFont val="Calibri"/>
        <family val="2"/>
        <scheme val="minor"/>
      </rPr>
      <t xml:space="preserve">
4. All other applicable fields should be editable.
5. On clicking the Modify button, the record should be updated successfully with the new values.
6. The updated record should be displayed correctly in the left-side panel list.
7. The user should be able to modify the same record multiple times.</t>
    </r>
  </si>
  <si>
    <t>1. When the page is in a new state, the Modify button remains disabled.
2. Once the record is loaded into the textboxes, the Modify button becomes enabled.
3. The Header and Sr. No. textboxes remain disabled and cannot be modified.
4. Other editable fields allow modification with new valid data.
5. The updated record is displayed correctly in the left-side panel list.
6. On re-selecting the same record from the left-side panel, the updated values are displayed correctly in the corresponding textboxes.</t>
  </si>
  <si>
    <t>DBK_Schedule_19</t>
  </si>
  <si>
    <t>DBK_Schedule_20</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</si>
  <si>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Drawback Schedule </t>
    </r>
    <r>
      <rPr>
        <sz val="11"/>
        <color theme="1"/>
        <rFont val="Calibri"/>
        <family val="2"/>
        <scheme val="minor"/>
      </rPr>
      <t>page.</t>
    </r>
  </si>
  <si>
    <r>
      <t xml:space="preserve">1. When the page is in a new state, the </t>
    </r>
    <r>
      <rPr>
        <b/>
        <sz val="11"/>
        <color theme="1"/>
        <rFont val="Calibri"/>
        <family val="2"/>
        <scheme val="minor"/>
      </rPr>
      <t>Delete</t>
    </r>
    <r>
      <rPr>
        <sz val="11"/>
        <color theme="1"/>
        <rFont val="Calibri"/>
        <family val="2"/>
        <scheme val="minor"/>
      </rPr>
      <t xml:space="preserve"> button should be disabled.
2. The </t>
    </r>
    <r>
      <rPr>
        <b/>
        <sz val="11"/>
        <color theme="1"/>
        <rFont val="Calibri"/>
        <family val="2"/>
        <scheme val="minor"/>
      </rPr>
      <t>Delete</t>
    </r>
    <r>
      <rPr>
        <sz val="11"/>
        <color theme="1"/>
        <rFont val="Calibri"/>
        <family val="2"/>
        <scheme val="minor"/>
      </rPr>
      <t xml:space="preserve"> button should be enabled only when a record is selected from the left-side panel and its data is loaded into the textboxes.
2. On clicking Delete, a confirmation pop-up should be displayed with the message:
</t>
    </r>
    <r>
      <rPr>
        <b/>
        <sz val="11"/>
        <color theme="1"/>
        <rFont val="Calibri"/>
        <family val="2"/>
        <scheme val="minor"/>
      </rPr>
      <t>Are you sure you want to delete this record?</t>
    </r>
    <r>
      <rPr>
        <sz val="11"/>
        <color theme="1"/>
        <rFont val="Calibri"/>
        <family val="2"/>
        <scheme val="minor"/>
      </rPr>
      <t xml:space="preserve">
with OK / Cancel options.
</t>
    </r>
    <r>
      <rPr>
        <b/>
        <sz val="11"/>
        <color theme="1"/>
        <rFont val="Calibri"/>
        <family val="2"/>
        <scheme val="minor"/>
      </rPr>
      <t xml:space="preserve"> -&gt; If OK is selected:</t>
    </r>
    <r>
      <rPr>
        <sz val="11"/>
        <color theme="1"/>
        <rFont val="Calibri"/>
        <family val="2"/>
        <scheme val="minor"/>
      </rPr>
      <t xml:space="preserve">
 -&gt; Record should be deleted successfully.
 -&gt; Deleted record should no longer appear in the left-side list.
</t>
    </r>
    <r>
      <rPr>
        <b/>
        <sz val="11"/>
        <color theme="1"/>
        <rFont val="Calibri"/>
        <family val="2"/>
        <scheme val="minor"/>
      </rPr>
      <t xml:space="preserve"> -&gt; If Cancel is selected:</t>
    </r>
    <r>
      <rPr>
        <sz val="11"/>
        <color theme="1"/>
        <rFont val="Calibri"/>
        <family val="2"/>
        <scheme val="minor"/>
      </rPr>
      <t xml:space="preserve">
 -&gt; Deletion should be cancelled.
 -&gt; Record should remain unchanged.</t>
    </r>
  </si>
  <si>
    <t>DBK_Schedule_21</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</si>
  <si>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Drawback Schedule </t>
    </r>
    <r>
      <rPr>
        <sz val="11"/>
        <color theme="1"/>
        <rFont val="Calibri"/>
        <family val="2"/>
        <scheme val="minor"/>
      </rPr>
      <t>Page.</t>
    </r>
  </si>
  <si>
    <t>DBK_Schedule_22</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</si>
  <si>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</si>
  <si>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The </t>
    </r>
    <r>
      <rPr>
        <b/>
        <sz val="11"/>
        <color theme="1"/>
        <rFont val="Calibri"/>
        <family val="2"/>
        <scheme val="minor"/>
      </rPr>
      <t>Entered By</t>
    </r>
    <r>
      <rPr>
        <sz val="11"/>
        <color theme="1"/>
        <rFont val="Calibri"/>
        <family val="2"/>
        <scheme val="minor"/>
      </rPr>
      <t xml:space="preserve"> textbox should be auto-populated with the username of the user who created the record.
2. The textbox must be read-only (not editable).
3. It should show the username as stored in the system.</t>
    </r>
  </si>
  <si>
    <r>
      <t xml:space="preserve">1. The functionality is working as expected.
2. The </t>
    </r>
    <r>
      <rPr>
        <b/>
        <sz val="11"/>
        <color theme="1"/>
        <rFont val="Calibri"/>
        <family val="2"/>
        <scheme val="minor"/>
      </rPr>
      <t>Entered By</t>
    </r>
    <r>
      <rPr>
        <sz val="11"/>
        <color theme="1"/>
        <rFont val="Calibri"/>
        <family val="2"/>
        <scheme val="minor"/>
      </rPr>
      <t xml:space="preserve"> textbox correctly auto-populates with the username of the user who saved the record.</t>
    </r>
  </si>
  <si>
    <r>
      <t xml:space="preserve">1. Navigate to </t>
    </r>
    <r>
      <rPr>
        <b/>
        <sz val="11"/>
        <color theme="1"/>
        <rFont val="Calibri"/>
        <family val="2"/>
        <scheme val="minor"/>
      </rPr>
      <t>Masters → EDI Master → Drawback Schedule</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</si>
  <si>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r>
      <t xml:space="preserve">1. Navigate to </t>
    </r>
    <r>
      <rPr>
        <b/>
        <sz val="11"/>
        <color theme="1"/>
        <rFont val="Calibri"/>
        <family val="2"/>
        <scheme val="minor"/>
      </rPr>
      <t>Masters → EDI Master → Drawback Schedule</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</si>
  <si>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DBK_Schedule_23</t>
  </si>
  <si>
    <r>
      <t xml:space="preserve">1. Navigate to </t>
    </r>
    <r>
      <rPr>
        <b/>
        <sz val="11"/>
        <color theme="1"/>
        <rFont val="Calibri"/>
        <family val="2"/>
        <scheme val="minor"/>
      </rPr>
      <t>Masters → EDI Master → Drawback Schedule
2</t>
    </r>
    <r>
      <rPr>
        <sz val="11"/>
        <color theme="1"/>
        <rFont val="Calibri"/>
        <family val="2"/>
        <scheme val="minor"/>
      </rPr>
      <t>. Enter valid data in all required input fields and click Save.
3. From the left-side list, select the recently saved record.
4. Observe the value displayed in the Entered By textbox.</t>
    </r>
  </si>
  <si>
    <r>
      <t xml:space="preserve">1. Navigate to </t>
    </r>
    <r>
      <rPr>
        <b/>
        <sz val="11"/>
        <color theme="1"/>
        <rFont val="Calibri"/>
        <family val="2"/>
        <scheme val="minor"/>
      </rPr>
      <t xml:space="preserve">Masters → EDI Master → Drawback Schedule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</si>
  <si>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t>Any valid data  to create an record.</t>
  </si>
  <si>
    <r>
      <t xml:space="preserve">1. The </t>
    </r>
    <r>
      <rPr>
        <b/>
        <sz val="11"/>
        <color theme="1"/>
        <rFont val="Calibri"/>
        <family val="2"/>
        <scheme val="minor"/>
      </rPr>
      <t>Entered Date</t>
    </r>
    <r>
      <rPr>
        <sz val="11"/>
        <color theme="1"/>
        <rFont val="Calibri"/>
        <family val="2"/>
        <scheme val="minor"/>
      </rPr>
      <t xml:space="preserve"> textbox should be auto-populated with the date on which the record was saved.
2. The date should follow the application’s standard date format, e.g., </t>
    </r>
    <r>
      <rPr>
        <b/>
        <sz val="11"/>
        <color theme="1"/>
        <rFont val="Calibri"/>
        <family val="2"/>
        <scheme val="minor"/>
      </rPr>
      <t>DD-MM-YYYY</t>
    </r>
    <r>
      <rPr>
        <sz val="11"/>
        <color theme="1"/>
        <rFont val="Calibri"/>
        <family val="2"/>
        <scheme val="minor"/>
      </rPr>
      <t>.</t>
    </r>
  </si>
  <si>
    <r>
      <t xml:space="preserve">1. The functionality is working as expected.
2. The </t>
    </r>
    <r>
      <rPr>
        <b/>
        <sz val="11"/>
        <color theme="1"/>
        <rFont val="Calibri"/>
        <family val="2"/>
        <scheme val="minor"/>
      </rPr>
      <t xml:space="preserve">Entered Date </t>
    </r>
    <r>
      <rPr>
        <sz val="11"/>
        <color theme="1"/>
        <rFont val="Calibri"/>
        <family val="2"/>
        <scheme val="minor"/>
      </rPr>
      <t>textbox correctly displays the date when the record was saved.</t>
    </r>
  </si>
  <si>
    <t>DBK_Schedule_24</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</si>
  <si>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</si>
  <si>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</si>
  <si>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color theme="1"/>
        <rFont val="Calibri"/>
        <family val="2"/>
        <scheme val="minor"/>
      </rPr>
      <t>Masters -&gt; EDI Master -&gt; Drawback Schedule
2</t>
    </r>
    <r>
      <rPr>
        <sz val="11"/>
        <color theme="1"/>
        <rFont val="Calibri"/>
        <family val="2"/>
        <scheme val="minor"/>
      </rPr>
      <t xml:space="preserve">. From the left-side panel, select any saved record.
3. Modify any field value and Click the modify button.
4. Re-select the same record from the left-side panel and observe the value displayed in the </t>
    </r>
    <r>
      <rPr>
        <b/>
        <sz val="11"/>
        <color theme="1"/>
        <rFont val="Calibri"/>
        <family val="2"/>
        <scheme val="minor"/>
      </rPr>
      <t>Modified By</t>
    </r>
    <r>
      <rPr>
        <sz val="11"/>
        <color theme="1"/>
        <rFont val="Calibri"/>
        <family val="2"/>
        <scheme val="minor"/>
      </rPr>
      <t xml:space="preserve"> textbox.</t>
    </r>
  </si>
  <si>
    <r>
      <t xml:space="preserve">1. If the record has never been modified, the </t>
    </r>
    <r>
      <rPr>
        <b/>
        <sz val="11"/>
        <color theme="1"/>
        <rFont val="Calibri"/>
        <family val="2"/>
        <scheme val="minor"/>
      </rPr>
      <t xml:space="preserve">Modified By </t>
    </r>
    <r>
      <rPr>
        <sz val="11"/>
        <color theme="1"/>
        <rFont val="Calibri"/>
        <family val="2"/>
        <scheme val="minor"/>
      </rPr>
      <t xml:space="preserve">textbox should remain blank.
2. After modification, the </t>
    </r>
    <r>
      <rPr>
        <b/>
        <sz val="11"/>
        <color theme="1"/>
        <rFont val="Calibri"/>
        <family val="2"/>
        <scheme val="minor"/>
      </rPr>
      <t>Modified By</t>
    </r>
    <r>
      <rPr>
        <sz val="11"/>
        <color theme="1"/>
        <rFont val="Calibri"/>
        <family val="2"/>
        <scheme val="minor"/>
      </rPr>
      <t xml:space="preserve"> textbox should display the username of the user who performed the modification.
3. The </t>
    </r>
    <r>
      <rPr>
        <b/>
        <sz val="11"/>
        <color theme="1"/>
        <rFont val="Calibri"/>
        <family val="2"/>
        <scheme val="minor"/>
      </rPr>
      <t xml:space="preserve">Modified By </t>
    </r>
    <r>
      <rPr>
        <sz val="11"/>
        <color theme="1"/>
        <rFont val="Calibri"/>
        <family val="2"/>
        <scheme val="minor"/>
      </rPr>
      <t>value should only update when a modification happens, not during initial record creation.</t>
    </r>
  </si>
  <si>
    <r>
      <t xml:space="preserve">1. The functionality is working as expected.
2. The </t>
    </r>
    <r>
      <rPr>
        <b/>
        <sz val="11"/>
        <color theme="1"/>
        <rFont val="Calibri"/>
        <family val="2"/>
        <scheme val="minor"/>
      </rPr>
      <t>Modified By</t>
    </r>
    <r>
      <rPr>
        <sz val="11"/>
        <color theme="1"/>
        <rFont val="Calibri"/>
        <family val="2"/>
        <scheme val="minor"/>
      </rPr>
      <t xml:space="preserve"> textbox correctly auto-populates with the username of the user who modified the record.</t>
    </r>
  </si>
  <si>
    <t>DBK_Schedule_25</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</si>
  <si>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Drawback Schedule</t>
    </r>
    <r>
      <rPr>
        <sz val="11"/>
        <color theme="1"/>
        <rFont val="Calibri"/>
        <family val="2"/>
        <scheme val="minor"/>
      </rPr>
      <t xml:space="preserve"> Page.</t>
    </r>
  </si>
  <si>
    <r>
      <t xml:space="preserve">1. Navigate to </t>
    </r>
    <r>
      <rPr>
        <b/>
        <sz val="11"/>
        <color theme="1"/>
        <rFont val="Calibri"/>
        <family val="2"/>
        <scheme val="minor"/>
      </rPr>
      <t>Masters -&gt; EDI Master -&gt; Drawback Schedule
2</t>
    </r>
    <r>
      <rPr>
        <sz val="11"/>
        <color theme="1"/>
        <rFont val="Calibri"/>
        <family val="2"/>
        <scheme val="minor"/>
      </rPr>
      <t xml:space="preserve">. From the left-side panel, select any saved record.
3. Modify any field value and Click the modify button.
4. Re-select the same record from the left-side list and observe the value displayed in the </t>
    </r>
    <r>
      <rPr>
        <b/>
        <sz val="11"/>
        <color theme="1"/>
        <rFont val="Calibri"/>
        <family val="2"/>
        <scheme val="minor"/>
      </rPr>
      <t>Modified Date</t>
    </r>
    <r>
      <rPr>
        <sz val="11"/>
        <color theme="1"/>
        <rFont val="Calibri"/>
        <family val="2"/>
        <scheme val="minor"/>
      </rPr>
      <t xml:space="preserve"> textbox.</t>
    </r>
  </si>
  <si>
    <r>
      <t xml:space="preserve">1. For a record that has never been modified, the </t>
    </r>
    <r>
      <rPr>
        <b/>
        <sz val="11"/>
        <color theme="1"/>
        <rFont val="Calibri"/>
        <family val="2"/>
        <scheme val="minor"/>
      </rPr>
      <t>Modified Date</t>
    </r>
    <r>
      <rPr>
        <sz val="11"/>
        <color theme="1"/>
        <rFont val="Calibri"/>
        <family val="2"/>
        <scheme val="minor"/>
      </rPr>
      <t xml:space="preserve"> textbox must remain blank.
2. After modifying and saving the record, the </t>
    </r>
    <r>
      <rPr>
        <b/>
        <sz val="11"/>
        <color theme="1"/>
        <rFont val="Calibri"/>
        <family val="2"/>
        <scheme val="minor"/>
      </rPr>
      <t>Modified Date</t>
    </r>
    <r>
      <rPr>
        <sz val="11"/>
        <color theme="1"/>
        <rFont val="Calibri"/>
        <family val="2"/>
        <scheme val="minor"/>
      </rPr>
      <t xml:space="preserve"> textbox must show the date when the modification was performed.
3. The </t>
    </r>
    <r>
      <rPr>
        <b/>
        <sz val="11"/>
        <color theme="1"/>
        <rFont val="Calibri"/>
        <family val="2"/>
        <scheme val="minor"/>
      </rPr>
      <t>Modified Date</t>
    </r>
    <r>
      <rPr>
        <sz val="11"/>
        <color theme="1"/>
        <rFont val="Calibri"/>
        <family val="2"/>
        <scheme val="minor"/>
      </rPr>
      <t xml:space="preserve"> must update only when the record is changed, not during the initial creation of the record.</t>
    </r>
  </si>
  <si>
    <r>
      <t xml:space="preserve">1. Functionality is working as Expected.
2. The </t>
    </r>
    <r>
      <rPr>
        <b/>
        <sz val="11"/>
        <color theme="1"/>
        <rFont val="Calibri"/>
        <family val="2"/>
        <scheme val="minor"/>
      </rPr>
      <t xml:space="preserve">Modified Date </t>
    </r>
    <r>
      <rPr>
        <sz val="11"/>
        <color theme="1"/>
        <rFont val="Calibri"/>
        <family val="2"/>
        <scheme val="minor"/>
      </rPr>
      <t>textbox correctly displays the date when the record was modified.</t>
    </r>
  </si>
  <si>
    <t xml:space="preserve">EDI Master --&gt; Country
</t>
  </si>
  <si>
    <t>EDI_Country_01</t>
  </si>
  <si>
    <t>EDI Master -&gt; Country</t>
  </si>
  <si>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Country</t>
    </r>
  </si>
  <si>
    <r>
      <rPr>
        <b/>
        <sz val="11"/>
        <color theme="1"/>
        <rFont val="Calibri"/>
        <family val="2"/>
        <scheme val="minor"/>
      </rPr>
      <t xml:space="preserve">URL: </t>
    </r>
    <r>
      <rPr>
        <sz val="11"/>
        <color theme="1"/>
        <rFont val="Calibri"/>
        <family val="2"/>
        <scheme val="minor"/>
      </rPr>
      <t xml:space="preserve">https://idp.icaffe.co.in/demoUAT/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t>
    </r>
  </si>
  <si>
    <r>
      <t xml:space="preserve">On Mouse Hovering action on </t>
    </r>
    <r>
      <rPr>
        <b/>
        <sz val="11"/>
        <color theme="1"/>
        <rFont val="Calibri"/>
        <family val="2"/>
        <scheme val="minor"/>
      </rPr>
      <t xml:space="preserve">Masters -&gt; EDI Master -&gt; Country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</si>
  <si>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Country</t>
    </r>
    <r>
      <rPr>
        <sz val="11"/>
        <color theme="1"/>
        <rFont val="Calibri"/>
        <family val="2"/>
        <scheme val="minor"/>
      </rPr>
      <t xml:space="preserve"> Page is opening properly.</t>
    </r>
  </si>
  <si>
    <t>EDI_Country_02</t>
  </si>
  <si>
    <r>
      <t xml:space="preserve">Validate the functionality of </t>
    </r>
    <r>
      <rPr>
        <b/>
        <sz val="11"/>
        <color theme="1"/>
        <rFont val="Calibri"/>
        <family val="2"/>
        <scheme val="minor"/>
      </rPr>
      <t>Country Code</t>
    </r>
    <r>
      <rPr>
        <sz val="11"/>
        <color theme="1"/>
        <rFont val="Calibri"/>
        <family val="2"/>
        <scheme val="minor"/>
      </rPr>
      <t xml:space="preserve"> and </t>
    </r>
    <r>
      <rPr>
        <b/>
        <sz val="11"/>
        <color theme="1"/>
        <rFont val="Calibri"/>
        <family val="2"/>
        <scheme val="minor"/>
      </rPr>
      <t>Country Name</t>
    </r>
    <r>
      <rPr>
        <sz val="11"/>
        <color theme="1"/>
        <rFont val="Calibri"/>
        <family val="2"/>
        <scheme val="minor"/>
      </rPr>
      <t xml:space="preserve"> radio buttons in the left side panel of the </t>
    </r>
    <r>
      <rPr>
        <b/>
        <sz val="11"/>
        <color theme="1"/>
        <rFont val="Calibri"/>
        <family val="2"/>
        <scheme val="minor"/>
      </rPr>
      <t>Country</t>
    </r>
    <r>
      <rPr>
        <sz val="11"/>
        <color theme="1"/>
        <rFont val="Calibri"/>
        <family val="2"/>
        <scheme val="minor"/>
      </rPr>
      <t xml:space="preserve"> Page.</t>
    </r>
  </si>
  <si>
    <t>Radio Button - Country Code &amp; Country Name</t>
  </si>
  <si>
    <r>
      <t xml:space="preserve">1. </t>
    </r>
    <r>
      <rPr>
        <b/>
        <sz val="11"/>
        <color theme="1"/>
        <rFont val="Calibri"/>
        <family val="2"/>
        <scheme val="minor"/>
      </rPr>
      <t xml:space="preserve">Country Code </t>
    </r>
    <r>
      <rPr>
        <sz val="11"/>
        <color theme="1"/>
        <rFont val="Calibri"/>
        <family val="2"/>
        <scheme val="minor"/>
      </rPr>
      <t xml:space="preserve">radio button should be selectable. 
2. </t>
    </r>
    <r>
      <rPr>
        <b/>
        <sz val="11"/>
        <color theme="1"/>
        <rFont val="Calibri"/>
        <family val="2"/>
        <scheme val="minor"/>
      </rPr>
      <t>Country Name</t>
    </r>
    <r>
      <rPr>
        <sz val="11"/>
        <color theme="1"/>
        <rFont val="Calibri"/>
        <family val="2"/>
        <scheme val="minor"/>
      </rPr>
      <t xml:space="preserve"> radio button should be selectable 
3. Only one radio button (Country Code or Country Name) should remain selected at a time.</t>
    </r>
  </si>
  <si>
    <t>Functionality is working as expected and Both Radio Button ( Country Code &amp; Country Name) is Selectable and changeable.</t>
  </si>
  <si>
    <t>EDI_Country_03</t>
  </si>
  <si>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Country
2</t>
    </r>
    <r>
      <rPr>
        <sz val="11"/>
        <color theme="1"/>
        <rFont val="Calibri"/>
        <family val="2"/>
        <scheme val="minor"/>
      </rPr>
      <t xml:space="preserve">. Click the </t>
    </r>
    <r>
      <rPr>
        <b/>
        <sz val="11"/>
        <color theme="1"/>
        <rFont val="Calibri"/>
        <family val="2"/>
        <scheme val="minor"/>
      </rPr>
      <t>Country Code</t>
    </r>
    <r>
      <rPr>
        <sz val="11"/>
        <color theme="1"/>
        <rFont val="Calibri"/>
        <family val="2"/>
        <scheme val="minor"/>
      </rPr>
      <t xml:space="preserve"> radio button and observe the behavior.
3. Click the </t>
    </r>
    <r>
      <rPr>
        <b/>
        <sz val="11"/>
        <color theme="1"/>
        <rFont val="Calibri"/>
        <family val="2"/>
        <scheme val="minor"/>
      </rPr>
      <t>Country Name</t>
    </r>
    <r>
      <rPr>
        <sz val="11"/>
        <color theme="1"/>
        <rFont val="Calibri"/>
        <family val="2"/>
        <scheme val="minor"/>
      </rPr>
      <t xml:space="preserve"> radio button and observe the behavior.</t>
    </r>
  </si>
  <si>
    <r>
      <t xml:space="preserve">Validate the functionality of the Search textbox when </t>
    </r>
    <r>
      <rPr>
        <b/>
        <sz val="11"/>
        <color theme="1"/>
        <rFont val="Calibri"/>
        <family val="2"/>
        <scheme val="minor"/>
      </rPr>
      <t>Country Code</t>
    </r>
    <r>
      <rPr>
        <sz val="11"/>
        <color theme="1"/>
        <rFont val="Calibri"/>
        <family val="2"/>
        <scheme val="minor"/>
      </rPr>
      <t xml:space="preserve"> and </t>
    </r>
    <r>
      <rPr>
        <b/>
        <sz val="11"/>
        <color theme="1"/>
        <rFont val="Calibri"/>
        <family val="2"/>
        <scheme val="minor"/>
      </rPr>
      <t>Country Name</t>
    </r>
    <r>
      <rPr>
        <sz val="11"/>
        <color theme="1"/>
        <rFont val="Calibri"/>
        <family val="2"/>
        <scheme val="minor"/>
      </rPr>
      <t xml:space="preserve"> radio buttons are selected on the</t>
    </r>
    <r>
      <rPr>
        <b/>
        <sz val="11"/>
        <color theme="1"/>
        <rFont val="Calibri"/>
        <family val="2"/>
        <scheme val="minor"/>
      </rPr>
      <t xml:space="preserve"> Country</t>
    </r>
    <r>
      <rPr>
        <sz val="11"/>
        <color theme="1"/>
        <rFont val="Calibri"/>
        <family val="2"/>
        <scheme val="minor"/>
      </rPr>
      <t xml:space="preserve"> page.</t>
    </r>
  </si>
  <si>
    <r>
      <t xml:space="preserve">1. Navigate to </t>
    </r>
    <r>
      <rPr>
        <b/>
        <sz val="11"/>
        <color theme="1"/>
        <rFont val="Calibri"/>
        <family val="2"/>
        <scheme val="minor"/>
      </rPr>
      <t>Masters → EDI Master → Country</t>
    </r>
    <r>
      <rPr>
        <sz val="11"/>
        <color theme="1"/>
        <rFont val="Calibri"/>
        <family val="2"/>
        <scheme val="minor"/>
      </rPr>
      <t xml:space="preserve">
2. Select the </t>
    </r>
    <r>
      <rPr>
        <b/>
        <sz val="11"/>
        <color theme="1"/>
        <rFont val="Calibri"/>
        <family val="2"/>
        <scheme val="minor"/>
      </rPr>
      <t>Country Code</t>
    </r>
    <r>
      <rPr>
        <sz val="11"/>
        <color theme="1"/>
        <rFont val="Calibri"/>
        <family val="2"/>
        <scheme val="minor"/>
      </rPr>
      <t xml:space="preserve"> radio button.
3. Enter different </t>
    </r>
    <r>
      <rPr>
        <b/>
        <sz val="11"/>
        <color theme="1"/>
        <rFont val="Calibri"/>
        <family val="2"/>
        <scheme val="minor"/>
      </rPr>
      <t>Country Code</t>
    </r>
    <r>
      <rPr>
        <sz val="11"/>
        <color theme="1"/>
        <rFont val="Calibri"/>
        <family val="2"/>
        <scheme val="minor"/>
      </rPr>
      <t xml:space="preserve"> values in the Search textbox.
4. Observe and validate the search results.
5. Select the </t>
    </r>
    <r>
      <rPr>
        <b/>
        <sz val="11"/>
        <color theme="1"/>
        <rFont val="Calibri"/>
        <family val="2"/>
        <scheme val="minor"/>
      </rPr>
      <t>Country Name</t>
    </r>
    <r>
      <rPr>
        <sz val="11"/>
        <color theme="1"/>
        <rFont val="Calibri"/>
        <family val="2"/>
        <scheme val="minor"/>
      </rPr>
      <t xml:space="preserve"> radio button.
6. Enter different</t>
    </r>
    <r>
      <rPr>
        <b/>
        <sz val="11"/>
        <color theme="1"/>
        <rFont val="Calibri"/>
        <family val="2"/>
        <scheme val="minor"/>
      </rPr>
      <t xml:space="preserve"> Country Name</t>
    </r>
    <r>
      <rPr>
        <sz val="11"/>
        <color theme="1"/>
        <rFont val="Calibri"/>
        <family val="2"/>
        <scheme val="minor"/>
      </rPr>
      <t xml:space="preserve"> values in the Search textbox.
7. Observe and validate the search results.</t>
    </r>
  </si>
  <si>
    <r>
      <t xml:space="preserve">1. When </t>
    </r>
    <r>
      <rPr>
        <b/>
        <sz val="11"/>
        <color theme="1"/>
        <rFont val="Calibri"/>
        <family val="2"/>
        <scheme val="minor"/>
      </rPr>
      <t>Country Code</t>
    </r>
    <r>
      <rPr>
        <sz val="11"/>
        <color theme="1"/>
        <rFont val="Calibri"/>
        <family val="2"/>
        <scheme val="minor"/>
      </rPr>
      <t xml:space="preserve"> radio button is selected, the Search textbox must work based on </t>
    </r>
    <r>
      <rPr>
        <b/>
        <sz val="11"/>
        <color theme="1"/>
        <rFont val="Calibri"/>
        <family val="2"/>
        <scheme val="minor"/>
      </rPr>
      <t>Country Code</t>
    </r>
    <r>
      <rPr>
        <sz val="11"/>
        <color theme="1"/>
        <rFont val="Calibri"/>
        <family val="2"/>
        <scheme val="minor"/>
      </rPr>
      <t xml:space="preserve"> values only.
2. The system must display only valid and matching records for the entered </t>
    </r>
    <r>
      <rPr>
        <b/>
        <sz val="11"/>
        <color theme="1"/>
        <rFont val="Calibri"/>
        <family val="2"/>
        <scheme val="minor"/>
      </rPr>
      <t>Country Code</t>
    </r>
    <r>
      <rPr>
        <sz val="11"/>
        <color theme="1"/>
        <rFont val="Calibri"/>
        <family val="2"/>
        <scheme val="minor"/>
      </rPr>
      <t xml:space="preserve">.
3. When </t>
    </r>
    <r>
      <rPr>
        <b/>
        <sz val="11"/>
        <color theme="1"/>
        <rFont val="Calibri"/>
        <family val="2"/>
        <scheme val="minor"/>
      </rPr>
      <t>Country Name</t>
    </r>
    <r>
      <rPr>
        <sz val="11"/>
        <color theme="1"/>
        <rFont val="Calibri"/>
        <family val="2"/>
        <scheme val="minor"/>
      </rPr>
      <t xml:space="preserve"> radio button is selected, the Search textbox must work based on </t>
    </r>
    <r>
      <rPr>
        <b/>
        <sz val="11"/>
        <color theme="1"/>
        <rFont val="Calibri"/>
        <family val="2"/>
        <scheme val="minor"/>
      </rPr>
      <t>Country Name</t>
    </r>
    <r>
      <rPr>
        <sz val="11"/>
        <color theme="1"/>
        <rFont val="Calibri"/>
        <family val="2"/>
        <scheme val="minor"/>
      </rPr>
      <t xml:space="preserve"> values only.
4. The system must display only valid and matching records for the entered </t>
    </r>
    <r>
      <rPr>
        <b/>
        <sz val="11"/>
        <color theme="1"/>
        <rFont val="Calibri"/>
        <family val="2"/>
        <scheme val="minor"/>
      </rPr>
      <t>Country Name</t>
    </r>
    <r>
      <rPr>
        <sz val="11"/>
        <color theme="1"/>
        <rFont val="Calibri"/>
        <family val="2"/>
        <scheme val="minor"/>
      </rPr>
      <t>.
5. Invalid inputs should return no records.</t>
    </r>
  </si>
  <si>
    <t>EDI_Country_04</t>
  </si>
  <si>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Country</t>
    </r>
    <r>
      <rPr>
        <sz val="11"/>
        <color theme="1"/>
        <rFont val="Calibri"/>
        <family val="2"/>
        <scheme val="minor"/>
      </rPr>
      <t xml:space="preserve"> Page .</t>
    </r>
  </si>
  <si>
    <r>
      <t xml:space="preserve">1. When the </t>
    </r>
    <r>
      <rPr>
        <b/>
        <sz val="11"/>
        <color theme="1"/>
        <rFont val="Calibri"/>
        <family val="2"/>
        <scheme val="minor"/>
      </rPr>
      <t>Country Code</t>
    </r>
    <r>
      <rPr>
        <sz val="11"/>
        <color theme="1"/>
        <rFont val="Calibri"/>
        <family val="2"/>
        <scheme val="minor"/>
      </rPr>
      <t xml:space="preserve"> radio button is selected, the Search textbox filters records correctly based on </t>
    </r>
    <r>
      <rPr>
        <b/>
        <sz val="11"/>
        <color theme="1"/>
        <rFont val="Calibri"/>
        <family val="2"/>
        <scheme val="minor"/>
      </rPr>
      <t>Country Code</t>
    </r>
    <r>
      <rPr>
        <sz val="11"/>
        <color theme="1"/>
        <rFont val="Calibri"/>
        <family val="2"/>
        <scheme val="minor"/>
      </rPr>
      <t xml:space="preserve"> values.
2. When the </t>
    </r>
    <r>
      <rPr>
        <b/>
        <sz val="11"/>
        <color theme="1"/>
        <rFont val="Calibri"/>
        <family val="2"/>
        <scheme val="minor"/>
      </rPr>
      <t>Country Name</t>
    </r>
    <r>
      <rPr>
        <sz val="11"/>
        <color theme="1"/>
        <rFont val="Calibri"/>
        <family val="2"/>
        <scheme val="minor"/>
      </rPr>
      <t xml:space="preserve"> radio button is selected, the Search textbox filters records correctly based on </t>
    </r>
    <r>
      <rPr>
        <b/>
        <sz val="11"/>
        <color theme="1"/>
        <rFont val="Calibri"/>
        <family val="2"/>
        <scheme val="minor"/>
      </rPr>
      <t>Country Name</t>
    </r>
    <r>
      <rPr>
        <sz val="11"/>
        <color theme="1"/>
        <rFont val="Calibri"/>
        <family val="2"/>
        <scheme val="minor"/>
      </rPr>
      <t xml:space="preserve"> values.
3. For invalid inputs, no records are displayed.
Note: </t>
    </r>
    <r>
      <rPr>
        <b/>
        <sz val="11"/>
        <color theme="1"/>
        <rFont val="Calibri"/>
        <family val="2"/>
        <scheme val="minor"/>
      </rPr>
      <t>EDI Port - It should be EDI Country</t>
    </r>
  </si>
  <si>
    <r>
      <t xml:space="preserve">1. The selected record from the left-panel list must be displayed correctly in the corresponding textboxes on the </t>
    </r>
    <r>
      <rPr>
        <b/>
        <sz val="11"/>
        <color theme="1"/>
        <rFont val="Calibri"/>
        <family val="2"/>
        <scheme val="minor"/>
      </rPr>
      <t>Country</t>
    </r>
    <r>
      <rPr>
        <sz val="11"/>
        <color theme="1"/>
        <rFont val="Calibri"/>
        <family val="2"/>
        <scheme val="minor"/>
      </rPr>
      <t xml:space="preserve"> page.
2. When another record is selected, the textboxes must be </t>
    </r>
    <r>
      <rPr>
        <b/>
        <sz val="11"/>
        <color theme="1"/>
        <rFont val="Calibri"/>
        <family val="2"/>
        <scheme val="minor"/>
      </rPr>
      <t>refreshed and updated</t>
    </r>
    <r>
      <rPr>
        <sz val="11"/>
        <color theme="1"/>
        <rFont val="Calibri"/>
        <family val="2"/>
        <scheme val="minor"/>
      </rPr>
      <t xml:space="preserve"> with the newly selected record data.</t>
    </r>
  </si>
  <si>
    <t>1. The selected record from the left-panel list is correctly displayed in the corresponding textboxes.
2. When another record is selected, the textboxes are refreshed and updated with the newly selected data.</t>
  </si>
  <si>
    <t>EDI_Country_05</t>
  </si>
  <si>
    <r>
      <rPr>
        <b/>
        <sz val="11"/>
        <color theme="1"/>
        <rFont val="Calibri"/>
        <family val="2"/>
        <scheme val="minor"/>
      </rPr>
      <t>Textbox</t>
    </r>
    <r>
      <rPr>
        <sz val="11"/>
        <color theme="1"/>
        <rFont val="Calibri"/>
        <family val="2"/>
        <scheme val="minor"/>
      </rPr>
      <t xml:space="preserve"> - Country Code
</t>
    </r>
    <r>
      <rPr>
        <b/>
        <sz val="11"/>
        <color theme="1"/>
        <rFont val="Calibri"/>
        <family val="2"/>
        <scheme val="minor"/>
      </rPr>
      <t>Valid Data</t>
    </r>
    <r>
      <rPr>
        <sz val="11"/>
        <color theme="1"/>
        <rFont val="Calibri"/>
        <family val="2"/>
        <scheme val="minor"/>
      </rPr>
      <t xml:space="preserve"> - Alphabetic value 
</t>
    </r>
    <r>
      <rPr>
        <b/>
        <sz val="11"/>
        <color theme="1"/>
        <rFont val="Calibri"/>
        <family val="2"/>
        <scheme val="minor"/>
      </rPr>
      <t xml:space="preserve">Invalid Data </t>
    </r>
    <r>
      <rPr>
        <sz val="11"/>
        <color theme="1"/>
        <rFont val="Calibri"/>
        <family val="2"/>
        <scheme val="minor"/>
      </rPr>
      <t xml:space="preserve">- Numeric Value, Special character value </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</si>
  <si>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Country
</t>
    </r>
    <r>
      <rPr>
        <sz val="11"/>
        <color theme="1"/>
        <rFont val="Calibri"/>
        <family val="2"/>
        <scheme val="minor"/>
      </rPr>
      <t>2. From the left-panel list, select any Country record.
3. Observe the system behaviour.
4. Select another Country record from the left-panel list.
5. Observe the system behaviour again.</t>
    </r>
  </si>
  <si>
    <r>
      <t xml:space="preserve">1. The </t>
    </r>
    <r>
      <rPr>
        <b/>
        <sz val="11"/>
        <color theme="1"/>
        <rFont val="Calibri"/>
        <family val="2"/>
        <scheme val="minor"/>
      </rPr>
      <t>Country Code</t>
    </r>
    <r>
      <rPr>
        <sz val="11"/>
        <color theme="1"/>
        <rFont val="Calibri"/>
        <family val="2"/>
        <scheme val="minor"/>
      </rPr>
      <t xml:space="preserve"> textbox should accept </t>
    </r>
    <r>
      <rPr>
        <b/>
        <sz val="11"/>
        <color theme="1"/>
        <rFont val="Calibri"/>
        <family val="2"/>
        <scheme val="minor"/>
      </rPr>
      <t>only alphabetic values.</t>
    </r>
    <r>
      <rPr>
        <sz val="11"/>
        <color theme="1"/>
        <rFont val="Calibri"/>
        <family val="2"/>
        <scheme val="minor"/>
      </rPr>
      <t xml:space="preserve">
2. The textbox should </t>
    </r>
    <r>
      <rPr>
        <b/>
        <sz val="11"/>
        <color theme="1"/>
        <rFont val="Calibri"/>
        <family val="2"/>
        <scheme val="minor"/>
      </rPr>
      <t>not accept numeric or special character values.</t>
    </r>
    <r>
      <rPr>
        <sz val="11"/>
        <color theme="1"/>
        <rFont val="Calibri"/>
        <family val="2"/>
        <scheme val="minor"/>
      </rPr>
      <t xml:space="preserve">
3. The maximum allowed length for the </t>
    </r>
    <r>
      <rPr>
        <b/>
        <sz val="11"/>
        <color theme="1"/>
        <rFont val="Calibri"/>
        <family val="2"/>
        <scheme val="minor"/>
      </rPr>
      <t>Country Code</t>
    </r>
    <r>
      <rPr>
        <sz val="11"/>
        <color theme="1"/>
        <rFont val="Calibri"/>
        <family val="2"/>
        <scheme val="minor"/>
      </rPr>
      <t xml:space="preserve"> should be 2 characters.
4. The system should not allow saving a duplicate</t>
    </r>
    <r>
      <rPr>
        <b/>
        <sz val="11"/>
        <color theme="1"/>
        <rFont val="Calibri"/>
        <family val="2"/>
        <scheme val="minor"/>
      </rPr>
      <t xml:space="preserve"> Country Code</t>
    </r>
    <r>
      <rPr>
        <sz val="11"/>
        <color theme="1"/>
        <rFont val="Calibri"/>
        <family val="2"/>
        <scheme val="minor"/>
      </rPr>
      <t>.
5. Each Country Code must be unique for every country.</t>
    </r>
  </si>
  <si>
    <t>EDI_Country_06</t>
  </si>
  <si>
    <r>
      <t xml:space="preserve">Validate the functionality of </t>
    </r>
    <r>
      <rPr>
        <b/>
        <sz val="11"/>
        <color theme="1"/>
        <rFont val="Calibri"/>
        <family val="2"/>
        <scheme val="minor"/>
      </rPr>
      <t xml:space="preserve">Country Code </t>
    </r>
    <r>
      <rPr>
        <sz val="11"/>
        <color theme="1"/>
        <rFont val="Calibri"/>
        <family val="2"/>
        <scheme val="minor"/>
      </rPr>
      <t xml:space="preserve">textbox in the </t>
    </r>
    <r>
      <rPr>
        <b/>
        <sz val="11"/>
        <color theme="1"/>
        <rFont val="Calibri"/>
        <family val="2"/>
        <scheme val="minor"/>
      </rPr>
      <t>Country</t>
    </r>
    <r>
      <rPr>
        <sz val="11"/>
        <color theme="1"/>
        <rFont val="Calibri"/>
        <family val="2"/>
        <scheme val="minor"/>
      </rPr>
      <t xml:space="preserve"> Page.</t>
    </r>
  </si>
  <si>
    <r>
      <t xml:space="preserve">Validate the functionality of </t>
    </r>
    <r>
      <rPr>
        <b/>
        <sz val="11"/>
        <color theme="1"/>
        <rFont val="Calibri"/>
        <family val="2"/>
        <scheme val="minor"/>
      </rPr>
      <t xml:space="preserve">Country Name </t>
    </r>
    <r>
      <rPr>
        <sz val="11"/>
        <color theme="1"/>
        <rFont val="Calibri"/>
        <family val="2"/>
        <scheme val="minor"/>
      </rPr>
      <t xml:space="preserve">textbox in the </t>
    </r>
    <r>
      <rPr>
        <b/>
        <sz val="11"/>
        <color theme="1"/>
        <rFont val="Calibri"/>
        <family val="2"/>
        <scheme val="minor"/>
      </rPr>
      <t>Country</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</si>
  <si>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 Country Name
</t>
    </r>
    <r>
      <rPr>
        <b/>
        <sz val="11"/>
        <color theme="1"/>
        <rFont val="Calibri"/>
        <family val="2"/>
        <scheme val="minor"/>
      </rPr>
      <t>Valid Data</t>
    </r>
    <r>
      <rPr>
        <sz val="11"/>
        <color theme="1"/>
        <rFont val="Calibri"/>
        <family val="2"/>
        <scheme val="minor"/>
      </rPr>
      <t xml:space="preserve"> - Alphanumeric values
</t>
    </r>
    <r>
      <rPr>
        <b/>
        <sz val="11"/>
        <color theme="1"/>
        <rFont val="Calibri"/>
        <family val="2"/>
        <scheme val="minor"/>
      </rPr>
      <t xml:space="preserve">Invalid Data </t>
    </r>
    <r>
      <rPr>
        <sz val="11"/>
        <color theme="1"/>
        <rFont val="Calibri"/>
        <family val="2"/>
        <scheme val="minor"/>
      </rPr>
      <t xml:space="preserve">-  Special character value </t>
    </r>
  </si>
  <si>
    <r>
      <t xml:space="preserve">1. The Country Code textbox accepts only alphabetic values.
2. </t>
    </r>
    <r>
      <rPr>
        <b/>
        <sz val="11"/>
        <color theme="1"/>
        <rFont val="Calibri"/>
        <family val="2"/>
        <scheme val="minor"/>
      </rPr>
      <t xml:space="preserve">Numeric values are not accepted; however, special character (` backtick) is accepted
</t>
    </r>
    <r>
      <rPr>
        <sz val="11"/>
        <color theme="1"/>
        <rFont val="Calibri"/>
        <family val="2"/>
        <scheme val="minor"/>
      </rPr>
      <t xml:space="preserve">3. The textbox restricts input to a maximum of 2 characters
4. The system does not allow saving a duplicate </t>
    </r>
    <r>
      <rPr>
        <b/>
        <sz val="11"/>
        <color theme="1"/>
        <rFont val="Calibri"/>
        <family val="2"/>
        <scheme val="minor"/>
      </rPr>
      <t>Country Code. (Record already exists..!!)</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</si>
  <si>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Country
</t>
    </r>
    <r>
      <rPr>
        <sz val="11"/>
        <color theme="1"/>
        <rFont val="Calibri"/>
        <family val="2"/>
        <scheme val="minor"/>
      </rPr>
      <t>2. Locate the</t>
    </r>
    <r>
      <rPr>
        <b/>
        <sz val="11"/>
        <color theme="1"/>
        <rFont val="Calibri"/>
        <family val="2"/>
        <scheme val="minor"/>
      </rPr>
      <t xml:space="preserve"> Country Name </t>
    </r>
    <r>
      <rPr>
        <sz val="11"/>
        <color theme="1"/>
        <rFont val="Calibri"/>
        <family val="2"/>
        <scheme val="minor"/>
      </rPr>
      <t>textbox.
3. Enter valid &amp; Invalid data in the</t>
    </r>
    <r>
      <rPr>
        <b/>
        <sz val="11"/>
        <color theme="1"/>
        <rFont val="Calibri"/>
        <family val="2"/>
        <scheme val="minor"/>
      </rPr>
      <t xml:space="preserve"> Country Name</t>
    </r>
    <r>
      <rPr>
        <sz val="11"/>
        <color theme="1"/>
        <rFont val="Calibri"/>
        <family val="2"/>
        <scheme val="minor"/>
      </rPr>
      <t xml:space="preserve"> textbox.
4. Attempt to save a duplicate </t>
    </r>
    <r>
      <rPr>
        <b/>
        <sz val="11"/>
        <color theme="1"/>
        <rFont val="Calibri"/>
        <family val="2"/>
        <scheme val="minor"/>
      </rPr>
      <t>Country Code</t>
    </r>
    <r>
      <rPr>
        <sz val="11"/>
        <color theme="1"/>
        <rFont val="Calibri"/>
        <family val="2"/>
        <scheme val="minor"/>
      </rPr>
      <t xml:space="preserve"> that already exists.
5. Observe the system behaviour.</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</si>
  <si>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Country
</t>
    </r>
    <r>
      <rPr>
        <sz val="11"/>
        <color theme="1"/>
        <rFont val="Calibri"/>
        <family val="2"/>
        <scheme val="minor"/>
      </rPr>
      <t>2. Locate the</t>
    </r>
    <r>
      <rPr>
        <b/>
        <sz val="11"/>
        <color theme="1"/>
        <rFont val="Calibri"/>
        <family val="2"/>
        <scheme val="minor"/>
      </rPr>
      <t xml:space="preserve"> Country Code </t>
    </r>
    <r>
      <rPr>
        <sz val="11"/>
        <color theme="1"/>
        <rFont val="Calibri"/>
        <family val="2"/>
        <scheme val="minor"/>
      </rPr>
      <t>textbox.
3. Enter valid data in the</t>
    </r>
    <r>
      <rPr>
        <b/>
        <sz val="11"/>
        <color theme="1"/>
        <rFont val="Calibri"/>
        <family val="2"/>
        <scheme val="minor"/>
      </rPr>
      <t xml:space="preserve"> Country Code</t>
    </r>
    <r>
      <rPr>
        <sz val="11"/>
        <color theme="1"/>
        <rFont val="Calibri"/>
        <family val="2"/>
        <scheme val="minor"/>
      </rPr>
      <t xml:space="preserve"> textbox.
4. Enter invalid data in the </t>
    </r>
    <r>
      <rPr>
        <b/>
        <sz val="11"/>
        <color theme="1"/>
        <rFont val="Calibri"/>
        <family val="2"/>
        <scheme val="minor"/>
      </rPr>
      <t>Country Code</t>
    </r>
    <r>
      <rPr>
        <sz val="11"/>
        <color theme="1"/>
        <rFont val="Calibri"/>
        <family val="2"/>
        <scheme val="minor"/>
      </rPr>
      <t xml:space="preserve"> textbox.
5. Try entering more than 2 characters in the </t>
    </r>
    <r>
      <rPr>
        <b/>
        <sz val="11"/>
        <color theme="1"/>
        <rFont val="Calibri"/>
        <family val="2"/>
        <scheme val="minor"/>
      </rPr>
      <t xml:space="preserve">Country Code </t>
    </r>
    <r>
      <rPr>
        <sz val="11"/>
        <color theme="1"/>
        <rFont val="Calibri"/>
        <family val="2"/>
        <scheme val="minor"/>
      </rPr>
      <t xml:space="preserve">textbox.
6. Attempt to save a duplicate </t>
    </r>
    <r>
      <rPr>
        <b/>
        <sz val="11"/>
        <color theme="1"/>
        <rFont val="Calibri"/>
        <family val="2"/>
        <scheme val="minor"/>
      </rPr>
      <t>Country Code</t>
    </r>
    <r>
      <rPr>
        <sz val="11"/>
        <color theme="1"/>
        <rFont val="Calibri"/>
        <family val="2"/>
        <scheme val="minor"/>
      </rPr>
      <t xml:space="preserve"> that already exists.
7. Observe the system behaviour.</t>
    </r>
  </si>
  <si>
    <r>
      <t xml:space="preserve">1. The system should not allow saving a record when both </t>
    </r>
    <r>
      <rPr>
        <b/>
        <sz val="11"/>
        <color theme="1"/>
        <rFont val="Calibri"/>
        <family val="2"/>
        <scheme val="minor"/>
      </rPr>
      <t>Country Code and Country Name</t>
    </r>
    <r>
      <rPr>
        <sz val="11"/>
        <color theme="1"/>
        <rFont val="Calibri"/>
        <family val="2"/>
        <scheme val="minor"/>
      </rPr>
      <t xml:space="preserve"> already exist.
2. The system should allow saving a record when the Country Code is new, even if the </t>
    </r>
    <r>
      <rPr>
        <b/>
        <sz val="11"/>
        <color theme="1"/>
        <rFont val="Calibri"/>
        <family val="2"/>
        <scheme val="minor"/>
      </rPr>
      <t>Country Name</t>
    </r>
    <r>
      <rPr>
        <sz val="11"/>
        <color theme="1"/>
        <rFont val="Calibri"/>
        <family val="2"/>
        <scheme val="minor"/>
      </rPr>
      <t xml:space="preserve"> already exists.
3. The textbox should </t>
    </r>
    <r>
      <rPr>
        <b/>
        <sz val="11"/>
        <color theme="1"/>
        <rFont val="Calibri"/>
        <family val="2"/>
        <scheme val="minor"/>
      </rPr>
      <t>not accept</t>
    </r>
    <r>
      <rPr>
        <sz val="11"/>
        <color theme="1"/>
        <rFont val="Calibri"/>
        <family val="2"/>
        <scheme val="minor"/>
      </rPr>
      <t xml:space="preserve"> </t>
    </r>
    <r>
      <rPr>
        <b/>
        <sz val="11"/>
        <color theme="1"/>
        <rFont val="Calibri"/>
        <family val="2"/>
        <scheme val="minor"/>
      </rPr>
      <t>special character values.</t>
    </r>
    <r>
      <rPr>
        <sz val="11"/>
        <color theme="1"/>
        <rFont val="Calibri"/>
        <family val="2"/>
        <scheme val="minor"/>
      </rPr>
      <t xml:space="preserve">
4. The maximum allowed length for the </t>
    </r>
    <r>
      <rPr>
        <b/>
        <sz val="11"/>
        <color theme="1"/>
        <rFont val="Calibri"/>
        <family val="2"/>
        <scheme val="minor"/>
      </rPr>
      <t>Country Code</t>
    </r>
    <r>
      <rPr>
        <sz val="11"/>
        <color theme="1"/>
        <rFont val="Calibri"/>
        <family val="2"/>
        <scheme val="minor"/>
      </rPr>
      <t xml:space="preserve"> should be 50 characters.</t>
    </r>
  </si>
  <si>
    <r>
      <t>1</t>
    </r>
    <r>
      <rPr>
        <b/>
        <sz val="11"/>
        <color theme="1"/>
        <rFont val="Calibri"/>
        <family val="2"/>
        <scheme val="minor"/>
      </rPr>
      <t xml:space="preserve">. </t>
    </r>
    <r>
      <rPr>
        <sz val="11"/>
        <color theme="1"/>
        <rFont val="Calibri"/>
        <family val="2"/>
        <scheme val="minor"/>
      </rPr>
      <t xml:space="preserve">The system does not allow saving a record when both Country Code and Country Name already exist in the system. </t>
    </r>
    <r>
      <rPr>
        <b/>
        <sz val="11"/>
        <color theme="1"/>
        <rFont val="Calibri"/>
        <family val="2"/>
        <scheme val="minor"/>
      </rPr>
      <t>Example:
 -&gt; Existing record: BT – Bhutan
 -&gt; Attempt to save BT – Bhutan → ❌ Record is not saved.</t>
    </r>
    <r>
      <rPr>
        <sz val="11"/>
        <color theme="1"/>
        <rFont val="Calibri"/>
        <family val="2"/>
        <scheme val="minor"/>
      </rPr>
      <t xml:space="preserve">
2.When a new (non-existing) Country Code is entered with an existing Country Name, the record is saved successfully. </t>
    </r>
    <r>
      <rPr>
        <b/>
        <sz val="11"/>
        <color theme="1"/>
        <rFont val="Calibri"/>
        <family val="2"/>
        <scheme val="minor"/>
      </rPr>
      <t>Example:
Existing record: BT – Bhutan
Attempt to save YZ – Bhutan → ✅ Record is saved (since Country Code YZ does not exist).</t>
    </r>
    <r>
      <rPr>
        <sz val="11"/>
        <color theme="1"/>
        <rFont val="Calibri"/>
        <family val="2"/>
        <scheme val="minor"/>
      </rPr>
      <t xml:space="preserve">
3. When an existing Country Code is entered with any Country Name, the record is not saved. </t>
    </r>
    <r>
      <rPr>
        <b/>
        <sz val="11"/>
        <color theme="1"/>
        <rFont val="Calibri"/>
        <family val="2"/>
        <scheme val="minor"/>
      </rPr>
      <t>Example:
Existing record: IN – India
Attempt to save IN – Bhutan → ❌ Record is not saved.</t>
    </r>
    <r>
      <rPr>
        <sz val="11"/>
        <color theme="1"/>
        <rFont val="Calibri"/>
        <family val="2"/>
        <scheme val="minor"/>
      </rPr>
      <t xml:space="preserve">
4. The Country Name textbox accepts alphanumeric values.
5. </t>
    </r>
    <r>
      <rPr>
        <b/>
        <sz val="11"/>
        <color theme="1"/>
        <rFont val="Calibri"/>
        <family val="2"/>
        <scheme val="minor"/>
      </rPr>
      <t>In special characters, the textbox accepts only ` and ~, while all other special characters are blocked</t>
    </r>
    <r>
      <rPr>
        <sz val="11"/>
        <color theme="1"/>
        <rFont val="Calibri"/>
        <family val="2"/>
        <scheme val="minor"/>
      </rPr>
      <t>.
6.The 50-character maximum length restriction for the Country Name textbox is implemented correctly.</t>
    </r>
  </si>
  <si>
    <t>EDI_Country_07</t>
  </si>
  <si>
    <r>
      <t xml:space="preserve">Validate the functionality of </t>
    </r>
    <r>
      <rPr>
        <b/>
        <sz val="11"/>
        <color theme="1"/>
        <rFont val="Calibri"/>
        <family val="2"/>
        <scheme val="minor"/>
      </rPr>
      <t>Save</t>
    </r>
    <r>
      <rPr>
        <sz val="11"/>
        <color theme="1"/>
        <rFont val="Calibri"/>
        <family val="2"/>
        <scheme val="minor"/>
      </rPr>
      <t xml:space="preserve"> button When are fields are filled in the </t>
    </r>
    <r>
      <rPr>
        <b/>
        <sz val="11"/>
        <color theme="1"/>
        <rFont val="Calibri"/>
        <family val="2"/>
        <scheme val="minor"/>
      </rPr>
      <t>Country</t>
    </r>
    <r>
      <rPr>
        <sz val="11"/>
        <color theme="1"/>
        <rFont val="Calibri"/>
        <family val="2"/>
        <scheme val="minor"/>
      </rPr>
      <t xml:space="preserve"> Page.</t>
    </r>
  </si>
  <si>
    <r>
      <t xml:space="preserve">1. Navigate to </t>
    </r>
    <r>
      <rPr>
        <b/>
        <sz val="11"/>
        <rFont val="Calibri"/>
        <family val="2"/>
        <scheme val="minor"/>
      </rPr>
      <t xml:space="preserve">Masters -&gt; EDI Master -&gt; Country
</t>
    </r>
    <r>
      <rPr>
        <sz val="11"/>
        <rFont val="Calibri"/>
        <family val="2"/>
        <scheme val="minor"/>
      </rPr>
      <t>2.</t>
    </r>
    <r>
      <rPr>
        <b/>
        <sz val="11"/>
        <rFont val="Calibri"/>
        <family val="2"/>
        <scheme val="minor"/>
      </rPr>
      <t xml:space="preserve"> </t>
    </r>
    <r>
      <rPr>
        <sz val="11"/>
        <rFont val="Calibri"/>
        <family val="2"/>
        <scheme val="minor"/>
      </rPr>
      <t xml:space="preserve">Enter valid data in all fields
3. Click on the </t>
    </r>
    <r>
      <rPr>
        <b/>
        <sz val="11"/>
        <rFont val="Calibri"/>
        <family val="2"/>
        <scheme val="minor"/>
      </rPr>
      <t>Save</t>
    </r>
    <r>
      <rPr>
        <sz val="11"/>
        <rFont val="Calibri"/>
        <family val="2"/>
        <scheme val="minor"/>
      </rPr>
      <t xml:space="preserve"> button.
4. Observe the system behavior.
</t>
    </r>
  </si>
  <si>
    <t xml:space="preserve">1. When all fields are filled with valid data and the Save button is clicked:
 -&gt; The record should be saved successfully.
 -&gt; A success validation message should be displayed.
 -&gt; The saved record should be listed in the left-side panel.
 -&gt; The user should be able to select the newly saved record from the left-side panel
</t>
  </si>
  <si>
    <t>1. When all fields are filled with valid data and the Save button is clicked, the record is saved successfully.
2. The saved record is displayed in the left-side panel.</t>
  </si>
  <si>
    <t>EDI_Country_08</t>
  </si>
  <si>
    <r>
      <t xml:space="preserve">Validate the functionality of </t>
    </r>
    <r>
      <rPr>
        <b/>
        <sz val="11"/>
        <color theme="1"/>
        <rFont val="Calibri"/>
        <family val="2"/>
        <scheme val="minor"/>
      </rPr>
      <t>Save</t>
    </r>
    <r>
      <rPr>
        <sz val="11"/>
        <color theme="1"/>
        <rFont val="Calibri"/>
        <family val="2"/>
        <scheme val="minor"/>
      </rPr>
      <t xml:space="preserve"> button When are fields are left blank in the </t>
    </r>
    <r>
      <rPr>
        <b/>
        <sz val="11"/>
        <color theme="1"/>
        <rFont val="Calibri"/>
        <family val="2"/>
        <scheme val="minor"/>
      </rPr>
      <t>Country</t>
    </r>
    <r>
      <rPr>
        <sz val="11"/>
        <color theme="1"/>
        <rFont val="Calibri"/>
        <family val="2"/>
        <scheme val="minor"/>
      </rPr>
      <t xml:space="preserve"> Page.</t>
    </r>
  </si>
  <si>
    <r>
      <t xml:space="preserve">1. Navigate to </t>
    </r>
    <r>
      <rPr>
        <b/>
        <sz val="11"/>
        <rFont val="Calibri"/>
        <family val="2"/>
        <scheme val="minor"/>
      </rPr>
      <t xml:space="preserve">Masters -&gt; EDI Master -&gt; Country
</t>
    </r>
    <r>
      <rPr>
        <sz val="11"/>
        <rFont val="Calibri"/>
        <family val="2"/>
        <scheme val="minor"/>
      </rPr>
      <t>2.</t>
    </r>
    <r>
      <rPr>
        <b/>
        <sz val="11"/>
        <rFont val="Calibri"/>
        <family val="2"/>
        <scheme val="minor"/>
      </rPr>
      <t xml:space="preserve"> </t>
    </r>
    <r>
      <rPr>
        <sz val="11"/>
        <rFont val="Calibri"/>
        <family val="2"/>
        <scheme val="minor"/>
      </rPr>
      <t xml:space="preserve">Leave all fields blank.
4. Click on the Save button.
5. Observe the system behavior.
</t>
    </r>
  </si>
  <si>
    <r>
      <t xml:space="preserve">1. Record is not saved </t>
    </r>
    <r>
      <rPr>
        <b/>
        <sz val="11"/>
        <color theme="1"/>
        <rFont val="Calibri"/>
        <family val="2"/>
        <scheme val="minor"/>
      </rPr>
      <t>when mandatory fields are left blank.</t>
    </r>
    <r>
      <rPr>
        <sz val="11"/>
        <color theme="1"/>
        <rFont val="Calibri"/>
        <family val="2"/>
        <scheme val="minor"/>
      </rPr>
      <t xml:space="preserve">
2. Validation messages are displayed for all mandatory fields.
</t>
    </r>
  </si>
  <si>
    <r>
      <t xml:space="preserve">1. Record should not be saved </t>
    </r>
    <r>
      <rPr>
        <b/>
        <sz val="11"/>
        <color theme="1"/>
        <rFont val="Calibri"/>
        <family val="2"/>
        <scheme val="minor"/>
      </rPr>
      <t>if any mandatory fields are left blank.</t>
    </r>
    <r>
      <rPr>
        <sz val="11"/>
        <color theme="1"/>
        <rFont val="Calibri"/>
        <family val="2"/>
        <scheme val="minor"/>
      </rPr>
      <t xml:space="preserve">
2. Validation messages should be displayed for each mandatory field at the respective textbox level.
3. Validation messages should appear in the same sequence as the textbox order on the page.
4. After filling all mandatory fields with valid data:
 -&gt; Record should be saved successfully.
5. A success confirmation message should be displayed.
6. Saved record should appear in the left-side panel list.
7. Saved record should be searchable and selectable from the list.</t>
    </r>
  </si>
  <si>
    <t>EDI_Country_09</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</si>
  <si>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Country </t>
    </r>
    <r>
      <rPr>
        <sz val="11"/>
        <color theme="1"/>
        <rFont val="Calibri"/>
        <family val="2"/>
        <scheme val="minor"/>
      </rPr>
      <t>page.</t>
    </r>
  </si>
  <si>
    <t xml:space="preserve">Need discussion on this </t>
  </si>
  <si>
    <t>EDI_Country_10</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</si>
  <si>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Country </t>
    </r>
    <r>
      <rPr>
        <sz val="11"/>
        <color theme="1"/>
        <rFont val="Calibri"/>
        <family val="2"/>
        <scheme val="minor"/>
      </rPr>
      <t>page.</t>
    </r>
  </si>
  <si>
    <r>
      <t xml:space="preserve">1. Navigate to </t>
    </r>
    <r>
      <rPr>
        <b/>
        <sz val="11"/>
        <color theme="1"/>
        <rFont val="Calibri"/>
        <family val="2"/>
        <scheme val="minor"/>
      </rPr>
      <t>Masters → EDI Master → Country</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</si>
  <si>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EDI_Country_11</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</si>
  <si>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Country </t>
    </r>
    <r>
      <rPr>
        <sz val="11"/>
        <color theme="1"/>
        <rFont val="Calibri"/>
        <family val="2"/>
        <scheme val="minor"/>
      </rPr>
      <t>page.</t>
    </r>
  </si>
  <si>
    <r>
      <t xml:space="preserve">1. Navigate to </t>
    </r>
    <r>
      <rPr>
        <b/>
        <sz val="11"/>
        <color theme="1"/>
        <rFont val="Calibri"/>
        <family val="2"/>
        <scheme val="minor"/>
      </rPr>
      <t>Masters → EDI Master → Country
2</t>
    </r>
    <r>
      <rPr>
        <sz val="11"/>
        <color theme="1"/>
        <rFont val="Calibri"/>
        <family val="2"/>
        <scheme val="minor"/>
      </rPr>
      <t>. Enter valid data in all required input fields and click Save.
3. From the left-side list, select the recently saved record.
4. Observe the value displayed in the Entered By textbox.</t>
    </r>
  </si>
  <si>
    <t>EDI_Country_12</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</si>
  <si>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Country</t>
    </r>
    <r>
      <rPr>
        <sz val="11"/>
        <color theme="1"/>
        <rFont val="Calibri"/>
        <family val="2"/>
        <scheme val="minor"/>
      </rPr>
      <t xml:space="preserve"> Page.</t>
    </r>
  </si>
  <si>
    <r>
      <t xml:space="preserve">1. Navigate to </t>
    </r>
    <r>
      <rPr>
        <b/>
        <sz val="11"/>
        <color theme="1"/>
        <rFont val="Calibri"/>
        <family val="2"/>
        <scheme val="minor"/>
      </rPr>
      <t xml:space="preserve">Masters → EDI Master → Country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</si>
  <si>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t>EDI_Country_13</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</si>
  <si>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Country</t>
    </r>
    <r>
      <rPr>
        <sz val="11"/>
        <color theme="1"/>
        <rFont val="Calibri"/>
        <family val="2"/>
        <scheme val="minor"/>
      </rPr>
      <t xml:space="preserve"> Page.</t>
    </r>
  </si>
  <si>
    <r>
      <t xml:space="preserve">1. Navigate to </t>
    </r>
    <r>
      <rPr>
        <b/>
        <sz val="11"/>
        <color theme="1"/>
        <rFont val="Calibri"/>
        <family val="2"/>
        <scheme val="minor"/>
      </rPr>
      <t>Masters -&gt; EDI Master -&gt; Country
2</t>
    </r>
    <r>
      <rPr>
        <sz val="11"/>
        <color theme="1"/>
        <rFont val="Calibri"/>
        <family val="2"/>
        <scheme val="minor"/>
      </rPr>
      <t xml:space="preserve">. From the left-side panel, select any saved record.
3. Modify any field value and Click the modify button.
4. Re-select the same record from the left-side panel and observe the value displayed in the </t>
    </r>
    <r>
      <rPr>
        <b/>
        <sz val="11"/>
        <color theme="1"/>
        <rFont val="Calibri"/>
        <family val="2"/>
        <scheme val="minor"/>
      </rPr>
      <t>Modified By</t>
    </r>
    <r>
      <rPr>
        <sz val="11"/>
        <color theme="1"/>
        <rFont val="Calibri"/>
        <family val="2"/>
        <scheme val="minor"/>
      </rPr>
      <t xml:space="preserve"> textbox.</t>
    </r>
  </si>
  <si>
    <t>EDI_Country_14</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</si>
  <si>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Country</t>
    </r>
    <r>
      <rPr>
        <sz val="11"/>
        <color theme="1"/>
        <rFont val="Calibri"/>
        <family val="2"/>
        <scheme val="minor"/>
      </rPr>
      <t xml:space="preserve"> Page.</t>
    </r>
  </si>
  <si>
    <r>
      <t xml:space="preserve">1. Navigate to </t>
    </r>
    <r>
      <rPr>
        <b/>
        <sz val="11"/>
        <color theme="1"/>
        <rFont val="Calibri"/>
        <family val="2"/>
        <scheme val="minor"/>
      </rPr>
      <t xml:space="preserve">Masters -&gt; EDI Master -&gt; Country
</t>
    </r>
    <r>
      <rPr>
        <sz val="11"/>
        <color theme="1"/>
        <rFont val="Calibri"/>
        <family val="2"/>
        <scheme val="minor"/>
      </rPr>
      <t xml:space="preserve">2. From the left-side panel, select any saved record.
3. Modify any field value and Click the modify button.
4. Re-select the same record from the left-side list and observe the value displayed in the </t>
    </r>
    <r>
      <rPr>
        <b/>
        <sz val="11"/>
        <color theme="1"/>
        <rFont val="Calibri"/>
        <family val="2"/>
        <scheme val="minor"/>
      </rPr>
      <t>Modified Date</t>
    </r>
    <r>
      <rPr>
        <sz val="11"/>
        <color theme="1"/>
        <rFont val="Calibri"/>
        <family val="2"/>
        <scheme val="minor"/>
      </rPr>
      <t xml:space="preserve"> textbox.</t>
    </r>
  </si>
  <si>
    <t xml:space="preserve">EDI Master --&gt; Licence Master New
</t>
  </si>
  <si>
    <t>Licence_M_New_01</t>
  </si>
  <si>
    <t>EDI Master -&gt; Licence Master New</t>
  </si>
  <si>
    <r>
      <t xml:space="preserve">Validate the functionality of </t>
    </r>
    <r>
      <rPr>
        <b/>
        <sz val="11"/>
        <color theme="1"/>
        <rFont val="Calibri"/>
        <family val="2"/>
        <scheme val="minor"/>
      </rPr>
      <t xml:space="preserve">Country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</si>
  <si>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Validate the functionality of </t>
    </r>
    <r>
      <rPr>
        <b/>
        <sz val="11"/>
        <color theme="1"/>
        <rFont val="Calibri"/>
        <family val="2"/>
        <scheme val="minor"/>
      </rPr>
      <t>Licence Master New</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</si>
  <si>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Licence Master New</t>
    </r>
  </si>
  <si>
    <r>
      <t xml:space="preserve">1. On Mouse Hovering action on </t>
    </r>
    <r>
      <rPr>
        <b/>
        <sz val="11"/>
        <color theme="1"/>
        <rFont val="Calibri"/>
        <family val="2"/>
        <scheme val="minor"/>
      </rPr>
      <t xml:space="preserve">Masters -&gt; EDI Master -&gt; Licence Master New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</si>
  <si>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Licence Master New</t>
    </r>
    <r>
      <rPr>
        <sz val="11"/>
        <color theme="1"/>
        <rFont val="Calibri"/>
        <family val="2"/>
        <scheme val="minor"/>
      </rPr>
      <t xml:space="preserve"> Page is opening properly.</t>
    </r>
  </si>
  <si>
    <t>Licence_M_New_02</t>
  </si>
  <si>
    <t>Filter By Dropdown Value:
 -&gt; IEC
 -&gt; Name</t>
  </si>
  <si>
    <r>
      <t xml:space="preserve">1. Navigate to </t>
    </r>
    <r>
      <rPr>
        <b/>
        <sz val="11"/>
        <color theme="1"/>
        <rFont val="Calibri"/>
        <family val="2"/>
        <scheme val="minor"/>
      </rPr>
      <t>Masters → EDI Master → Licence Master New</t>
    </r>
    <r>
      <rPr>
        <sz val="11"/>
        <color theme="1"/>
        <rFont val="Calibri"/>
        <family val="2"/>
        <scheme val="minor"/>
      </rPr>
      <t xml:space="preserve"> 
2. Locate the</t>
    </r>
    <r>
      <rPr>
        <b/>
        <sz val="11"/>
        <color theme="1"/>
        <rFont val="Calibri"/>
        <family val="2"/>
        <scheme val="minor"/>
      </rPr>
      <t xml:space="preserve"> Filter By dropdown and Autosuggest</t>
    </r>
    <r>
      <rPr>
        <sz val="11"/>
        <color theme="1"/>
        <rFont val="Calibri"/>
        <family val="2"/>
        <scheme val="minor"/>
      </rPr>
      <t xml:space="preserve"> textbox.
3. Select</t>
    </r>
    <r>
      <rPr>
        <b/>
        <sz val="11"/>
        <color theme="1"/>
        <rFont val="Calibri"/>
        <family val="2"/>
        <scheme val="minor"/>
      </rPr>
      <t xml:space="preserve"> IEC from the Filter By dropdown</t>
    </r>
    <r>
      <rPr>
        <sz val="11"/>
        <color theme="1"/>
        <rFont val="Calibri"/>
        <family val="2"/>
        <scheme val="minor"/>
      </rPr>
      <t>.
4. Enter (%) symbol in the Autosuggest textbox.
5. Observe the autosuggest values displayed.
6. Select any value from the autosuggest list.
7. Click on the Search button.
8. Change the Filter By dropdown value to Name.
9. Enter (%) symbol again in the Autosuggest textbox.
10. Observe the autosuggest values displayed.
11. Select any value from the autosuggest list.
12. Click on the Search button.</t>
    </r>
  </si>
  <si>
    <r>
      <t xml:space="preserve">1. When </t>
    </r>
    <r>
      <rPr>
        <b/>
        <sz val="11"/>
        <color theme="1"/>
        <rFont val="Calibri"/>
        <family val="2"/>
        <scheme val="minor"/>
      </rPr>
      <t>Filter By dropdown is set to IEC</t>
    </r>
    <r>
      <rPr>
        <sz val="11"/>
        <color theme="1"/>
        <rFont val="Calibri"/>
        <family val="2"/>
        <scheme val="minor"/>
      </rPr>
      <t xml:space="preserve">, the Autosuggest textbox should display IEC values only when triggered using the (%) symbol.
2. When </t>
    </r>
    <r>
      <rPr>
        <b/>
        <sz val="11"/>
        <color theme="1"/>
        <rFont val="Calibri"/>
        <family val="2"/>
        <scheme val="minor"/>
      </rPr>
      <t>Filter By dropdown is set to Name</t>
    </r>
    <r>
      <rPr>
        <sz val="11"/>
        <color theme="1"/>
        <rFont val="Calibri"/>
        <family val="2"/>
        <scheme val="minor"/>
      </rPr>
      <t>, the Autosuggest textbox should display Name values only when triggered using the (%) symbol.
3. User should be able to select any value from the autosuggest list.
4. On clicking the Search button:
 -&gt; Relevant data related to the selected value should be displayed in the grid.
 -&gt; If no data is available, the grid should be displayed as blank.
5. On changing the Filter By dropdown value, the Autosuggest textbox should update and suggest values based on the selected filter.</t>
    </r>
  </si>
  <si>
    <r>
      <t xml:space="preserve">1. The </t>
    </r>
    <r>
      <rPr>
        <b/>
        <sz val="11"/>
        <color theme="1"/>
        <rFont val="Calibri"/>
        <family val="2"/>
        <scheme val="minor"/>
      </rPr>
      <t>Filter By dropdown is displayed</t>
    </r>
    <r>
      <rPr>
        <sz val="11"/>
        <color theme="1"/>
        <rFont val="Calibri"/>
        <family val="2"/>
        <scheme val="minor"/>
      </rPr>
      <t xml:space="preserve"> and working correctly.
2. When IEC is selected in the Filter By dropdown and the (%) symbol is entered in the Autosuggest textbox:
 -&gt; Only IEC-related values are displayed in the autosuggest list.
3. When Name is selected in the Filter By dropdown and the (%) symbol is entered in the Autosuggest textbox:
 -&gt; Only Name-related values are displayed in the autosuggest list.
4. User is able to select any value from the autosuggest list successfully.
5. On clicking the Search button:
 -&gt; The grid displays data related to the selected value.
 -&gt; If no data is available, the grid is displayed as blank.
6. When the Filter By dropdown value is changed, the Autosuggest textbox updates correctly and suggests values based on the selected filter.
</t>
    </r>
    <r>
      <rPr>
        <b/>
        <sz val="11"/>
        <color theme="1"/>
        <rFont val="Calibri"/>
        <family val="2"/>
        <scheme val="minor"/>
      </rPr>
      <t xml:space="preserve">Note: Placeholder value is default set IEC in Dropdown textbox, It should be dynamic based on value selection </t>
    </r>
  </si>
  <si>
    <t>Licence_M_New_04</t>
  </si>
  <si>
    <r>
      <t xml:space="preserve">Validate the functionality of </t>
    </r>
    <r>
      <rPr>
        <b/>
        <sz val="11"/>
        <color theme="1"/>
        <rFont val="Calibri"/>
        <family val="2"/>
        <scheme val="minor"/>
      </rPr>
      <t xml:space="preserve">Filter By dropdown and Autosuggest textbox </t>
    </r>
    <r>
      <rPr>
        <sz val="11"/>
        <color theme="1"/>
        <rFont val="Calibri"/>
        <family val="2"/>
        <scheme val="minor"/>
      </rPr>
      <t xml:space="preserve">in the </t>
    </r>
    <r>
      <rPr>
        <b/>
        <sz val="11"/>
        <color theme="1"/>
        <rFont val="Calibri"/>
        <family val="2"/>
        <scheme val="minor"/>
      </rPr>
      <t>Licence Master New</t>
    </r>
    <r>
      <rPr>
        <sz val="11"/>
        <color theme="1"/>
        <rFont val="Calibri"/>
        <family val="2"/>
        <scheme val="minor"/>
      </rPr>
      <t xml:space="preserve"> Page.</t>
    </r>
  </si>
  <si>
    <t>Licence_M_New_03</t>
  </si>
  <si>
    <r>
      <t>Validate the functionality of</t>
    </r>
    <r>
      <rPr>
        <b/>
        <sz val="11"/>
        <color theme="1"/>
        <rFont val="Calibri"/>
        <family val="2"/>
        <scheme val="minor"/>
      </rPr>
      <t xml:space="preserve"> Regn. No. Autosuggest textbox</t>
    </r>
    <r>
      <rPr>
        <sz val="11"/>
        <color theme="1"/>
        <rFont val="Calibri"/>
        <family val="2"/>
        <scheme val="minor"/>
      </rPr>
      <t xml:space="preserve"> </t>
    </r>
    <r>
      <rPr>
        <b/>
        <sz val="11"/>
        <color theme="1"/>
        <rFont val="Calibri"/>
        <family val="2"/>
        <scheme val="minor"/>
      </rPr>
      <t>without using Filter By dropdown</t>
    </r>
    <r>
      <rPr>
        <sz val="11"/>
        <color theme="1"/>
        <rFont val="Calibri"/>
        <family val="2"/>
        <scheme val="minor"/>
      </rPr>
      <t xml:space="preserve"> in the </t>
    </r>
    <r>
      <rPr>
        <b/>
        <sz val="11"/>
        <color theme="1"/>
        <rFont val="Calibri"/>
        <family val="2"/>
        <scheme val="minor"/>
      </rPr>
      <t>Licence Master New</t>
    </r>
    <r>
      <rPr>
        <sz val="11"/>
        <color theme="1"/>
        <rFont val="Calibri"/>
        <family val="2"/>
        <scheme val="minor"/>
      </rPr>
      <t xml:space="preserve"> Page.</t>
    </r>
  </si>
  <si>
    <r>
      <t xml:space="preserve">1. Navigate to </t>
    </r>
    <r>
      <rPr>
        <b/>
        <sz val="11"/>
        <color theme="1"/>
        <rFont val="Calibri"/>
        <family val="2"/>
        <scheme val="minor"/>
      </rPr>
      <t>Masters → EDI Master → Licence Master New</t>
    </r>
    <r>
      <rPr>
        <sz val="11"/>
        <color theme="1"/>
        <rFont val="Calibri"/>
        <family val="2"/>
        <scheme val="minor"/>
      </rPr>
      <t xml:space="preserve">
2. Locate the </t>
    </r>
    <r>
      <rPr>
        <b/>
        <sz val="11"/>
        <color theme="1"/>
        <rFont val="Calibri"/>
        <family val="2"/>
        <scheme val="minor"/>
      </rPr>
      <t xml:space="preserve">Regn. No. </t>
    </r>
    <r>
      <rPr>
        <sz val="11"/>
        <color theme="1"/>
        <rFont val="Calibri"/>
        <family val="2"/>
        <scheme val="minor"/>
      </rPr>
      <t>autosuggest textbox.
3. Enter</t>
    </r>
    <r>
      <rPr>
        <b/>
        <sz val="11"/>
        <color theme="1"/>
        <rFont val="Calibri"/>
        <family val="2"/>
        <scheme val="minor"/>
      </rPr>
      <t xml:space="preserve"> %</t>
    </r>
    <r>
      <rPr>
        <sz val="11"/>
        <color theme="1"/>
        <rFont val="Calibri"/>
        <family val="2"/>
        <scheme val="minor"/>
      </rPr>
      <t xml:space="preserve"> in the</t>
    </r>
    <r>
      <rPr>
        <b/>
        <sz val="11"/>
        <color theme="1"/>
        <rFont val="Calibri"/>
        <family val="2"/>
        <scheme val="minor"/>
      </rPr>
      <t xml:space="preserve"> Regn. No. </t>
    </r>
    <r>
      <rPr>
        <sz val="11"/>
        <color theme="1"/>
        <rFont val="Calibri"/>
        <family val="2"/>
        <scheme val="minor"/>
      </rPr>
      <t xml:space="preserve">textbox.
4. Observe the autosuggest list.
5. Select any </t>
    </r>
    <r>
      <rPr>
        <b/>
        <sz val="11"/>
        <color theme="1"/>
        <rFont val="Calibri"/>
        <family val="2"/>
        <scheme val="minor"/>
      </rPr>
      <t xml:space="preserve">Regn. No. </t>
    </r>
    <r>
      <rPr>
        <sz val="11"/>
        <color theme="1"/>
        <rFont val="Calibri"/>
        <family val="2"/>
        <scheme val="minor"/>
      </rPr>
      <t>value</t>
    </r>
    <r>
      <rPr>
        <b/>
        <sz val="11"/>
        <color theme="1"/>
        <rFont val="Calibri"/>
        <family val="2"/>
        <scheme val="minor"/>
      </rPr>
      <t xml:space="preserve"> </t>
    </r>
    <r>
      <rPr>
        <sz val="11"/>
        <color theme="1"/>
        <rFont val="Calibri"/>
        <family val="2"/>
        <scheme val="minor"/>
      </rPr>
      <t xml:space="preserve">from the autosuggest list.
6. Click on the </t>
    </r>
    <r>
      <rPr>
        <b/>
        <sz val="11"/>
        <color theme="1"/>
        <rFont val="Calibri"/>
        <family val="2"/>
        <scheme val="minor"/>
      </rPr>
      <t>Search</t>
    </r>
    <r>
      <rPr>
        <sz val="11"/>
        <color theme="1"/>
        <rFont val="Calibri"/>
        <family val="2"/>
        <scheme val="minor"/>
      </rPr>
      <t xml:space="preserve"> button.
7. Observe the system behaviour</t>
    </r>
  </si>
  <si>
    <r>
      <t xml:space="preserve">1. </t>
    </r>
    <r>
      <rPr>
        <b/>
        <sz val="11"/>
        <color theme="1"/>
        <rFont val="Calibri"/>
        <family val="2"/>
        <scheme val="minor"/>
      </rPr>
      <t>Regn. No.</t>
    </r>
    <r>
      <rPr>
        <sz val="11"/>
        <color theme="1"/>
        <rFont val="Calibri"/>
        <family val="2"/>
        <scheme val="minor"/>
      </rPr>
      <t xml:space="preserve"> autosuggest list should be displayed when </t>
    </r>
    <r>
      <rPr>
        <b/>
        <sz val="11"/>
        <color theme="1"/>
        <rFont val="Calibri"/>
        <family val="2"/>
        <scheme val="minor"/>
      </rPr>
      <t>%</t>
    </r>
    <r>
      <rPr>
        <sz val="11"/>
        <color theme="1"/>
        <rFont val="Calibri"/>
        <family val="2"/>
        <scheme val="minor"/>
      </rPr>
      <t xml:space="preserve"> is entered in the textbox.
2. User should be able to select any </t>
    </r>
    <r>
      <rPr>
        <b/>
        <sz val="11"/>
        <color theme="1"/>
        <rFont val="Calibri"/>
        <family val="2"/>
        <scheme val="minor"/>
      </rPr>
      <t>Regn. No</t>
    </r>
    <r>
      <rPr>
        <sz val="11"/>
        <color theme="1"/>
        <rFont val="Calibri"/>
        <family val="2"/>
        <scheme val="minor"/>
      </rPr>
      <t xml:space="preserve"> value. 
3. On clicking Search, selected </t>
    </r>
    <r>
      <rPr>
        <b/>
        <sz val="11"/>
        <color theme="1"/>
        <rFont val="Calibri"/>
        <family val="2"/>
        <scheme val="minor"/>
      </rPr>
      <t xml:space="preserve">Regn. No. </t>
    </r>
    <r>
      <rPr>
        <sz val="11"/>
        <color theme="1"/>
        <rFont val="Calibri"/>
        <family val="2"/>
        <scheme val="minor"/>
      </rPr>
      <t>related data should be displayed in the grid.</t>
    </r>
  </si>
  <si>
    <t>Regn. No. autosuggest works correctly when % is entered without using Filter By.</t>
  </si>
  <si>
    <r>
      <t xml:space="preserve">Validate the functionality of </t>
    </r>
    <r>
      <rPr>
        <b/>
        <sz val="11"/>
        <color theme="1"/>
        <rFont val="Calibri"/>
        <family val="2"/>
        <scheme val="minor"/>
      </rPr>
      <t>Regn. No. Autosuggest textbox</t>
    </r>
    <r>
      <rPr>
        <sz val="11"/>
        <color theme="1"/>
        <rFont val="Calibri"/>
        <family val="2"/>
        <scheme val="minor"/>
      </rPr>
      <t xml:space="preserve"> with </t>
    </r>
    <r>
      <rPr>
        <b/>
        <sz val="11"/>
        <color theme="1"/>
        <rFont val="Calibri"/>
        <family val="2"/>
        <scheme val="minor"/>
      </rPr>
      <t>Filter By dropdown selection</t>
    </r>
    <r>
      <rPr>
        <sz val="11"/>
        <color theme="1"/>
        <rFont val="Calibri"/>
        <family val="2"/>
        <scheme val="minor"/>
      </rPr>
      <t xml:space="preserve"> in the</t>
    </r>
    <r>
      <rPr>
        <b/>
        <sz val="11"/>
        <color theme="1"/>
        <rFont val="Calibri"/>
        <family val="2"/>
        <scheme val="minor"/>
      </rPr>
      <t xml:space="preserve"> Licence Master New </t>
    </r>
    <r>
      <rPr>
        <sz val="11"/>
        <color theme="1"/>
        <rFont val="Calibri"/>
        <family val="2"/>
        <scheme val="minor"/>
      </rPr>
      <t>Page.</t>
    </r>
  </si>
  <si>
    <r>
      <t xml:space="preserve">Scenario 1: </t>
    </r>
    <r>
      <rPr>
        <b/>
        <sz val="11"/>
        <color theme="1"/>
        <rFont val="Calibri"/>
        <family val="2"/>
        <scheme val="minor"/>
      </rPr>
      <t>Regn. No. Autosuggest with Filter By = IEC</t>
    </r>
    <r>
      <rPr>
        <sz val="11"/>
        <color theme="1"/>
        <rFont val="Calibri"/>
        <family val="2"/>
        <scheme val="minor"/>
      </rPr>
      <t xml:space="preserve">
1. Select</t>
    </r>
    <r>
      <rPr>
        <b/>
        <sz val="11"/>
        <color theme="1"/>
        <rFont val="Calibri"/>
        <family val="2"/>
        <scheme val="minor"/>
      </rPr>
      <t xml:space="preserve"> IEC</t>
    </r>
    <r>
      <rPr>
        <sz val="11"/>
        <color theme="1"/>
        <rFont val="Calibri"/>
        <family val="2"/>
        <scheme val="minor"/>
      </rPr>
      <t xml:space="preserve"> from the </t>
    </r>
    <r>
      <rPr>
        <b/>
        <sz val="11"/>
        <color theme="1"/>
        <rFont val="Calibri"/>
        <family val="2"/>
        <scheme val="minor"/>
      </rPr>
      <t>Filter By dropdown.</t>
    </r>
    <r>
      <rPr>
        <sz val="11"/>
        <color theme="1"/>
        <rFont val="Calibri"/>
        <family val="2"/>
        <scheme val="minor"/>
      </rPr>
      <t xml:space="preserve">
2. Enter</t>
    </r>
    <r>
      <rPr>
        <b/>
        <sz val="11"/>
        <color theme="1"/>
        <rFont val="Calibri"/>
        <family val="2"/>
        <scheme val="minor"/>
      </rPr>
      <t xml:space="preserve"> %</t>
    </r>
    <r>
      <rPr>
        <sz val="11"/>
        <color theme="1"/>
        <rFont val="Calibri"/>
        <family val="2"/>
        <scheme val="minor"/>
      </rPr>
      <t xml:space="preserve"> in the </t>
    </r>
    <r>
      <rPr>
        <b/>
        <sz val="11"/>
        <color theme="1"/>
        <rFont val="Calibri"/>
        <family val="2"/>
        <scheme val="minor"/>
      </rPr>
      <t>Filter By autosuggest textbox</t>
    </r>
    <r>
      <rPr>
        <sz val="11"/>
        <color theme="1"/>
        <rFont val="Calibri"/>
        <family val="2"/>
        <scheme val="minor"/>
      </rPr>
      <t>.
3. Select any</t>
    </r>
    <r>
      <rPr>
        <b/>
        <sz val="11"/>
        <color theme="1"/>
        <rFont val="Calibri"/>
        <family val="2"/>
        <scheme val="minor"/>
      </rPr>
      <t xml:space="preserve"> IEC value</t>
    </r>
    <r>
      <rPr>
        <sz val="11"/>
        <color theme="1"/>
        <rFont val="Calibri"/>
        <family val="2"/>
        <scheme val="minor"/>
      </rPr>
      <t xml:space="preserve"> from the autosuggest list.
4. Move to the </t>
    </r>
    <r>
      <rPr>
        <b/>
        <sz val="11"/>
        <color theme="1"/>
        <rFont val="Calibri"/>
        <family val="2"/>
        <scheme val="minor"/>
      </rPr>
      <t>Regn. No.</t>
    </r>
    <r>
      <rPr>
        <sz val="11"/>
        <color theme="1"/>
        <rFont val="Calibri"/>
        <family val="2"/>
        <scheme val="minor"/>
      </rPr>
      <t xml:space="preserve"> autosuggest textbox.
5. Enter % in the </t>
    </r>
    <r>
      <rPr>
        <b/>
        <sz val="11"/>
        <color theme="1"/>
        <rFont val="Calibri"/>
        <family val="2"/>
        <scheme val="minor"/>
      </rPr>
      <t>Regn. No.</t>
    </r>
    <r>
      <rPr>
        <sz val="11"/>
        <color theme="1"/>
        <rFont val="Calibri"/>
        <family val="2"/>
        <scheme val="minor"/>
      </rPr>
      <t xml:space="preserve"> textbox.
6. Observe the autosuggest list.
7. Select a </t>
    </r>
    <r>
      <rPr>
        <b/>
        <sz val="11"/>
        <color theme="1"/>
        <rFont val="Calibri"/>
        <family val="2"/>
        <scheme val="minor"/>
      </rPr>
      <t xml:space="preserve">Regn. No. </t>
    </r>
    <r>
      <rPr>
        <sz val="11"/>
        <color theme="1"/>
        <rFont val="Calibri"/>
        <family val="2"/>
        <scheme val="minor"/>
      </rPr>
      <t xml:space="preserve">value.
8. Click on the </t>
    </r>
    <r>
      <rPr>
        <b/>
        <sz val="11"/>
        <color theme="1"/>
        <rFont val="Calibri"/>
        <family val="2"/>
        <scheme val="minor"/>
      </rPr>
      <t>Search</t>
    </r>
    <r>
      <rPr>
        <sz val="11"/>
        <color theme="1"/>
        <rFont val="Calibri"/>
        <family val="2"/>
        <scheme val="minor"/>
      </rPr>
      <t xml:space="preserve"> button.
=============================================
</t>
    </r>
    <r>
      <rPr>
        <b/>
        <sz val="11"/>
        <color theme="1"/>
        <rFont val="Calibri"/>
        <family val="2"/>
        <scheme val="minor"/>
      </rPr>
      <t>Scenario 2: Regn. No. Autosuggest with Filter By = Name</t>
    </r>
    <r>
      <rPr>
        <sz val="11"/>
        <color theme="1"/>
        <rFont val="Calibri"/>
        <family val="2"/>
        <scheme val="minor"/>
      </rPr>
      <t xml:space="preserve">
1. Select Name from the Filter By dropdown.
2. Enter % in the Filter By autosuggest textbox.
3. Select any Name value from the autosuggest list.
4. Move to the Regn. No. autosuggest textbox.
5. Enter % in the Regn. No. textbox.
6. Observe the autosuggest list.</t>
    </r>
  </si>
  <si>
    <r>
      <rPr>
        <b/>
        <sz val="11"/>
        <color theme="1"/>
        <rFont val="Calibri"/>
        <family val="2"/>
        <scheme val="minor"/>
      </rPr>
      <t>Scenario 1. (Filter By = IEC)</t>
    </r>
    <r>
      <rPr>
        <sz val="11"/>
        <color theme="1"/>
        <rFont val="Calibri"/>
        <family val="2"/>
        <scheme val="minor"/>
      </rPr>
      <t xml:space="preserve">
1. Filter By autosuggest textbox should display IEC values only.
2. After selecting an IEC value in the Filter By Autosuggest textbox, </t>
    </r>
    <r>
      <rPr>
        <b/>
        <sz val="11"/>
        <color theme="1"/>
        <rFont val="Calibri"/>
        <family val="2"/>
        <scheme val="minor"/>
      </rPr>
      <t xml:space="preserve">Regn. No. </t>
    </r>
    <r>
      <rPr>
        <sz val="11"/>
        <color theme="1"/>
        <rFont val="Calibri"/>
        <family val="2"/>
        <scheme val="minor"/>
      </rPr>
      <t xml:space="preserve">textbox should autosuggest selected IEC value only.
3. On clicking Search, IEC-related selected Regn. No. data should be displayed correctly.
==================================================
</t>
    </r>
    <r>
      <rPr>
        <b/>
        <sz val="11"/>
        <color theme="1"/>
        <rFont val="Calibri"/>
        <family val="2"/>
        <scheme val="minor"/>
      </rPr>
      <t>Scenario 2 (Filter By = Name)</t>
    </r>
    <r>
      <rPr>
        <sz val="11"/>
        <color theme="1"/>
        <rFont val="Calibri"/>
        <family val="2"/>
        <scheme val="minor"/>
      </rPr>
      <t xml:space="preserve">
1. Filter By autosuggest textbox should display Name values only.
2. After selecting a Name value in the Filter By autosuuggest textbox , Regn. No. textbox should autosuggest selected Name  value only.
3. User should be able to select a Regn. No.
4. On clicking Search, Name-related selected Regn. No. data should be displayed correctly.</t>
    </r>
  </si>
  <si>
    <r>
      <rPr>
        <b/>
        <sz val="11"/>
        <color theme="1"/>
        <rFont val="Calibri"/>
        <family val="2"/>
        <scheme val="minor"/>
      </rPr>
      <t>Scenario1.</t>
    </r>
    <r>
      <rPr>
        <sz val="11"/>
        <color theme="1"/>
        <rFont val="Calibri"/>
        <family val="2"/>
        <scheme val="minor"/>
      </rPr>
      <t xml:space="preserve">
1. </t>
    </r>
    <r>
      <rPr>
        <b/>
        <sz val="11"/>
        <color theme="1"/>
        <rFont val="Calibri"/>
        <family val="2"/>
        <scheme val="minor"/>
      </rPr>
      <t>When Filter By = IEC:</t>
    </r>
    <r>
      <rPr>
        <sz val="11"/>
        <color theme="1"/>
        <rFont val="Calibri"/>
        <family val="2"/>
        <scheme val="minor"/>
      </rPr>
      <t xml:space="preserve">
 -&gt; Filter By autosuggest textbox works correctly.
 -&gt; Regn. No. textbox correctly suggests, selected IEC-related Regn. No. values only.
 -&gt; Search displays correct data.
===================================================
</t>
    </r>
    <r>
      <rPr>
        <b/>
        <sz val="11"/>
        <color theme="1"/>
        <rFont val="Calibri"/>
        <family val="2"/>
        <scheme val="minor"/>
      </rPr>
      <t>Scenario2.
2. When Filter By = Name:</t>
    </r>
    <r>
      <rPr>
        <sz val="11"/>
        <color theme="1"/>
        <rFont val="Calibri"/>
        <family val="2"/>
        <scheme val="minor"/>
      </rPr>
      <t xml:space="preserve">
 -&gt; Filter By autosuggest textbox works correctly.
 -&gt; </t>
    </r>
    <r>
      <rPr>
        <b/>
        <sz val="11"/>
        <color theme="1"/>
        <rFont val="Calibri"/>
        <family val="2"/>
        <scheme val="minor"/>
      </rPr>
      <t>Regn. No. autosuggest textbox does NOT display any values after selecting a Name.</t>
    </r>
    <r>
      <rPr>
        <sz val="11"/>
        <color theme="1"/>
        <rFont val="Calibri"/>
        <family val="2"/>
        <scheme val="minor"/>
      </rPr>
      <t xml:space="preserve">
 -&gt; User is unable to select Regn. No. based on Name filter.</t>
    </r>
  </si>
  <si>
    <t>Licence_M_New_05</t>
  </si>
  <si>
    <r>
      <t>Validate whether the selected</t>
    </r>
    <r>
      <rPr>
        <b/>
        <sz val="11"/>
        <color theme="1"/>
        <rFont val="Calibri"/>
        <family val="2"/>
        <scheme val="minor"/>
      </rPr>
      <t xml:space="preserve"> Record</t>
    </r>
    <r>
      <rPr>
        <sz val="11"/>
        <color theme="1"/>
        <rFont val="Calibri"/>
        <family val="2"/>
        <scheme val="minor"/>
      </rPr>
      <t xml:space="preserve"> from the left-side grid are correctly reflected in the corresponding textboxes on the </t>
    </r>
    <r>
      <rPr>
        <b/>
        <sz val="11"/>
        <color theme="1"/>
        <rFont val="Calibri"/>
        <family val="2"/>
        <scheme val="minor"/>
      </rPr>
      <t>Licence Master New</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</si>
  <si>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Licence Master New
</t>
    </r>
    <r>
      <rPr>
        <sz val="11"/>
        <color theme="1"/>
        <rFont val="Calibri"/>
        <family val="2"/>
        <scheme val="minor"/>
      </rPr>
      <t>2. From the left-side grid list, select any record.
3. Observe the system behaviour.
4. Select another record from the left-side grid list.
5. Observe the system behaviour again.</t>
    </r>
  </si>
  <si>
    <r>
      <t xml:space="preserve">1. The selected record from the left-grid list must be displayed correctly in the corresponding textboxes on the </t>
    </r>
    <r>
      <rPr>
        <b/>
        <sz val="11"/>
        <color theme="1"/>
        <rFont val="Calibri"/>
        <family val="2"/>
        <scheme val="minor"/>
      </rPr>
      <t>Licence Master New</t>
    </r>
    <r>
      <rPr>
        <sz val="11"/>
        <color theme="1"/>
        <rFont val="Calibri"/>
        <family val="2"/>
        <scheme val="minor"/>
      </rPr>
      <t xml:space="preserve"> page.
2. When another record is selected, the textboxes must be </t>
    </r>
    <r>
      <rPr>
        <b/>
        <sz val="11"/>
        <color theme="1"/>
        <rFont val="Calibri"/>
        <family val="2"/>
        <scheme val="minor"/>
      </rPr>
      <t>refreshed and updated</t>
    </r>
    <r>
      <rPr>
        <sz val="11"/>
        <color theme="1"/>
        <rFont val="Calibri"/>
        <family val="2"/>
        <scheme val="minor"/>
      </rPr>
      <t xml:space="preserve"> with the newly selected record data.</t>
    </r>
  </si>
  <si>
    <t>1. The selected record from the left-grid list is correctly displayed in the corresponding textboxes on the Licence Master New page.
2. When another record is selected, the textboxes are refreshed and updated with the newly selected data.</t>
  </si>
  <si>
    <t>eSanchit_Code_01</t>
  </si>
  <si>
    <t>EDI Master -&gt; eSanchit Code</t>
  </si>
  <si>
    <r>
      <t xml:space="preserve">Validate the functionality of </t>
    </r>
    <r>
      <rPr>
        <b/>
        <sz val="11"/>
        <color theme="1"/>
        <rFont val="Calibri"/>
        <family val="2"/>
        <scheme val="minor"/>
      </rPr>
      <t>eSanchit Code</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</si>
  <si>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eSanchit Code</t>
    </r>
  </si>
  <si>
    <r>
      <t xml:space="preserve">1. On Mouse Hovering action on </t>
    </r>
    <r>
      <rPr>
        <b/>
        <sz val="11"/>
        <color theme="1"/>
        <rFont val="Calibri"/>
        <family val="2"/>
        <scheme val="minor"/>
      </rPr>
      <t xml:space="preserve">Masters -&gt; EDI Master -&gt; eSanchit Code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</si>
  <si>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eSanchit Code</t>
    </r>
    <r>
      <rPr>
        <sz val="11"/>
        <color theme="1"/>
        <rFont val="Calibri"/>
        <family val="2"/>
        <scheme val="minor"/>
      </rPr>
      <t xml:space="preserve"> Page is opening properly.</t>
    </r>
  </si>
  <si>
    <r>
      <rPr>
        <b/>
        <sz val="10"/>
        <color rgb="FF444746"/>
        <rFont val="Segoe UI"/>
        <family val="2"/>
      </rPr>
      <t>Google Chrome</t>
    </r>
    <r>
      <rPr>
        <sz val="10"/>
        <color rgb="FF444746"/>
        <rFont val="Segoe UI"/>
        <family val="2"/>
      </rPr>
      <t xml:space="preserve"> - ersion 144.0.7559.110 (Official Build) (64-bit)
</t>
    </r>
    <r>
      <rPr>
        <b/>
        <sz val="10"/>
        <color rgb="FF444746"/>
        <rFont val="Segoe UI"/>
        <family val="2"/>
      </rPr>
      <t>Microsoft Edge -</t>
    </r>
    <r>
      <rPr>
        <sz val="10"/>
        <color rgb="FF444746"/>
        <rFont val="Segoe UI"/>
        <family val="2"/>
      </rPr>
      <t xml:space="preserve"> Version 144.0.3719.104 (Official build) (64-bit)</t>
    </r>
  </si>
  <si>
    <t>eSanchit_Code_02</t>
  </si>
  <si>
    <r>
      <t xml:space="preserve">Validate the functionality of </t>
    </r>
    <r>
      <rPr>
        <b/>
        <sz val="11"/>
        <rFont val="Calibri"/>
        <family val="2"/>
        <scheme val="minor"/>
      </rPr>
      <t>Search</t>
    </r>
    <r>
      <rPr>
        <sz val="11"/>
        <rFont val="Calibri"/>
        <family val="2"/>
        <scheme val="minor"/>
      </rPr>
      <t xml:space="preserve"> textbox of the left side panel in the </t>
    </r>
    <r>
      <rPr>
        <b/>
        <sz val="11"/>
        <rFont val="Calibri"/>
        <family val="2"/>
        <scheme val="minor"/>
      </rPr>
      <t>eSanchit Code</t>
    </r>
    <r>
      <rPr>
        <sz val="11"/>
        <rFont val="Calibri"/>
        <family val="2"/>
        <scheme val="minor"/>
      </rPr>
      <t xml:space="preserve"> Page</t>
    </r>
  </si>
  <si>
    <r>
      <t xml:space="preserve">1. Navigate to </t>
    </r>
    <r>
      <rPr>
        <b/>
        <sz val="11"/>
        <rFont val="Calibri"/>
        <family val="2"/>
        <scheme val="minor"/>
      </rPr>
      <t>Masters</t>
    </r>
    <r>
      <rPr>
        <sz val="11"/>
        <rFont val="Calibri"/>
        <family val="2"/>
        <scheme val="minor"/>
      </rPr>
      <t xml:space="preserve"> -&gt; </t>
    </r>
    <r>
      <rPr>
        <b/>
        <sz val="11"/>
        <rFont val="Calibri"/>
        <family val="2"/>
        <scheme val="minor"/>
      </rPr>
      <t>EDI</t>
    </r>
    <r>
      <rPr>
        <sz val="11"/>
        <rFont val="Calibri"/>
        <family val="2"/>
        <scheme val="minor"/>
      </rPr>
      <t xml:space="preserve"> </t>
    </r>
    <r>
      <rPr>
        <b/>
        <sz val="11"/>
        <rFont val="Calibri"/>
        <family val="2"/>
        <scheme val="minor"/>
      </rPr>
      <t>Master</t>
    </r>
    <r>
      <rPr>
        <sz val="11"/>
        <rFont val="Calibri"/>
        <family val="2"/>
        <scheme val="minor"/>
      </rPr>
      <t xml:space="preserve"> -&gt; </t>
    </r>
    <r>
      <rPr>
        <b/>
        <sz val="11"/>
        <rFont val="Calibri"/>
        <family val="2"/>
        <scheme val="minor"/>
      </rPr>
      <t xml:space="preserve">eSanchit Code
</t>
    </r>
    <r>
      <rPr>
        <sz val="11"/>
        <rFont val="Calibri"/>
        <family val="2"/>
        <scheme val="minor"/>
      </rPr>
      <t>2. Locate the Search textbox on the left-side panel.
3. Enter any valid search keyword (full or partial match).
4. Observe the filtered record list.</t>
    </r>
  </si>
  <si>
    <t>Any valid &amp; invalid search keyword (related to Name / Type).</t>
  </si>
  <si>
    <r>
      <t>1. The Search functionality is not working as expected.
Note: 
 -&gt; While entering with any keyword in the search textbox, a pop-up messag</t>
    </r>
    <r>
      <rPr>
        <b/>
        <sz val="11"/>
        <color theme="1"/>
        <rFont val="Calibri"/>
        <family val="2"/>
        <scheme val="minor"/>
      </rPr>
      <t>e “No record found”</t>
    </r>
    <r>
      <rPr>
        <sz val="11"/>
        <color theme="1"/>
        <rFont val="Calibri"/>
        <family val="2"/>
        <scheme val="minor"/>
      </rPr>
      <t xml:space="preserve"> is displayed.
 -&gt; The Search textbox placeholder displays “Enter Name”, but it is unclear whether the search is performed based on: (Name or Type)</t>
    </r>
  </si>
  <si>
    <t>eSanchit_Code_03</t>
  </si>
  <si>
    <r>
      <t xml:space="preserve">1. Navigate to </t>
    </r>
    <r>
      <rPr>
        <b/>
        <sz val="11"/>
        <color theme="1"/>
        <rFont val="Calibri"/>
        <family val="2"/>
        <scheme val="minor"/>
      </rPr>
      <t>Masters -&gt; EDI Master -&gt; eSanchit Code</t>
    </r>
    <r>
      <rPr>
        <sz val="11"/>
        <color theme="1"/>
        <rFont val="Calibri"/>
        <family val="2"/>
        <scheme val="minor"/>
      </rPr>
      <t xml:space="preserve">
2. Click on Sort </t>
    </r>
    <r>
      <rPr>
        <b/>
        <sz val="11"/>
        <color theme="1"/>
        <rFont val="Calibri"/>
        <family val="2"/>
        <scheme val="minor"/>
      </rPr>
      <t>Ascending option</t>
    </r>
    <r>
      <rPr>
        <sz val="11"/>
        <color theme="1"/>
        <rFont val="Calibri"/>
        <family val="2"/>
        <scheme val="minor"/>
      </rPr>
      <t xml:space="preserve"> in the left-side panel list.
3. Verify the order of records displayed.
4. Click on Sort </t>
    </r>
    <r>
      <rPr>
        <b/>
        <sz val="11"/>
        <color theme="1"/>
        <rFont val="Calibri"/>
        <family val="2"/>
        <scheme val="minor"/>
      </rPr>
      <t xml:space="preserve">Descending option </t>
    </r>
    <r>
      <rPr>
        <sz val="11"/>
        <color theme="1"/>
        <rFont val="Calibri"/>
        <family val="2"/>
        <scheme val="minor"/>
      </rPr>
      <t>in the left-side panel list.
5. Verify the order of records displayed.</t>
    </r>
  </si>
  <si>
    <r>
      <t xml:space="preserve">1. The left-side panel list should sort correctly in </t>
    </r>
    <r>
      <rPr>
        <b/>
        <sz val="11"/>
        <color theme="1"/>
        <rFont val="Calibri"/>
        <family val="2"/>
        <scheme val="minor"/>
      </rPr>
      <t>Ascending order.</t>
    </r>
    <r>
      <rPr>
        <sz val="11"/>
        <color theme="1"/>
        <rFont val="Calibri"/>
        <family val="2"/>
        <scheme val="minor"/>
      </rPr>
      <t xml:space="preserve">
2. The left-side panel list should sort correctly in </t>
    </r>
    <r>
      <rPr>
        <b/>
        <sz val="11"/>
        <color theme="1"/>
        <rFont val="Calibri"/>
        <family val="2"/>
        <scheme val="minor"/>
      </rPr>
      <t>Descending order.</t>
    </r>
  </si>
  <si>
    <r>
      <t xml:space="preserve">1. Sorting works correctly in both </t>
    </r>
    <r>
      <rPr>
        <b/>
        <sz val="11"/>
        <color theme="1"/>
        <rFont val="Calibri"/>
        <family val="2"/>
        <scheme val="minor"/>
      </rPr>
      <t xml:space="preserve">Ascending and Descending order.
</t>
    </r>
  </si>
  <si>
    <t>eSanchit_Code_04</t>
  </si>
  <si>
    <r>
      <t xml:space="preserve">Validate </t>
    </r>
    <r>
      <rPr>
        <b/>
        <sz val="11"/>
        <color theme="1"/>
        <rFont val="Calibri"/>
        <family val="2"/>
        <scheme val="minor"/>
      </rPr>
      <t>Sort Ascending / Sort Descending</t>
    </r>
    <r>
      <rPr>
        <sz val="11"/>
        <color theme="1"/>
        <rFont val="Calibri"/>
        <family val="2"/>
        <scheme val="minor"/>
      </rPr>
      <t xml:space="preserve"> behavior of the left-side panel list on the </t>
    </r>
    <r>
      <rPr>
        <b/>
        <sz val="11"/>
        <color theme="1"/>
        <rFont val="Calibri"/>
        <family val="2"/>
        <scheme val="minor"/>
      </rPr>
      <t xml:space="preserve">eSanchit Code </t>
    </r>
    <r>
      <rPr>
        <sz val="11"/>
        <color theme="1"/>
        <rFont val="Calibri"/>
        <family val="2"/>
        <scheme val="minor"/>
      </rPr>
      <t>page.</t>
    </r>
  </si>
  <si>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 xml:space="preserve">eSanchit Code </t>
    </r>
    <r>
      <rPr>
        <sz val="11"/>
        <color theme="1"/>
        <rFont val="Calibri"/>
        <family val="2"/>
        <scheme val="minor"/>
      </rPr>
      <t>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</si>
  <si>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eSanchit Code
</t>
    </r>
    <r>
      <rPr>
        <sz val="11"/>
        <color theme="1"/>
        <rFont val="Calibri"/>
        <family val="2"/>
        <scheme val="minor"/>
      </rPr>
      <t xml:space="preserve">2. From the </t>
    </r>
    <r>
      <rPr>
        <b/>
        <sz val="11"/>
        <color theme="1"/>
        <rFont val="Calibri"/>
        <family val="2"/>
        <scheme val="minor"/>
      </rPr>
      <t>left-panel list</t>
    </r>
    <r>
      <rPr>
        <sz val="11"/>
        <color theme="1"/>
        <rFont val="Calibri"/>
        <family val="2"/>
        <scheme val="minor"/>
      </rPr>
      <t xml:space="preserve">, select any record and observe the system behaviour.
2. Now select another record from the </t>
    </r>
    <r>
      <rPr>
        <b/>
        <sz val="11"/>
        <color theme="1"/>
        <rFont val="Calibri"/>
        <family val="2"/>
        <scheme val="minor"/>
      </rPr>
      <t>left panel list</t>
    </r>
    <r>
      <rPr>
        <sz val="11"/>
        <color theme="1"/>
        <rFont val="Calibri"/>
        <family val="2"/>
        <scheme val="minor"/>
      </rPr>
      <t xml:space="preserve"> and observe the system behaviour.</t>
    </r>
  </si>
  <si>
    <r>
      <t xml:space="preserve">1. Selected record from the </t>
    </r>
    <r>
      <rPr>
        <b/>
        <sz val="11"/>
        <color theme="1"/>
        <rFont val="Calibri"/>
        <family val="2"/>
        <scheme val="minor"/>
      </rPr>
      <t xml:space="preserve">left-panel list </t>
    </r>
    <r>
      <rPr>
        <sz val="11"/>
        <color theme="1"/>
        <rFont val="Calibri"/>
        <family val="2"/>
        <scheme val="minor"/>
      </rPr>
      <t>should be displayed correctly in the corresponding textboxes on the</t>
    </r>
    <r>
      <rPr>
        <b/>
        <sz val="11"/>
        <color theme="1"/>
        <rFont val="Calibri"/>
        <family val="2"/>
        <scheme val="minor"/>
      </rPr>
      <t xml:space="preserve"> eSanchit Code </t>
    </r>
    <r>
      <rPr>
        <sz val="11"/>
        <color theme="1"/>
        <rFont val="Calibri"/>
        <family val="2"/>
        <scheme val="minor"/>
      </rPr>
      <t>page.
2. When another record is selected, the previously displayed details should be refreshed and replaced with the newly selected record details.</t>
    </r>
  </si>
  <si>
    <t>eSanchit_Code_05</t>
  </si>
  <si>
    <r>
      <t xml:space="preserve">Validate the functionality of </t>
    </r>
    <r>
      <rPr>
        <b/>
        <sz val="11"/>
        <color theme="1"/>
        <rFont val="Calibri"/>
        <family val="2"/>
        <scheme val="minor"/>
      </rPr>
      <t xml:space="preserve">Type </t>
    </r>
    <r>
      <rPr>
        <sz val="11"/>
        <color theme="1"/>
        <rFont val="Calibri"/>
        <family val="2"/>
        <scheme val="minor"/>
      </rPr>
      <t xml:space="preserve">textbox in the </t>
    </r>
    <r>
      <rPr>
        <b/>
        <sz val="11"/>
        <color theme="1"/>
        <rFont val="Calibri"/>
        <family val="2"/>
        <scheme val="minor"/>
      </rPr>
      <t>eSanchit Code</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</si>
  <si>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eSanchit Code
</t>
    </r>
    <r>
      <rPr>
        <sz val="11"/>
        <color theme="1"/>
        <rFont val="Calibri"/>
        <family val="2"/>
        <scheme val="minor"/>
      </rPr>
      <t>2. Locate the</t>
    </r>
    <r>
      <rPr>
        <b/>
        <sz val="11"/>
        <color theme="1"/>
        <rFont val="Calibri"/>
        <family val="2"/>
        <scheme val="minor"/>
      </rPr>
      <t xml:space="preserve"> Type </t>
    </r>
    <r>
      <rPr>
        <sz val="11"/>
        <color theme="1"/>
        <rFont val="Calibri"/>
        <family val="2"/>
        <scheme val="minor"/>
      </rPr>
      <t>textbox.
3. Enter valid &amp; Invalid data in the</t>
    </r>
    <r>
      <rPr>
        <b/>
        <sz val="11"/>
        <color theme="1"/>
        <rFont val="Calibri"/>
        <family val="2"/>
        <scheme val="minor"/>
      </rPr>
      <t xml:space="preserve"> Type</t>
    </r>
    <r>
      <rPr>
        <sz val="11"/>
        <color theme="1"/>
        <rFont val="Calibri"/>
        <family val="2"/>
        <scheme val="minor"/>
      </rPr>
      <t xml:space="preserve"> textbox.
4. Observe the system behaviour.</t>
    </r>
  </si>
  <si>
    <r>
      <rPr>
        <b/>
        <sz val="11"/>
        <color theme="1"/>
        <rFont val="Calibri"/>
        <family val="2"/>
        <scheme val="minor"/>
      </rPr>
      <t>Textbox</t>
    </r>
    <r>
      <rPr>
        <sz val="11"/>
        <color theme="1"/>
        <rFont val="Calibri"/>
        <family val="2"/>
        <scheme val="minor"/>
      </rPr>
      <t xml:space="preserve"> - Type
</t>
    </r>
    <r>
      <rPr>
        <b/>
        <sz val="11"/>
        <color theme="1"/>
        <rFont val="Calibri"/>
        <family val="2"/>
        <scheme val="minor"/>
      </rPr>
      <t>Valid Data</t>
    </r>
    <r>
      <rPr>
        <sz val="11"/>
        <color theme="1"/>
        <rFont val="Calibri"/>
        <family val="2"/>
        <scheme val="minor"/>
      </rPr>
      <t xml:space="preserve"> - Alphabanumeric value 
</t>
    </r>
    <r>
      <rPr>
        <b/>
        <sz val="11"/>
        <color theme="1"/>
        <rFont val="Calibri"/>
        <family val="2"/>
        <scheme val="minor"/>
      </rPr>
      <t xml:space="preserve">Invalid Data </t>
    </r>
    <r>
      <rPr>
        <sz val="11"/>
        <color theme="1"/>
        <rFont val="Calibri"/>
        <family val="2"/>
        <scheme val="minor"/>
      </rPr>
      <t xml:space="preserve">- Special character value </t>
    </r>
  </si>
  <si>
    <r>
      <t xml:space="preserve">1. The </t>
    </r>
    <r>
      <rPr>
        <b/>
        <sz val="11"/>
        <color theme="1"/>
        <rFont val="Calibri"/>
        <family val="2"/>
        <scheme val="minor"/>
      </rPr>
      <t>Type</t>
    </r>
    <r>
      <rPr>
        <sz val="11"/>
        <color theme="1"/>
        <rFont val="Calibri"/>
        <family val="2"/>
        <scheme val="minor"/>
      </rPr>
      <t xml:space="preserve"> textbox should accept </t>
    </r>
    <r>
      <rPr>
        <b/>
        <sz val="11"/>
        <color theme="1"/>
        <rFont val="Calibri"/>
        <family val="2"/>
        <scheme val="minor"/>
      </rPr>
      <t>only alphanumeric values.</t>
    </r>
    <r>
      <rPr>
        <sz val="11"/>
        <color theme="1"/>
        <rFont val="Calibri"/>
        <family val="2"/>
        <scheme val="minor"/>
      </rPr>
      <t xml:space="preserve">
2. The textbox should </t>
    </r>
    <r>
      <rPr>
        <b/>
        <sz val="11"/>
        <color theme="1"/>
        <rFont val="Calibri"/>
        <family val="2"/>
        <scheme val="minor"/>
      </rPr>
      <t>not accept special character values.</t>
    </r>
    <r>
      <rPr>
        <sz val="11"/>
        <color theme="1"/>
        <rFont val="Calibri"/>
        <family val="2"/>
        <scheme val="minor"/>
      </rPr>
      <t xml:space="preserve">
3. The maximum allowed length for the </t>
    </r>
    <r>
      <rPr>
        <b/>
        <sz val="11"/>
        <color theme="1"/>
        <rFont val="Calibri"/>
        <family val="2"/>
        <scheme val="minor"/>
      </rPr>
      <t>Country Code</t>
    </r>
    <r>
      <rPr>
        <sz val="11"/>
        <color theme="1"/>
        <rFont val="Calibri"/>
        <family val="2"/>
        <scheme val="minor"/>
      </rPr>
      <t xml:space="preserve"> should be 6 characters.</t>
    </r>
  </si>
  <si>
    <r>
      <t xml:space="preserve">1. Functionality is not working as expected.
</t>
    </r>
    <r>
      <rPr>
        <b/>
        <sz val="11"/>
        <rFont val="Calibri"/>
        <family val="2"/>
        <scheme val="minor"/>
      </rPr>
      <t>2. Type textbox is accepting all types of values, including invalid characters.</t>
    </r>
    <r>
      <rPr>
        <sz val="11"/>
        <rFont val="Calibri"/>
        <family val="2"/>
        <scheme val="minor"/>
      </rPr>
      <t xml:space="preserve">
3. 6-character limit is correctly implemented.
Note: As per business rule, It should accept only alphanumeric value.
</t>
    </r>
    <r>
      <rPr>
        <b/>
        <sz val="11"/>
        <rFont val="Calibri"/>
        <family val="2"/>
        <scheme val="minor"/>
      </rPr>
      <t/>
    </r>
  </si>
  <si>
    <t>eSanchit_Code_06</t>
  </si>
  <si>
    <r>
      <t xml:space="preserve">1. Navigate to </t>
    </r>
    <r>
      <rPr>
        <b/>
        <sz val="11"/>
        <rFont val="Calibri"/>
        <family val="2"/>
        <scheme val="minor"/>
      </rPr>
      <t>Masters -&gt; EDI Master -&gt; eSanchit Code</t>
    </r>
    <r>
      <rPr>
        <sz val="11"/>
        <rFont val="Calibri"/>
        <family val="2"/>
        <scheme val="minor"/>
      </rPr>
      <t xml:space="preserve">
2. Enter valid and invalid data in the </t>
    </r>
    <r>
      <rPr>
        <b/>
        <sz val="11"/>
        <rFont val="Calibri"/>
        <family val="2"/>
        <scheme val="minor"/>
      </rPr>
      <t>Doc Name</t>
    </r>
    <r>
      <rPr>
        <sz val="11"/>
        <rFont val="Calibri"/>
        <family val="2"/>
        <scheme val="minor"/>
      </rPr>
      <t xml:space="preserve"> textbox.
3. Observe the system behaviour.</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</si>
  <si>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Doc Name</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t>
    </r>
  </si>
  <si>
    <r>
      <t xml:space="preserve">1. As per use case, </t>
    </r>
    <r>
      <rPr>
        <b/>
        <sz val="11"/>
        <rFont val="Calibri"/>
        <family val="2"/>
        <scheme val="minor"/>
      </rPr>
      <t>Doc Name</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not accept:
 -&gt; Special characters
 -&gt; Only spaces
 -&gt; Invalid character combinations
3. </t>
    </r>
    <r>
      <rPr>
        <b/>
        <sz val="11"/>
        <rFont val="Calibri"/>
        <family val="2"/>
        <scheme val="minor"/>
      </rPr>
      <t>Doc Name</t>
    </r>
    <r>
      <rPr>
        <sz val="11"/>
        <rFont val="Calibri"/>
        <family val="2"/>
        <scheme val="minor"/>
      </rPr>
      <t xml:space="preserve"> textbox length should be limited to 100 characters.</t>
    </r>
  </si>
  <si>
    <r>
      <t xml:space="preserve">1. Functionality is not working as expected.
2. </t>
    </r>
    <r>
      <rPr>
        <b/>
        <sz val="11"/>
        <rFont val="Calibri"/>
        <family val="2"/>
        <scheme val="minor"/>
      </rPr>
      <t>Doc Name</t>
    </r>
    <r>
      <rPr>
        <sz val="11"/>
        <rFont val="Calibri"/>
        <family val="2"/>
        <scheme val="minor"/>
      </rPr>
      <t xml:space="preserve"> textbox is accepting all types of values, including invalid characters.
3. 100-character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Doc Name</t>
    </r>
    <r>
      <rPr>
        <sz val="11"/>
        <rFont val="Calibri"/>
        <family val="2"/>
        <scheme val="minor"/>
      </rPr>
      <t xml:space="preserve"> textbox should accept alphanumeric value with space and following special character:   Dot (.), Comma (,), Percent (%), Hyphen (-), Forward Slash(/), Backslash (\), Ampersand (&amp;),  Underscore ( _)</t>
    </r>
  </si>
  <si>
    <t>eSanchit_Code_07</t>
  </si>
  <si>
    <r>
      <t xml:space="preserve">Validate the functionality of </t>
    </r>
    <r>
      <rPr>
        <b/>
        <sz val="11"/>
        <rFont val="Calibri"/>
        <family val="2"/>
        <scheme val="minor"/>
      </rPr>
      <t>Doc</t>
    </r>
    <r>
      <rPr>
        <sz val="11"/>
        <rFont val="Calibri"/>
        <family val="2"/>
        <scheme val="minor"/>
      </rPr>
      <t xml:space="preserve"> </t>
    </r>
    <r>
      <rPr>
        <b/>
        <sz val="11"/>
        <rFont val="Calibri"/>
        <family val="2"/>
        <scheme val="minor"/>
      </rPr>
      <t>Name</t>
    </r>
    <r>
      <rPr>
        <sz val="11"/>
        <rFont val="Calibri"/>
        <family val="2"/>
        <scheme val="minor"/>
      </rPr>
      <t xml:space="preserve"> textbox  in the </t>
    </r>
    <r>
      <rPr>
        <b/>
        <sz val="11"/>
        <rFont val="Calibri"/>
        <family val="2"/>
        <scheme val="minor"/>
      </rPr>
      <t>eSanchit Code</t>
    </r>
    <r>
      <rPr>
        <sz val="11"/>
        <rFont val="Calibri"/>
        <family val="2"/>
        <scheme val="minor"/>
      </rPr>
      <t xml:space="preserve"> Page</t>
    </r>
  </si>
  <si>
    <r>
      <t xml:space="preserve">Validate the functionality of </t>
    </r>
    <r>
      <rPr>
        <b/>
        <sz val="11"/>
        <rFont val="Calibri"/>
        <family val="2"/>
        <scheme val="minor"/>
      </rPr>
      <t xml:space="preserve">Doc Description </t>
    </r>
    <r>
      <rPr>
        <sz val="11"/>
        <rFont val="Calibri"/>
        <family val="2"/>
        <scheme val="minor"/>
      </rPr>
      <t xml:space="preserve">textbox in the </t>
    </r>
    <r>
      <rPr>
        <b/>
        <sz val="11"/>
        <rFont val="Calibri"/>
        <family val="2"/>
        <scheme val="minor"/>
      </rPr>
      <t>eSanchit Code</t>
    </r>
    <r>
      <rPr>
        <sz val="11"/>
        <rFont val="Calibri"/>
        <family val="2"/>
        <scheme val="minor"/>
      </rPr>
      <t xml:space="preserve"> Page</t>
    </r>
  </si>
  <si>
    <r>
      <t xml:space="preserve">1. Navigate to </t>
    </r>
    <r>
      <rPr>
        <b/>
        <sz val="11"/>
        <rFont val="Calibri"/>
        <family val="2"/>
        <scheme val="minor"/>
      </rPr>
      <t>Masters -&gt; EDI Master -&gt; eSanchit Code</t>
    </r>
    <r>
      <rPr>
        <sz val="11"/>
        <rFont val="Calibri"/>
        <family val="2"/>
        <scheme val="minor"/>
      </rPr>
      <t xml:space="preserve">
2. Enter valid and invalid data in the </t>
    </r>
    <r>
      <rPr>
        <b/>
        <sz val="11"/>
        <rFont val="Calibri"/>
        <family val="2"/>
        <scheme val="minor"/>
      </rPr>
      <t>Doc Description</t>
    </r>
    <r>
      <rPr>
        <sz val="11"/>
        <rFont val="Calibri"/>
        <family val="2"/>
        <scheme val="minor"/>
      </rPr>
      <t xml:space="preserve"> textbox.
3. Observe the system behaviour.</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</si>
  <si>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Doc Description</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t>
    </r>
  </si>
  <si>
    <r>
      <t xml:space="preserve">1. As per use case, </t>
    </r>
    <r>
      <rPr>
        <b/>
        <sz val="11"/>
        <rFont val="Calibri"/>
        <family val="2"/>
        <scheme val="minor"/>
      </rPr>
      <t>Doc Description</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not accept:
 -&gt; Special characters
 -&gt; Only spaces
 -&gt; Invalid character combinations
3. </t>
    </r>
    <r>
      <rPr>
        <b/>
        <sz val="11"/>
        <rFont val="Calibri"/>
        <family val="2"/>
        <scheme val="minor"/>
      </rPr>
      <t>Doc Description</t>
    </r>
    <r>
      <rPr>
        <sz val="11"/>
        <rFont val="Calibri"/>
        <family val="2"/>
        <scheme val="minor"/>
      </rPr>
      <t xml:space="preserve"> textbox length should be limited to 100 characters.</t>
    </r>
  </si>
  <si>
    <r>
      <t xml:space="preserve">1. Functionality is not working as expected.
2. </t>
    </r>
    <r>
      <rPr>
        <b/>
        <sz val="11"/>
        <rFont val="Calibri"/>
        <family val="2"/>
        <scheme val="minor"/>
      </rPr>
      <t>Doc Description</t>
    </r>
    <r>
      <rPr>
        <sz val="11"/>
        <rFont val="Calibri"/>
        <family val="2"/>
        <scheme val="minor"/>
      </rPr>
      <t xml:space="preserve"> textbox is accepting all types of values, including invalid characters.
3. 100-character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Doc Description</t>
    </r>
    <r>
      <rPr>
        <sz val="11"/>
        <rFont val="Calibri"/>
        <family val="2"/>
        <scheme val="minor"/>
      </rPr>
      <t xml:space="preserve"> textbox will accept all tpyes of value. </t>
    </r>
  </si>
  <si>
    <t>eSanchit_Code_08</t>
  </si>
  <si>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eSanchit Code</t>
    </r>
    <r>
      <rPr>
        <sz val="11"/>
        <color theme="1"/>
        <rFont val="Calibri"/>
        <family val="2"/>
        <scheme val="minor"/>
      </rPr>
      <t xml:space="preserve"> Page.</t>
    </r>
  </si>
  <si>
    <r>
      <rPr>
        <b/>
        <sz val="11"/>
        <color theme="1"/>
        <rFont val="Calibri"/>
        <family val="2"/>
        <scheme val="minor"/>
      </rPr>
      <t xml:space="preserve">Testbox:
</t>
    </r>
    <r>
      <rPr>
        <sz val="11"/>
        <color theme="1"/>
        <rFont val="Calibri"/>
        <family val="2"/>
        <scheme val="minor"/>
      </rPr>
      <t xml:space="preserve"> -&gt; Type
 -&gt; Doc Name
 -&gt; Doc Description</t>
    </r>
  </si>
  <si>
    <t>eSanchit_Code_09</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</si>
  <si>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eSanchit Code</t>
    </r>
    <r>
      <rPr>
        <sz val="11"/>
        <color theme="1"/>
        <rFont val="Calibri"/>
        <family val="2"/>
        <scheme val="minor"/>
      </rPr>
      <t xml:space="preserve"> page.</t>
    </r>
  </si>
  <si>
    <r>
      <t xml:space="preserve">1. Navigate to </t>
    </r>
    <r>
      <rPr>
        <b/>
        <sz val="11"/>
        <rFont val="Calibri"/>
        <family val="2"/>
        <scheme val="minor"/>
      </rPr>
      <t xml:space="preserve">Masters -&gt; EDI Master -&gt; eSanchit Code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</si>
  <si>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r>
      <t xml:space="preserve">1. Navigate to </t>
    </r>
    <r>
      <rPr>
        <b/>
        <sz val="11"/>
        <color theme="1"/>
        <rFont val="Calibri"/>
        <family val="2"/>
        <scheme val="minor"/>
      </rPr>
      <t>Masters → EDI Master → eSanchit Code</t>
    </r>
    <r>
      <rPr>
        <sz val="11"/>
        <color theme="1"/>
        <rFont val="Calibri"/>
        <family val="2"/>
        <scheme val="minor"/>
      </rPr>
      <t xml:space="preserve">
2. Enter valid values in all mandatory and non-mandatory fields.
3. Click on the </t>
    </r>
    <r>
      <rPr>
        <b/>
        <sz val="11"/>
        <color theme="1"/>
        <rFont val="Calibri"/>
        <family val="2"/>
        <scheme val="minor"/>
      </rPr>
      <t xml:space="preserve">Save </t>
    </r>
    <r>
      <rPr>
        <sz val="11"/>
        <color theme="1"/>
        <rFont val="Calibri"/>
        <family val="2"/>
        <scheme val="minor"/>
      </rPr>
      <t>button
4. Observe the system behavior.</t>
    </r>
  </si>
  <si>
    <t>Mandatory Fields As per the Page UI:
 -&gt; Type</t>
  </si>
  <si>
    <t xml:space="preserve">1. When all mandatory fields are filled with valid data and the Save button is clicked:
 -&gt; The record should be saved successfully.
 -&gt; A success validation message should be displayed.
2. The saved record should appear in the left-side panel list.
3. The saved record should be:
 -&gt; Searchable using the Search textbox
 -&gt; Selectable from the left-side panel list
</t>
  </si>
  <si>
    <r>
      <t xml:space="preserve">1. Even after filling all UI-marked mandatory fields, the record is not saved.
2. The system displays a validation message asking the user to fill the Doc Name textbox.
</t>
    </r>
    <r>
      <rPr>
        <b/>
        <sz val="11"/>
        <color theme="1"/>
        <rFont val="Calibri"/>
        <family val="2"/>
        <scheme val="minor"/>
      </rPr>
      <t>3. On the Page UI:
 -&gt; Doc Name field is not marked as mandatory.
 -&gt; Only Type textbox is marked as mandatory.</t>
    </r>
  </si>
  <si>
    <t>eSanchit_Code_10</t>
  </si>
  <si>
    <r>
      <t xml:space="preserve">Validate the functionality of </t>
    </r>
    <r>
      <rPr>
        <b/>
        <sz val="11"/>
        <color theme="1"/>
        <rFont val="Calibri"/>
        <family val="2"/>
        <scheme val="minor"/>
      </rPr>
      <t>Save</t>
    </r>
    <r>
      <rPr>
        <sz val="11"/>
        <color theme="1"/>
        <rFont val="Calibri"/>
        <family val="2"/>
        <scheme val="minor"/>
      </rPr>
      <t xml:space="preserve"> button When are fields are left blank in the </t>
    </r>
    <r>
      <rPr>
        <b/>
        <sz val="11"/>
        <color theme="1"/>
        <rFont val="Calibri"/>
        <family val="2"/>
        <scheme val="minor"/>
      </rPr>
      <t>eSanchit Code</t>
    </r>
    <r>
      <rPr>
        <sz val="11"/>
        <color theme="1"/>
        <rFont val="Calibri"/>
        <family val="2"/>
        <scheme val="minor"/>
      </rPr>
      <t xml:space="preserve"> page.</t>
    </r>
  </si>
  <si>
    <r>
      <t xml:space="preserve">1. Navigate to </t>
    </r>
    <r>
      <rPr>
        <b/>
        <sz val="11"/>
        <rFont val="Calibri"/>
        <family val="2"/>
        <scheme val="minor"/>
      </rPr>
      <t xml:space="preserve">Masters -&gt; EDI Master -&gt; eSanchit Code
</t>
    </r>
    <r>
      <rPr>
        <sz val="11"/>
        <rFont val="Calibri"/>
        <family val="2"/>
        <scheme val="minor"/>
      </rPr>
      <t>2.</t>
    </r>
    <r>
      <rPr>
        <b/>
        <sz val="11"/>
        <rFont val="Calibri"/>
        <family val="2"/>
        <scheme val="minor"/>
      </rPr>
      <t xml:space="preserve"> </t>
    </r>
    <r>
      <rPr>
        <sz val="11"/>
        <rFont val="Calibri"/>
        <family val="2"/>
        <scheme val="minor"/>
      </rPr>
      <t xml:space="preserve">Leave all fields blank.
4. Click on the Save button.
5. Observe the system behavior.
</t>
    </r>
  </si>
  <si>
    <r>
      <t xml:space="preserve">1. Record is not saved </t>
    </r>
    <r>
      <rPr>
        <b/>
        <sz val="11"/>
        <color theme="1"/>
        <rFont val="Calibri"/>
        <family val="2"/>
        <scheme val="minor"/>
      </rPr>
      <t>when mandatory fields are left blank.</t>
    </r>
    <r>
      <rPr>
        <sz val="11"/>
        <color theme="1"/>
        <rFont val="Calibri"/>
        <family val="2"/>
        <scheme val="minor"/>
      </rPr>
      <t xml:space="preserve">
2. Validation messages are displayed for all mandatory fields. 
Note: </t>
    </r>
    <r>
      <rPr>
        <b/>
        <sz val="11"/>
        <color theme="1"/>
        <rFont val="Calibri"/>
        <family val="2"/>
        <scheme val="minor"/>
      </rPr>
      <t>Validation message for the Type textbox is displayed 2 times.</t>
    </r>
    <r>
      <rPr>
        <sz val="11"/>
        <color theme="1"/>
        <rFont val="Calibri"/>
        <family val="2"/>
        <scheme val="minor"/>
      </rPr>
      <t xml:space="preserve">
</t>
    </r>
  </si>
  <si>
    <t>eSanchit_Code_11</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</si>
  <si>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eSanchit Code </t>
    </r>
    <r>
      <rPr>
        <sz val="11"/>
        <color theme="1"/>
        <rFont val="Calibri"/>
        <family val="2"/>
        <scheme val="minor"/>
      </rPr>
      <t>page.</t>
    </r>
  </si>
  <si>
    <r>
      <t xml:space="preserve">1. Navigate to </t>
    </r>
    <r>
      <rPr>
        <b/>
        <sz val="11"/>
        <color theme="1"/>
        <rFont val="Calibri"/>
        <family val="2"/>
        <scheme val="minor"/>
      </rPr>
      <t>Masters → EDI Master → eSanchit Code</t>
    </r>
    <r>
      <rPr>
        <sz val="11"/>
        <color theme="1"/>
        <rFont val="Calibri"/>
        <family val="2"/>
        <scheme val="minor"/>
      </rPr>
      <t xml:space="preserve">
2. Verify the state of the Modify button when the page is in a new state.
3. Select any record from the left-side panel list.
4. Verify that the selected record details are loaded into the textboxes.
5. Modify one or more editable fields with new valid data.
5. Click on the Modify button.
6.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</si>
  <si>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Modify button should be enabled only after a record is loaded into the textboxes.
3.</t>
    </r>
    <r>
      <rPr>
        <b/>
        <sz val="11"/>
        <color theme="1"/>
        <rFont val="Calibri"/>
        <family val="2"/>
        <scheme val="minor"/>
      </rPr>
      <t xml:space="preserve"> The Type textboxes should remain disabled and not be editable.</t>
    </r>
    <r>
      <rPr>
        <sz val="11"/>
        <color theme="1"/>
        <rFont val="Calibri"/>
        <family val="2"/>
        <scheme val="minor"/>
      </rPr>
      <t xml:space="preserve">
4. All other applicable fields should be editable.
5. On clicking the Modify button, the record should be updated successfully with the new values.
6. The updated record should be displayed correctly in the left-side panel list.
7. The user should be able to modify the same record multiple times.</t>
    </r>
  </si>
  <si>
    <r>
      <t xml:space="preserve">1. When the page is in a new state, the Modify button remains disabled.
2. Once the record is loaded into the textboxes, the Modify button becomes enabled.
3. The </t>
    </r>
    <r>
      <rPr>
        <b/>
        <sz val="11"/>
        <color theme="1"/>
        <rFont val="Calibri"/>
        <family val="2"/>
        <scheme val="minor"/>
      </rPr>
      <t>Type</t>
    </r>
    <r>
      <rPr>
        <sz val="11"/>
        <color theme="1"/>
        <rFont val="Calibri"/>
        <family val="2"/>
        <scheme val="minor"/>
      </rPr>
      <t xml:space="preserve"> textboxes remain disabled and cannot be modified.
4. Other editable fields allow modification with new valid data.
5. The updated record is displayed correctly in the left-side panel list.
6. On re-selecting the same record from the left-side panel, the updated values are displayed correctly in the corresponding textboxes.</t>
    </r>
  </si>
  <si>
    <t>eSanchit_Code_12</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</si>
  <si>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eSanchit Code </t>
    </r>
    <r>
      <rPr>
        <sz val="11"/>
        <color theme="1"/>
        <rFont val="Calibri"/>
        <family val="2"/>
        <scheme val="minor"/>
      </rPr>
      <t>page.</t>
    </r>
  </si>
  <si>
    <r>
      <t xml:space="preserve">1. Navigate to </t>
    </r>
    <r>
      <rPr>
        <b/>
        <sz val="11"/>
        <color theme="1"/>
        <rFont val="Calibri"/>
        <family val="2"/>
        <scheme val="minor"/>
      </rPr>
      <t>Masters → EDI Master → eSanchit Code</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</si>
  <si>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t>1. Functionality is not working as expected
2. On Clicking  Delete, Confirmation message is not coming and record is deleting directly.</t>
  </si>
  <si>
    <t>eSanchit_Code_13</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</si>
  <si>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eSanchit Code </t>
    </r>
    <r>
      <rPr>
        <sz val="11"/>
        <color theme="1"/>
        <rFont val="Calibri"/>
        <family val="2"/>
        <scheme val="minor"/>
      </rPr>
      <t>page.</t>
    </r>
  </si>
  <si>
    <r>
      <t xml:space="preserve">1. Navigate to </t>
    </r>
    <r>
      <rPr>
        <b/>
        <sz val="11"/>
        <color theme="1"/>
        <rFont val="Calibri"/>
        <family val="2"/>
        <scheme val="minor"/>
      </rPr>
      <t>Masters → EDI Master → eSanchit Code</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</si>
  <si>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eSanchit_Code_14</t>
  </si>
  <si>
    <r>
      <t>1. When all fields contain valid values, clicking the</t>
    </r>
    <r>
      <rPr>
        <b/>
        <sz val="11"/>
        <color theme="1"/>
        <rFont val="Calibri"/>
        <family val="2"/>
        <scheme val="minor"/>
      </rPr>
      <t xml:space="preserve"> Save </t>
    </r>
    <r>
      <rPr>
        <sz val="11"/>
        <color theme="1"/>
        <rFont val="Calibri"/>
        <family val="2"/>
        <scheme val="minor"/>
      </rPr>
      <t xml:space="preserve">button should save the record successfully.
2. A </t>
    </r>
    <r>
      <rPr>
        <b/>
        <sz val="11"/>
        <color theme="1"/>
        <rFont val="Calibri"/>
        <family val="2"/>
        <scheme val="minor"/>
      </rPr>
      <t>success confirmation message</t>
    </r>
    <r>
      <rPr>
        <sz val="11"/>
        <color theme="1"/>
        <rFont val="Calibri"/>
        <family val="2"/>
        <scheme val="minor"/>
      </rPr>
      <t xml:space="preserve"> should be displayed.
3. The saved record should appear in the</t>
    </r>
    <r>
      <rPr>
        <b/>
        <sz val="11"/>
        <color theme="1"/>
        <rFont val="Calibri"/>
        <family val="2"/>
        <scheme val="minor"/>
      </rPr>
      <t xml:space="preserve"> left-side panel</t>
    </r>
    <r>
      <rPr>
        <sz val="11"/>
        <color theme="1"/>
        <rFont val="Calibri"/>
        <family val="2"/>
        <scheme val="minor"/>
      </rPr>
      <t xml:space="preserve"> list.
4. The saved record should be </t>
    </r>
    <r>
      <rPr>
        <b/>
        <sz val="11"/>
        <color theme="1"/>
        <rFont val="Calibri"/>
        <family val="2"/>
        <scheme val="minor"/>
      </rPr>
      <t>searchable</t>
    </r>
    <r>
      <rPr>
        <sz val="11"/>
        <color theme="1"/>
        <rFont val="Calibri"/>
        <family val="2"/>
        <scheme val="minor"/>
      </rPr>
      <t xml:space="preserve"> using the Search textbox and </t>
    </r>
    <r>
      <rPr>
        <b/>
        <sz val="11"/>
        <color theme="1"/>
        <rFont val="Calibri"/>
        <family val="2"/>
        <scheme val="minor"/>
      </rPr>
      <t>selectable</t>
    </r>
    <r>
      <rPr>
        <sz val="11"/>
        <color theme="1"/>
        <rFont val="Calibri"/>
        <family val="2"/>
        <scheme val="minor"/>
      </rPr>
      <t xml:space="preserve"> from the list.
5. Type Value should be duplicate</t>
    </r>
  </si>
  <si>
    <r>
      <t xml:space="preserve">1. The record is saved successfully and a success confirmation message is displayed.
2. The saved record appears in the left-side panel list.
3. The saved record is searchable and selectable.
4. Type value can not be duplicate, it should be unique
</t>
    </r>
    <r>
      <rPr>
        <b/>
        <sz val="11"/>
        <color theme="1"/>
        <rFont val="Calibri"/>
        <family val="2"/>
        <scheme val="minor"/>
      </rPr>
      <t>Note: While saving a record with valid data, record is saved successfully validation message is coming but record is not coming in left side panel.</t>
    </r>
  </si>
  <si>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eSanchit Code </t>
    </r>
    <r>
      <rPr>
        <sz val="11"/>
        <color theme="1"/>
        <rFont val="Calibri"/>
        <family val="2"/>
        <scheme val="minor"/>
      </rPr>
      <t>page.</t>
    </r>
  </si>
  <si>
    <r>
      <t xml:space="preserve">1. Navigate to </t>
    </r>
    <r>
      <rPr>
        <b/>
        <sz val="11"/>
        <color theme="1"/>
        <rFont val="Calibri"/>
        <family val="2"/>
        <scheme val="minor"/>
      </rPr>
      <t>Masters → EDI Master → eSanchit Code
2</t>
    </r>
    <r>
      <rPr>
        <sz val="11"/>
        <color theme="1"/>
        <rFont val="Calibri"/>
        <family val="2"/>
        <scheme val="minor"/>
      </rPr>
      <t>. Enter valid data in all required input fields and click Save.
3. From the left-side list, select the recently saved record.
4. Observe the value displayed in the Entered By textbox.</t>
    </r>
  </si>
  <si>
    <t>eSanchit_Code_15</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</si>
  <si>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eSanchit Code</t>
    </r>
    <r>
      <rPr>
        <sz val="11"/>
        <color theme="1"/>
        <rFont val="Calibri"/>
        <family val="2"/>
        <scheme val="minor"/>
      </rPr>
      <t xml:space="preserve"> Page.</t>
    </r>
  </si>
  <si>
    <r>
      <t xml:space="preserve">1. Navigate to </t>
    </r>
    <r>
      <rPr>
        <b/>
        <sz val="11"/>
        <color theme="1"/>
        <rFont val="Calibri"/>
        <family val="2"/>
        <scheme val="minor"/>
      </rPr>
      <t xml:space="preserve">Masters → EDI Master → eSanchit Code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</si>
  <si>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t>eSanchit_Code_16</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</si>
  <si>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eSanchit Code</t>
    </r>
    <r>
      <rPr>
        <sz val="11"/>
        <color theme="1"/>
        <rFont val="Calibri"/>
        <family val="2"/>
        <scheme val="minor"/>
      </rPr>
      <t xml:space="preserve"> Page.</t>
    </r>
  </si>
  <si>
    <r>
      <t xml:space="preserve">1. Navigate to </t>
    </r>
    <r>
      <rPr>
        <b/>
        <sz val="11"/>
        <color theme="1"/>
        <rFont val="Calibri"/>
        <family val="2"/>
        <scheme val="minor"/>
      </rPr>
      <t>Masters -&gt; EDI Master -&gt; eSanchit Code
2</t>
    </r>
    <r>
      <rPr>
        <sz val="11"/>
        <color theme="1"/>
        <rFont val="Calibri"/>
        <family val="2"/>
        <scheme val="minor"/>
      </rPr>
      <t xml:space="preserve">. From the left-side panel, select any saved record.
3. Modify any field value and Click the modify button.
4. Re-select the same record from the left-side panel and observe the value displayed in the </t>
    </r>
    <r>
      <rPr>
        <b/>
        <sz val="11"/>
        <color theme="1"/>
        <rFont val="Calibri"/>
        <family val="2"/>
        <scheme val="minor"/>
      </rPr>
      <t>Modified By</t>
    </r>
    <r>
      <rPr>
        <sz val="11"/>
        <color theme="1"/>
        <rFont val="Calibri"/>
        <family val="2"/>
        <scheme val="minor"/>
      </rPr>
      <t xml:space="preserve"> textbox.</t>
    </r>
  </si>
  <si>
    <t>eSanchit_Code_17</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</si>
  <si>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eSanchit Code</t>
    </r>
    <r>
      <rPr>
        <sz val="11"/>
        <color theme="1"/>
        <rFont val="Calibri"/>
        <family val="2"/>
        <scheme val="minor"/>
      </rPr>
      <t xml:space="preserve"> Page.</t>
    </r>
  </si>
  <si>
    <r>
      <t xml:space="preserve">1. Navigate to </t>
    </r>
    <r>
      <rPr>
        <b/>
        <sz val="11"/>
        <color theme="1"/>
        <rFont val="Calibri"/>
        <family val="2"/>
        <scheme val="minor"/>
      </rPr>
      <t xml:space="preserve">Masters -&gt; EDI Master -&gt; eSanchit Code
</t>
    </r>
    <r>
      <rPr>
        <sz val="11"/>
        <color theme="1"/>
        <rFont val="Calibri"/>
        <family val="2"/>
        <scheme val="minor"/>
      </rPr>
      <t xml:space="preserve">2. From the left-side panel, select any saved record.
3. Modify any field value and Click the modify button.
4. Re-select the same record from the left-side list and observe the value displayed in the </t>
    </r>
    <r>
      <rPr>
        <b/>
        <sz val="11"/>
        <color theme="1"/>
        <rFont val="Calibri"/>
        <family val="2"/>
        <scheme val="minor"/>
      </rPr>
      <t>Modified Date</t>
    </r>
    <r>
      <rPr>
        <sz val="11"/>
        <color theme="1"/>
        <rFont val="Calibri"/>
        <family val="2"/>
        <scheme val="minor"/>
      </rPr>
      <t xml:space="preserve"> textbox.</t>
    </r>
  </si>
  <si>
    <t xml:space="preserve">EDI Master --&gt; eSanchit Code
</t>
  </si>
  <si>
    <t>CESS_Master_01</t>
  </si>
  <si>
    <t>EDI Master -&gt; CESS Master</t>
  </si>
  <si>
    <r>
      <t xml:space="preserve">Validate the functionality of </t>
    </r>
    <r>
      <rPr>
        <b/>
        <sz val="11"/>
        <color theme="1"/>
        <rFont val="Calibri"/>
        <family val="2"/>
        <scheme val="minor"/>
      </rPr>
      <t>CESS Master</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</si>
  <si>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CESS Master</t>
    </r>
  </si>
  <si>
    <r>
      <t xml:space="preserve">1. On Mouse Hovering action on </t>
    </r>
    <r>
      <rPr>
        <b/>
        <sz val="11"/>
        <color theme="1"/>
        <rFont val="Calibri"/>
        <family val="2"/>
        <scheme val="minor"/>
      </rPr>
      <t xml:space="preserve">Masters -&gt; EDI Master -&gt; CESS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</si>
  <si>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CESS Master </t>
    </r>
    <r>
      <rPr>
        <sz val="11"/>
        <color theme="1"/>
        <rFont val="Calibri"/>
        <family val="2"/>
        <scheme val="minor"/>
      </rPr>
      <t>Page is opening properly.</t>
    </r>
  </si>
  <si>
    <r>
      <rPr>
        <b/>
        <sz val="10"/>
        <color rgb="FF444746"/>
        <rFont val="Segoe UI"/>
        <family val="2"/>
      </rPr>
      <t>Google Chrome</t>
    </r>
    <r>
      <rPr>
        <sz val="10"/>
        <color rgb="FF444746"/>
        <rFont val="Segoe UI"/>
        <family val="2"/>
      </rPr>
      <t xml:space="preserve"> - Version 144.0.7559.110 (Official Build) (64-bit)
</t>
    </r>
    <r>
      <rPr>
        <b/>
        <sz val="10"/>
        <color rgb="FF444746"/>
        <rFont val="Segoe UI"/>
        <family val="2"/>
      </rPr>
      <t>Microsoft Edge -</t>
    </r>
    <r>
      <rPr>
        <sz val="10"/>
        <color rgb="FF444746"/>
        <rFont val="Segoe UI"/>
        <family val="2"/>
      </rPr>
      <t xml:space="preserve"> Version 144.0.3719.104 (Official build) (64-bit)</t>
    </r>
  </si>
  <si>
    <t>CESS_Master_02</t>
  </si>
  <si>
    <r>
      <t xml:space="preserve">1. Navigate to </t>
    </r>
    <r>
      <rPr>
        <b/>
        <sz val="11"/>
        <rFont val="Calibri"/>
        <family val="2"/>
        <scheme val="minor"/>
      </rPr>
      <t>Masters → EDI Master → CESS Master</t>
    </r>
    <r>
      <rPr>
        <sz val="11"/>
        <rFont val="Calibri"/>
        <family val="2"/>
        <scheme val="minor"/>
      </rPr>
      <t xml:space="preserve">
2. Locate the</t>
    </r>
    <r>
      <rPr>
        <b/>
        <sz val="11"/>
        <rFont val="Calibri"/>
        <family val="2"/>
        <scheme val="minor"/>
      </rPr>
      <t xml:space="preserve"> Sr. No. </t>
    </r>
    <r>
      <rPr>
        <sz val="11"/>
        <rFont val="Calibri"/>
        <family val="2"/>
        <scheme val="minor"/>
      </rPr>
      <t xml:space="preserve">textbox in the left-side panel
3. Enter a valid &amp; invalid </t>
    </r>
    <r>
      <rPr>
        <b/>
        <sz val="11"/>
        <rFont val="Calibri"/>
        <family val="2"/>
        <scheme val="minor"/>
      </rPr>
      <t xml:space="preserve"> Sr. No. </t>
    </r>
    <r>
      <rPr>
        <sz val="11"/>
        <rFont val="Calibri"/>
        <family val="2"/>
        <scheme val="minor"/>
      </rPr>
      <t xml:space="preserve">manually
4. Click on the </t>
    </r>
    <r>
      <rPr>
        <b/>
        <sz val="11"/>
        <rFont val="Calibri"/>
        <family val="2"/>
        <scheme val="minor"/>
      </rPr>
      <t>Search</t>
    </r>
    <r>
      <rPr>
        <sz val="11"/>
        <rFont val="Calibri"/>
        <family val="2"/>
        <scheme val="minor"/>
      </rPr>
      <t xml:space="preserve"> button.
5. Observe the filtered records in the grid.
6. Click on the dropdown icon of the </t>
    </r>
    <r>
      <rPr>
        <b/>
        <sz val="11"/>
        <rFont val="Calibri"/>
        <family val="2"/>
        <scheme val="minor"/>
      </rPr>
      <t xml:space="preserve">Sr. No. </t>
    </r>
    <r>
      <rPr>
        <sz val="11"/>
        <rFont val="Calibri"/>
        <family val="2"/>
        <scheme val="minor"/>
      </rPr>
      <t>textbox.
7. Select any</t>
    </r>
    <r>
      <rPr>
        <b/>
        <sz val="11"/>
        <rFont val="Calibri"/>
        <family val="2"/>
        <scheme val="minor"/>
      </rPr>
      <t xml:space="preserve"> Sr. No. </t>
    </r>
    <r>
      <rPr>
        <sz val="11"/>
        <rFont val="Calibri"/>
        <family val="2"/>
        <scheme val="minor"/>
      </rPr>
      <t xml:space="preserve">value from the dropdown.
8. Click on the </t>
    </r>
    <r>
      <rPr>
        <b/>
        <sz val="11"/>
        <rFont val="Calibri"/>
        <family val="2"/>
        <scheme val="minor"/>
      </rPr>
      <t>Search</t>
    </r>
    <r>
      <rPr>
        <sz val="11"/>
        <rFont val="Calibri"/>
        <family val="2"/>
        <scheme val="minor"/>
      </rPr>
      <t xml:space="preserve"> button and observe the grid.</t>
    </r>
  </si>
  <si>
    <t xml:space="preserve"> -&gt; Valid Sr. No.
 -&gt; Invalid Sr. No.</t>
  </si>
  <si>
    <r>
      <t xml:space="preserve">1. </t>
    </r>
    <r>
      <rPr>
        <b/>
        <sz val="11"/>
        <color theme="1"/>
        <rFont val="Calibri"/>
        <family val="2"/>
        <scheme val="minor"/>
      </rPr>
      <t xml:space="preserve">Sr. No. </t>
    </r>
    <r>
      <rPr>
        <sz val="11"/>
        <color theme="1"/>
        <rFont val="Calibri"/>
        <family val="2"/>
        <scheme val="minor"/>
      </rPr>
      <t>textbox should allow manual entry of values.
2.</t>
    </r>
    <r>
      <rPr>
        <b/>
        <sz val="11"/>
        <color theme="1"/>
        <rFont val="Calibri"/>
        <family val="2"/>
        <scheme val="minor"/>
      </rPr>
      <t xml:space="preserve"> Sr. No.</t>
    </r>
    <r>
      <rPr>
        <sz val="11"/>
        <color theme="1"/>
        <rFont val="Calibri"/>
        <family val="2"/>
        <scheme val="minor"/>
      </rPr>
      <t xml:space="preserve"> textbox should also allow selection from the dropdown.
3. When a matching </t>
    </r>
    <r>
      <rPr>
        <b/>
        <sz val="11"/>
        <color theme="1"/>
        <rFont val="Calibri"/>
        <family val="2"/>
        <scheme val="minor"/>
      </rPr>
      <t xml:space="preserve">Sr. No. </t>
    </r>
    <r>
      <rPr>
        <sz val="11"/>
        <color theme="1"/>
        <rFont val="Calibri"/>
        <family val="2"/>
        <scheme val="minor"/>
      </rPr>
      <t xml:space="preserve">is entered or selected, the related record should be filtered and displayed in the grid.
4. When a non-matching </t>
    </r>
    <r>
      <rPr>
        <b/>
        <sz val="11"/>
        <color theme="1"/>
        <rFont val="Calibri"/>
        <family val="2"/>
        <scheme val="minor"/>
      </rPr>
      <t xml:space="preserve">Sr. No. </t>
    </r>
    <r>
      <rPr>
        <sz val="11"/>
        <color theme="1"/>
        <rFont val="Calibri"/>
        <family val="2"/>
        <scheme val="minor"/>
      </rPr>
      <t xml:space="preserve">is entered or selected, no records should be displayed in the grid.
5. A </t>
    </r>
    <r>
      <rPr>
        <b/>
        <sz val="11"/>
        <color theme="1"/>
        <rFont val="Calibri"/>
        <family val="2"/>
        <scheme val="minor"/>
      </rPr>
      <t>“Record not found”</t>
    </r>
    <r>
      <rPr>
        <sz val="11"/>
        <color theme="1"/>
        <rFont val="Calibri"/>
        <family val="2"/>
        <scheme val="minor"/>
      </rPr>
      <t xml:space="preserve"> message should be displayed if no matching record exists.
6. The dropdown should remain visible and selectable until a value is selected.
</t>
    </r>
  </si>
  <si>
    <r>
      <t>1.</t>
    </r>
    <r>
      <rPr>
        <b/>
        <sz val="11"/>
        <color theme="1"/>
        <rFont val="Calibri"/>
        <family val="2"/>
        <scheme val="minor"/>
      </rPr>
      <t xml:space="preserve"> Sr. No.</t>
    </r>
    <r>
      <rPr>
        <sz val="11"/>
        <color theme="1"/>
        <rFont val="Calibri"/>
        <family val="2"/>
        <scheme val="minor"/>
      </rPr>
      <t xml:space="preserve"> textbox filtering is not working as expected.
2. When a specific</t>
    </r>
    <r>
      <rPr>
        <b/>
        <sz val="11"/>
        <color theme="1"/>
        <rFont val="Calibri"/>
        <family val="2"/>
        <scheme val="minor"/>
      </rPr>
      <t xml:space="preserve"> Sr. No. </t>
    </r>
    <r>
      <rPr>
        <sz val="11"/>
        <color theme="1"/>
        <rFont val="Calibri"/>
        <family val="2"/>
        <scheme val="minor"/>
      </rPr>
      <t>value is entered or selected, the grid displays</t>
    </r>
    <r>
      <rPr>
        <b/>
        <sz val="11"/>
        <color theme="1"/>
        <rFont val="Calibri"/>
        <family val="2"/>
        <scheme val="minor"/>
      </rPr>
      <t xml:space="preserve"> partial and non-relevant </t>
    </r>
    <r>
      <rPr>
        <sz val="11"/>
        <color theme="1"/>
        <rFont val="Calibri"/>
        <family val="2"/>
        <scheme val="minor"/>
      </rPr>
      <t xml:space="preserve">matching records along with the expected record.
Example:
 -&gt; Entered Sr. No.: 1
 -&gt; Records displayed in grid: 1, 1.12 etc.
 -&gt; The system is performing a partial match instead of an exact match.
3. For non-existing </t>
    </r>
    <r>
      <rPr>
        <b/>
        <sz val="11"/>
        <color theme="1"/>
        <rFont val="Calibri"/>
        <family val="2"/>
        <scheme val="minor"/>
      </rPr>
      <t xml:space="preserve">Sr. No. </t>
    </r>
    <r>
      <rPr>
        <sz val="11"/>
        <color theme="1"/>
        <rFont val="Calibri"/>
        <family val="2"/>
        <scheme val="minor"/>
      </rPr>
      <t xml:space="preserve">values, the </t>
    </r>
    <r>
      <rPr>
        <b/>
        <sz val="11"/>
        <color theme="1"/>
        <rFont val="Calibri"/>
        <family val="2"/>
        <scheme val="minor"/>
      </rPr>
      <t>“Record not found..!!!”</t>
    </r>
    <r>
      <rPr>
        <sz val="11"/>
        <color theme="1"/>
        <rFont val="Calibri"/>
        <family val="2"/>
        <scheme val="minor"/>
      </rPr>
      <t xml:space="preserve"> popup message is displayed correctly.
Note:  </t>
    </r>
    <r>
      <rPr>
        <b/>
        <sz val="11"/>
        <color theme="1"/>
        <rFont val="Calibri"/>
        <family val="2"/>
        <scheme val="minor"/>
      </rPr>
      <t>Sr. No. dropdown opens on clicking the dropdown icon but disappears immediately.</t>
    </r>
  </si>
  <si>
    <t>CESS_Master_03</t>
  </si>
  <si>
    <r>
      <t xml:space="preserve">Validate the functionality of </t>
    </r>
    <r>
      <rPr>
        <b/>
        <sz val="11"/>
        <rFont val="Calibri"/>
        <family val="2"/>
        <scheme val="minor"/>
      </rPr>
      <t>Sr. No.</t>
    </r>
    <r>
      <rPr>
        <sz val="11"/>
        <rFont val="Calibri"/>
        <family val="2"/>
        <scheme val="minor"/>
      </rPr>
      <t xml:space="preserve"> Search textbox of the left side panel in the </t>
    </r>
    <r>
      <rPr>
        <b/>
        <sz val="11"/>
        <rFont val="Calibri"/>
        <family val="2"/>
        <scheme val="minor"/>
      </rPr>
      <t>CESS Master</t>
    </r>
    <r>
      <rPr>
        <sz val="11"/>
        <rFont val="Calibri"/>
        <family val="2"/>
        <scheme val="minor"/>
      </rPr>
      <t xml:space="preserve"> Page</t>
    </r>
  </si>
  <si>
    <r>
      <rPr>
        <b/>
        <sz val="11"/>
        <color theme="1"/>
        <rFont val="Calibri"/>
        <family val="2"/>
        <scheme val="minor"/>
      </rPr>
      <t xml:space="preserve">Scenario 1: </t>
    </r>
    <r>
      <rPr>
        <sz val="11"/>
        <color theme="1"/>
        <rFont val="Calibri"/>
        <family val="2"/>
        <scheme val="minor"/>
      </rPr>
      <t xml:space="preserve">
1. Navigate to </t>
    </r>
    <r>
      <rPr>
        <b/>
        <sz val="11"/>
        <color theme="1"/>
        <rFont val="Calibri"/>
        <family val="2"/>
        <scheme val="minor"/>
      </rPr>
      <t>Masters → EDI Master → CESS Master</t>
    </r>
    <r>
      <rPr>
        <sz val="11"/>
        <color theme="1"/>
        <rFont val="Calibri"/>
        <family val="2"/>
        <scheme val="minor"/>
      </rPr>
      <t xml:space="preserve">
2. Locate the </t>
    </r>
    <r>
      <rPr>
        <b/>
        <sz val="11"/>
        <color theme="1"/>
        <rFont val="Calibri"/>
        <family val="2"/>
        <scheme val="minor"/>
      </rPr>
      <t>RITC Code</t>
    </r>
    <r>
      <rPr>
        <sz val="11"/>
        <color theme="1"/>
        <rFont val="Calibri"/>
        <family val="2"/>
        <scheme val="minor"/>
      </rPr>
      <t xml:space="preserve"> textbox in the left-side panel.
3. Enter a valid &amp; invalid </t>
    </r>
    <r>
      <rPr>
        <b/>
        <sz val="11"/>
        <color theme="1"/>
        <rFont val="Calibri"/>
        <family val="2"/>
        <scheme val="minor"/>
      </rPr>
      <t>RITC Code</t>
    </r>
    <r>
      <rPr>
        <sz val="11"/>
        <color theme="1"/>
        <rFont val="Calibri"/>
        <family val="2"/>
        <scheme val="minor"/>
      </rPr>
      <t xml:space="preserve">.
4. Click on the Search button.
5. Observe the filtered records in the grid.
6. Click on the dropdown icon of the RITC Code textbox.
7. Select any RITC Code value from the dropdown.
8. Click on the Search button and observe the grid.
=============================================
</t>
    </r>
    <r>
      <rPr>
        <b/>
        <sz val="11"/>
        <color theme="1"/>
        <rFont val="Calibri"/>
        <family val="2"/>
        <scheme val="minor"/>
      </rPr>
      <t xml:space="preserve">Scenario 2: </t>
    </r>
    <r>
      <rPr>
        <sz val="11"/>
        <color theme="1"/>
        <rFont val="Calibri"/>
        <family val="2"/>
        <scheme val="minor"/>
      </rPr>
      <t xml:space="preserve">
1. Enter or select a valid Sr. No. in the Sr. No. textbox.
2. Enter or select a RITC Code in the RITC Code textbox.
3. Click on the Search button.
4. Observe the filtered records in the grid.
</t>
    </r>
  </si>
  <si>
    <r>
      <rPr>
        <b/>
        <sz val="11"/>
        <color theme="1"/>
        <rFont val="Calibri"/>
        <family val="2"/>
        <scheme val="minor"/>
      </rPr>
      <t xml:space="preserve">Scenario 1. </t>
    </r>
    <r>
      <rPr>
        <sz val="11"/>
        <color theme="1"/>
        <rFont val="Calibri"/>
        <family val="2"/>
        <scheme val="minor"/>
      </rPr>
      <t xml:space="preserve">
1. User should be able to enter or select RITC Code.
2. If the entered/selected RITC Code exists, related record(s) should be displayed in the grid.
3. If the RITC Code does not exist, </t>
    </r>
    <r>
      <rPr>
        <b/>
        <sz val="11"/>
        <color theme="1"/>
        <rFont val="Calibri"/>
        <family val="2"/>
        <scheme val="minor"/>
      </rPr>
      <t>“Record not found..!!!”</t>
    </r>
    <r>
      <rPr>
        <sz val="11"/>
        <color theme="1"/>
        <rFont val="Calibri"/>
        <family val="2"/>
        <scheme val="minor"/>
      </rPr>
      <t xml:space="preserve"> message should be displayed.
4. Dropdown should remain visible until a value is selected.
==================================================
</t>
    </r>
    <r>
      <rPr>
        <b/>
        <sz val="11"/>
        <color theme="1"/>
        <rFont val="Calibri"/>
        <family val="2"/>
        <scheme val="minor"/>
      </rPr>
      <t xml:space="preserve">Scenario 2 </t>
    </r>
    <r>
      <rPr>
        <sz val="11"/>
        <color theme="1"/>
        <rFont val="Calibri"/>
        <family val="2"/>
        <scheme val="minor"/>
      </rPr>
      <t xml:space="preserve">
1. User should be able to enter or select values in both Sr. No. and RITC Code textboxes.
2. Grid should display records only when the selected RITC Code matches the selected Sr. No..
3. If RITC Code does not belong to the selected Sr. No., “Record not found..!!!” message should be displayed.</t>
    </r>
  </si>
  <si>
    <r>
      <rPr>
        <b/>
        <sz val="11"/>
        <color theme="1"/>
        <rFont val="Calibri"/>
        <family val="2"/>
        <scheme val="minor"/>
      </rPr>
      <t>Scenario1.</t>
    </r>
    <r>
      <rPr>
        <sz val="11"/>
        <color theme="1"/>
        <rFont val="Calibri"/>
        <family val="2"/>
        <scheme val="minor"/>
      </rPr>
      <t xml:space="preserve">
1. User is able to search RITC Code directly.
2. If record is matching, data is displayed in the grid.
3. If record is not matching,</t>
    </r>
    <r>
      <rPr>
        <b/>
        <sz val="11"/>
        <color theme="1"/>
        <rFont val="Calibri"/>
        <family val="2"/>
        <scheme val="minor"/>
      </rPr>
      <t xml:space="preserve"> “No record found”</t>
    </r>
    <r>
      <rPr>
        <sz val="11"/>
        <color theme="1"/>
        <rFont val="Calibri"/>
        <family val="2"/>
        <scheme val="minor"/>
      </rPr>
      <t xml:space="preserve"> message is displayed.
===================================================
</t>
    </r>
    <r>
      <rPr>
        <b/>
        <sz val="11"/>
        <color theme="1"/>
        <rFont val="Calibri"/>
        <family val="2"/>
        <scheme val="minor"/>
      </rPr>
      <t xml:space="preserve">Scenario2.
</t>
    </r>
    <r>
      <rPr>
        <sz val="11"/>
        <color theme="1"/>
        <rFont val="Calibri"/>
        <family val="2"/>
        <scheme val="minor"/>
      </rPr>
      <t xml:space="preserve">1. User is able to search </t>
    </r>
    <r>
      <rPr>
        <b/>
        <sz val="11"/>
        <color theme="1"/>
        <rFont val="Calibri"/>
        <family val="2"/>
        <scheme val="minor"/>
      </rPr>
      <t>RITC Code</t>
    </r>
    <r>
      <rPr>
        <sz val="11"/>
        <color theme="1"/>
        <rFont val="Calibri"/>
        <family val="2"/>
        <scheme val="minor"/>
      </rPr>
      <t xml:space="preserve"> after selecting</t>
    </r>
    <r>
      <rPr>
        <b/>
        <sz val="11"/>
        <color theme="1"/>
        <rFont val="Calibri"/>
        <family val="2"/>
        <scheme val="minor"/>
      </rPr>
      <t xml:space="preserve"> Sr. No.</t>
    </r>
    <r>
      <rPr>
        <sz val="11"/>
        <color theme="1"/>
        <rFont val="Calibri"/>
        <family val="2"/>
        <scheme val="minor"/>
      </rPr>
      <t xml:space="preserve">
2. Entered or selected RITC Code is displayed under multiple Sr. No. values, instead of the selected Sr. No. only.
Example:  </t>
    </r>
    <r>
      <rPr>
        <b/>
        <sz val="11"/>
        <color theme="1"/>
        <rFont val="Calibri"/>
        <family val="2"/>
        <scheme val="minor"/>
      </rPr>
      <t>Sr. No. entered: 1</t>
    </r>
    <r>
      <rPr>
        <sz val="11"/>
        <color theme="1"/>
        <rFont val="Calibri"/>
        <family val="2"/>
        <scheme val="minor"/>
      </rPr>
      <t xml:space="preserve">
</t>
    </r>
    <r>
      <rPr>
        <b/>
        <sz val="11"/>
        <color theme="1"/>
        <rFont val="Calibri"/>
        <family val="2"/>
        <scheme val="minor"/>
      </rPr>
      <t>RITC Code entered: 72041000</t>
    </r>
    <r>
      <rPr>
        <sz val="11"/>
        <color theme="1"/>
        <rFont val="Calibri"/>
        <family val="2"/>
        <scheme val="minor"/>
      </rPr>
      <t xml:space="preserve">
</t>
    </r>
    <r>
      <rPr>
        <b/>
        <sz val="11"/>
        <color theme="1"/>
        <rFont val="Calibri"/>
        <family val="2"/>
        <scheme val="minor"/>
      </rPr>
      <t>Record displayed under:</t>
    </r>
    <r>
      <rPr>
        <sz val="11"/>
        <color theme="1"/>
        <rFont val="Calibri"/>
        <family val="2"/>
        <scheme val="minor"/>
      </rPr>
      <t xml:space="preserve">
Sr. No. 1
Sr. No. 1.50
Note:  </t>
    </r>
    <r>
      <rPr>
        <b/>
        <sz val="11"/>
        <color theme="1"/>
        <rFont val="Calibri"/>
        <family val="2"/>
        <scheme val="minor"/>
      </rPr>
      <t>RITC dropdown opens on clicking the dropdown icon but disappears immediately.</t>
    </r>
  </si>
  <si>
    <t>CESS_Master_04</t>
  </si>
  <si>
    <t xml:space="preserve">EDI Master --&gt; CESS Schedule Master
</t>
  </si>
  <si>
    <r>
      <t xml:space="preserve">Validate the functionality of </t>
    </r>
    <r>
      <rPr>
        <b/>
        <sz val="11"/>
        <color theme="1"/>
        <rFont val="Calibri"/>
        <family val="2"/>
        <scheme val="minor"/>
      </rPr>
      <t xml:space="preserve">RITC Code </t>
    </r>
    <r>
      <rPr>
        <sz val="11"/>
        <color theme="1"/>
        <rFont val="Calibri"/>
        <family val="2"/>
        <scheme val="minor"/>
      </rPr>
      <t xml:space="preserve">Search textbox of the left side panel in the </t>
    </r>
    <r>
      <rPr>
        <b/>
        <sz val="11"/>
        <color theme="1"/>
        <rFont val="Calibri"/>
        <family val="2"/>
        <scheme val="minor"/>
      </rPr>
      <t>CESS Master</t>
    </r>
    <r>
      <rPr>
        <sz val="11"/>
        <color theme="1"/>
        <rFont val="Calibri"/>
        <family val="2"/>
        <scheme val="minor"/>
      </rPr>
      <t xml:space="preserve"> Page.</t>
    </r>
  </si>
  <si>
    <r>
      <t>Validate the functionality of</t>
    </r>
    <r>
      <rPr>
        <b/>
        <sz val="11"/>
        <color theme="1"/>
        <rFont val="Calibri"/>
        <family val="2"/>
        <scheme val="minor"/>
      </rPr>
      <t xml:space="preserve"> Serial Number</t>
    </r>
    <r>
      <rPr>
        <sz val="11"/>
        <color theme="1"/>
        <rFont val="Calibri"/>
        <family val="2"/>
        <scheme val="minor"/>
      </rPr>
      <t xml:space="preserve"> 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</si>
  <si>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Serial Number</t>
    </r>
    <r>
      <rPr>
        <sz val="11"/>
        <rFont val="Calibri"/>
        <family val="2"/>
        <scheme val="minor"/>
      </rPr>
      <t xml:space="preserve"> textobx.
3. Enter Valid &amp; Invalid Data in </t>
    </r>
    <r>
      <rPr>
        <b/>
        <sz val="11"/>
        <rFont val="Calibri"/>
        <family val="2"/>
        <scheme val="minor"/>
      </rPr>
      <t>Serial Number</t>
    </r>
    <r>
      <rPr>
        <sz val="11"/>
        <rFont val="Calibri"/>
        <family val="2"/>
        <scheme val="minor"/>
      </rPr>
      <t xml:space="preserve"> textbox.
4. Observe the system behaviour.</t>
    </r>
  </si>
  <si>
    <r>
      <t xml:space="preserve">1. </t>
    </r>
    <r>
      <rPr>
        <b/>
        <sz val="11"/>
        <color theme="1"/>
        <rFont val="Calibri"/>
        <family val="2"/>
        <scheme val="minor"/>
      </rPr>
      <t>Serial Number</t>
    </r>
    <r>
      <rPr>
        <sz val="11"/>
        <color theme="1"/>
        <rFont val="Calibri"/>
        <family val="2"/>
        <scheme val="minor"/>
      </rPr>
      <t xml:space="preserve"> textbox should accept:
 -&gt; Alphabetic value
 -&gt; Numeric value
 -&gt; In Speical character - Dot(.)</t>
    </r>
    <r>
      <rPr>
        <b/>
        <sz val="11"/>
        <color theme="1"/>
        <rFont val="Calibri"/>
        <family val="2"/>
        <scheme val="minor"/>
      </rPr>
      <t xml:space="preserve">
2. Serial Number</t>
    </r>
    <r>
      <rPr>
        <sz val="11"/>
        <color theme="1"/>
        <rFont val="Calibri"/>
        <family val="2"/>
        <scheme val="minor"/>
      </rPr>
      <t xml:space="preserve"> textbox should not accept: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Serial Number</t>
    </r>
    <r>
      <rPr>
        <sz val="11"/>
        <color theme="1"/>
        <rFont val="Calibri"/>
        <family val="2"/>
        <scheme val="minor"/>
      </rPr>
      <t xml:space="preserve"> textbox length validation should be 10 character </t>
    </r>
  </si>
  <si>
    <t>Currently it is accepting all type of value.
Note: Discussion required about this textbox, what type of value should be accepted or not</t>
  </si>
  <si>
    <r>
      <t>Validate the functionality of</t>
    </r>
    <r>
      <rPr>
        <b/>
        <sz val="11"/>
        <color theme="1"/>
        <rFont val="Calibri"/>
        <family val="2"/>
        <scheme val="minor"/>
      </rPr>
      <t xml:space="preserve"> RITC Code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</si>
  <si>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RITC Code</t>
    </r>
    <r>
      <rPr>
        <sz val="11"/>
        <rFont val="Calibri"/>
        <family val="2"/>
        <scheme val="minor"/>
      </rPr>
      <t xml:space="preserve"> textobx.
3. Enter Valid &amp; Invalid Data in </t>
    </r>
    <r>
      <rPr>
        <b/>
        <sz val="11"/>
        <rFont val="Calibri"/>
        <family val="2"/>
        <scheme val="minor"/>
      </rPr>
      <t>RITC Code</t>
    </r>
    <r>
      <rPr>
        <sz val="11"/>
        <rFont val="Calibri"/>
        <family val="2"/>
        <scheme val="minor"/>
      </rPr>
      <t xml:space="preserve"> textbox.
4. Observe the system behaviour.</t>
    </r>
  </si>
  <si>
    <r>
      <t xml:space="preserve">1. </t>
    </r>
    <r>
      <rPr>
        <b/>
        <sz val="11"/>
        <color theme="1"/>
        <rFont val="Calibri"/>
        <family val="2"/>
        <scheme val="minor"/>
      </rPr>
      <t>RITC Code</t>
    </r>
    <r>
      <rPr>
        <sz val="11"/>
        <color theme="1"/>
        <rFont val="Calibri"/>
        <family val="2"/>
        <scheme val="minor"/>
      </rPr>
      <t xml:space="preserve"> textbox should accept:
 -&gt; Numeric value (0 To 9)</t>
    </r>
    <r>
      <rPr>
        <b/>
        <sz val="11"/>
        <color theme="1"/>
        <rFont val="Calibri"/>
        <family val="2"/>
        <scheme val="minor"/>
      </rPr>
      <t xml:space="preserve">
2. RITC Code</t>
    </r>
    <r>
      <rPr>
        <sz val="11"/>
        <color theme="1"/>
        <rFont val="Calibri"/>
        <family val="2"/>
        <scheme val="minor"/>
      </rPr>
      <t xml:space="preserve"> textbox should not accept:
 -&gt; Special characters
 -&gt; Alphabetic values
3. </t>
    </r>
    <r>
      <rPr>
        <b/>
        <sz val="11"/>
        <color theme="1"/>
        <rFont val="Calibri"/>
        <family val="2"/>
        <scheme val="minor"/>
      </rPr>
      <t>RITC Code</t>
    </r>
    <r>
      <rPr>
        <sz val="11"/>
        <color theme="1"/>
        <rFont val="Calibri"/>
        <family val="2"/>
        <scheme val="minor"/>
      </rPr>
      <t xml:space="preserve"> textbox length validation should be 8 character </t>
    </r>
  </si>
  <si>
    <r>
      <t xml:space="preserve">1. Functionality is not working as expected.
2. </t>
    </r>
    <r>
      <rPr>
        <b/>
        <sz val="11"/>
        <color theme="1"/>
        <rFont val="Calibri"/>
        <family val="2"/>
        <scheme val="minor"/>
      </rPr>
      <t xml:space="preserve">RITC Code </t>
    </r>
    <r>
      <rPr>
        <sz val="11"/>
        <color theme="1"/>
        <rFont val="Calibri"/>
        <family val="2"/>
        <scheme val="minor"/>
      </rPr>
      <t>textbox is accepting all types of values.
3. 8 character length is implemented successfully
Note: As per the business Rule, This textbox should accept only Numberic value (0-9).</t>
    </r>
  </si>
  <si>
    <t>CESS_Master_06</t>
  </si>
  <si>
    <r>
      <t>Validate the functionality of</t>
    </r>
    <r>
      <rPr>
        <b/>
        <sz val="11"/>
        <color theme="1"/>
        <rFont val="Calibri"/>
        <family val="2"/>
        <scheme val="minor"/>
      </rPr>
      <t xml:space="preserve"> Notify No.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</si>
  <si>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 xml:space="preserve"> </t>
    </r>
    <r>
      <rPr>
        <sz val="11"/>
        <rFont val="Calibri"/>
        <family val="2"/>
        <scheme val="minor"/>
      </rPr>
      <t xml:space="preserve"> textobx.
3. Enter Valid &amp; Invalid Data in </t>
    </r>
    <r>
      <rPr>
        <b/>
        <sz val="11"/>
        <rFont val="Calibri"/>
        <family val="2"/>
        <scheme val="minor"/>
      </rPr>
      <t>Notify No.</t>
    </r>
    <r>
      <rPr>
        <sz val="11"/>
        <rFont val="Calibri"/>
        <family val="2"/>
        <scheme val="minor"/>
      </rPr>
      <t xml:space="preserve"> textbox.
4. Observe the system behaviour.</t>
    </r>
  </si>
  <si>
    <r>
      <t xml:space="preserve">1. </t>
    </r>
    <r>
      <rPr>
        <b/>
        <sz val="11"/>
        <color theme="1"/>
        <rFont val="Calibri"/>
        <family val="2"/>
        <scheme val="minor"/>
      </rPr>
      <t>Notify No.</t>
    </r>
    <r>
      <rPr>
        <sz val="11"/>
        <color theme="1"/>
        <rFont val="Calibri"/>
        <family val="2"/>
        <scheme val="minor"/>
      </rPr>
      <t xml:space="preserve"> textbox should accept:
 -&gt; Numeric value (0 To 9)
 -&gt; Alphabetic values (A - Z)</t>
    </r>
    <r>
      <rPr>
        <b/>
        <sz val="11"/>
        <color theme="1"/>
        <rFont val="Calibri"/>
        <family val="2"/>
        <scheme val="minor"/>
      </rPr>
      <t xml:space="preserve">
2. Notify No.</t>
    </r>
    <r>
      <rPr>
        <sz val="11"/>
        <color theme="1"/>
        <rFont val="Calibri"/>
        <family val="2"/>
        <scheme val="minor"/>
      </rPr>
      <t xml:space="preserve"> textbox should not accept:
 -&gt; Special characters
3. </t>
    </r>
    <r>
      <rPr>
        <b/>
        <sz val="11"/>
        <color theme="1"/>
        <rFont val="Calibri"/>
        <family val="2"/>
        <scheme val="minor"/>
      </rPr>
      <t>Notify No.</t>
    </r>
    <r>
      <rPr>
        <sz val="11"/>
        <color theme="1"/>
        <rFont val="Calibri"/>
        <family val="2"/>
        <scheme val="minor"/>
      </rPr>
      <t xml:space="preserve"> textbox length validation should be 15 character </t>
    </r>
  </si>
  <si>
    <r>
      <t xml:space="preserve">1. Functionality is not working as expected.
2. </t>
    </r>
    <r>
      <rPr>
        <b/>
        <sz val="11"/>
        <color theme="1"/>
        <rFont val="Calibri"/>
        <family val="2"/>
        <scheme val="minor"/>
      </rPr>
      <t xml:space="preserve">Notify No. </t>
    </r>
    <r>
      <rPr>
        <sz val="11"/>
        <color theme="1"/>
        <rFont val="Calibri"/>
        <family val="2"/>
        <scheme val="minor"/>
      </rPr>
      <t>textbox is accepting all types of values.
3. 15 character length is implemented successfully
Note: Discussion required, what type of value should be acceoted.</t>
    </r>
  </si>
  <si>
    <t>CESS_Master_07</t>
  </si>
  <si>
    <r>
      <t xml:space="preserve">Validate the functionality of </t>
    </r>
    <r>
      <rPr>
        <b/>
        <sz val="11"/>
        <color theme="1"/>
        <rFont val="Calibri"/>
        <family val="2"/>
        <scheme val="minor"/>
      </rPr>
      <t>Effective Date</t>
    </r>
    <r>
      <rPr>
        <sz val="11"/>
        <color theme="1"/>
        <rFont val="Calibri"/>
        <family val="2"/>
        <scheme val="minor"/>
      </rPr>
      <t xml:space="preserve"> textbox in the</t>
    </r>
    <r>
      <rPr>
        <b/>
        <sz val="11"/>
        <color theme="1"/>
        <rFont val="Calibri"/>
        <family val="2"/>
        <scheme val="minor"/>
      </rPr>
      <t xml:space="preserve"> CESS Master</t>
    </r>
    <r>
      <rPr>
        <sz val="11"/>
        <color theme="1"/>
        <rFont val="Calibri"/>
        <family val="2"/>
        <scheme val="minor"/>
      </rPr>
      <t xml:space="preserve"> Page.</t>
    </r>
  </si>
  <si>
    <r>
      <t xml:space="preserve">Textbox - </t>
    </r>
    <r>
      <rPr>
        <b/>
        <sz val="11"/>
        <color theme="1"/>
        <rFont val="Calibri"/>
        <family val="2"/>
        <scheme val="minor"/>
      </rPr>
      <t>Effective Date
Manual Inputs:</t>
    </r>
    <r>
      <rPr>
        <sz val="11"/>
        <color theme="1"/>
        <rFont val="Calibri"/>
        <family val="2"/>
        <scheme val="minor"/>
      </rPr>
      <t xml:space="preserve">
 -&gt; 1234567890
 -&gt; 634637423
</t>
    </r>
    <r>
      <rPr>
        <b/>
        <sz val="11"/>
        <color theme="1"/>
        <rFont val="Calibri"/>
        <family val="2"/>
        <scheme val="minor"/>
      </rPr>
      <t>Autosuggest Value:</t>
    </r>
    <r>
      <rPr>
        <sz val="11"/>
        <color theme="1"/>
        <rFont val="Calibri"/>
        <family val="2"/>
        <scheme val="minor"/>
      </rPr>
      <t xml:space="preserve">
 -&gt; 06/02/2026
</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</si>
  <si>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Effective Date</t>
    </r>
    <r>
      <rPr>
        <sz val="11"/>
        <rFont val="Calibri"/>
        <family val="2"/>
        <scheme val="minor"/>
      </rPr>
      <t xml:space="preserve"> textobx.
3. Enter valid &amp; Invalid </t>
    </r>
    <r>
      <rPr>
        <b/>
        <sz val="11"/>
        <rFont val="Calibri"/>
        <family val="2"/>
        <scheme val="minor"/>
      </rPr>
      <t>Effective date</t>
    </r>
    <r>
      <rPr>
        <sz val="11"/>
        <rFont val="Calibri"/>
        <family val="2"/>
        <scheme val="minor"/>
      </rPr>
      <t xml:space="preserve"> manually
4. Select valid &amp; Invalid </t>
    </r>
    <r>
      <rPr>
        <b/>
        <sz val="11"/>
        <rFont val="Calibri"/>
        <family val="2"/>
        <scheme val="minor"/>
      </rPr>
      <t>Effective date</t>
    </r>
    <r>
      <rPr>
        <sz val="11"/>
        <rFont val="Calibri"/>
        <family val="2"/>
        <scheme val="minor"/>
      </rPr>
      <t xml:space="preserve"> from the autosuggest calander
5. Observe the system behaviour.</t>
    </r>
  </si>
  <si>
    <t>CESS_Master_08</t>
  </si>
  <si>
    <r>
      <t xml:space="preserve">Validate the functionality of </t>
    </r>
    <r>
      <rPr>
        <b/>
        <sz val="11"/>
        <color theme="1"/>
        <rFont val="Calibri"/>
        <family val="2"/>
        <scheme val="minor"/>
      </rPr>
      <t>Valid Upto</t>
    </r>
    <r>
      <rPr>
        <sz val="11"/>
        <color theme="1"/>
        <rFont val="Calibri"/>
        <family val="2"/>
        <scheme val="minor"/>
      </rPr>
      <t xml:space="preserve"> textbox in the</t>
    </r>
    <r>
      <rPr>
        <b/>
        <sz val="11"/>
        <color theme="1"/>
        <rFont val="Calibri"/>
        <family val="2"/>
        <scheme val="minor"/>
      </rPr>
      <t xml:space="preserve"> CESS Master</t>
    </r>
    <r>
      <rPr>
        <sz val="11"/>
        <color theme="1"/>
        <rFont val="Calibri"/>
        <family val="2"/>
        <scheme val="minor"/>
      </rPr>
      <t xml:space="preserve"> Page.</t>
    </r>
  </si>
  <si>
    <r>
      <t xml:space="preserve">1. </t>
    </r>
    <r>
      <rPr>
        <b/>
        <sz val="11"/>
        <color theme="1"/>
        <rFont val="Calibri"/>
        <family val="2"/>
        <scheme val="minor"/>
      </rPr>
      <t>Effective Date</t>
    </r>
    <r>
      <rPr>
        <sz val="11"/>
        <color theme="1"/>
        <rFont val="Calibri"/>
        <family val="2"/>
        <scheme val="minor"/>
      </rPr>
      <t xml:space="preserve"> textbox should not accept invalid date format
2. User should be able to save valid Effective Date format.
3. If an invalid date format is entered, a proper validation message should be displayed while saving.
4. Selected date should be displayed in </t>
    </r>
    <r>
      <rPr>
        <b/>
        <sz val="11"/>
        <color theme="1"/>
        <rFont val="Calibri"/>
        <family val="2"/>
        <scheme val="minor"/>
      </rPr>
      <t>DD/MM/YYYY</t>
    </r>
    <r>
      <rPr>
        <sz val="11"/>
        <color theme="1"/>
        <rFont val="Calibri"/>
        <family val="2"/>
        <scheme val="minor"/>
      </rPr>
      <t xml:space="preserve"> format.
5. </t>
    </r>
    <r>
      <rPr>
        <b/>
        <sz val="11"/>
        <color theme="1"/>
        <rFont val="Calibri"/>
        <family val="2"/>
        <scheme val="minor"/>
      </rPr>
      <t>Effective Date</t>
    </r>
    <r>
      <rPr>
        <sz val="11"/>
        <color theme="1"/>
        <rFont val="Calibri"/>
        <family val="2"/>
        <scheme val="minor"/>
      </rPr>
      <t xml:space="preserve"> textbox should have a maximum character limit of 10 characters.</t>
    </r>
  </si>
  <si>
    <r>
      <t xml:space="preserve">1. Effective Date textbox does not accept invalid date formats.
2. While saving the record with an invalid date format, a validation message is displayed.
3. Valid date selected from the calendar is displayed correctly.
Note: 
 -&gt; Current Massage: 
</t>
    </r>
    <r>
      <rPr>
        <b/>
        <sz val="11"/>
        <color theme="1"/>
        <rFont val="Calibri"/>
        <family val="2"/>
        <scheme val="minor"/>
      </rPr>
      <t>String was not recognized as a valid DateTime.</t>
    </r>
    <r>
      <rPr>
        <sz val="11"/>
        <color theme="1"/>
        <rFont val="Calibri"/>
        <family val="2"/>
        <scheme val="minor"/>
      </rPr>
      <t xml:space="preserve">
Expected Message:
</t>
    </r>
    <r>
      <rPr>
        <b/>
        <sz val="11"/>
        <color theme="1"/>
        <rFont val="Calibri"/>
        <family val="2"/>
        <scheme val="minor"/>
      </rPr>
      <t xml:space="preserve">Please enter valid Effective Date in "DD/MM/YYYY" format. </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</si>
  <si>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Valid Upto</t>
    </r>
    <r>
      <rPr>
        <sz val="11"/>
        <rFont val="Calibri"/>
        <family val="2"/>
        <scheme val="minor"/>
      </rPr>
      <t xml:space="preserve"> textobx.
3. Enter valid &amp; Invalid </t>
    </r>
    <r>
      <rPr>
        <b/>
        <sz val="11"/>
        <rFont val="Calibri"/>
        <family val="2"/>
        <scheme val="minor"/>
      </rPr>
      <t>Valid Upto</t>
    </r>
    <r>
      <rPr>
        <sz val="11"/>
        <rFont val="Calibri"/>
        <family val="2"/>
        <scheme val="minor"/>
      </rPr>
      <t xml:space="preserve"> manually
4. Select valid &amp; Invalid </t>
    </r>
    <r>
      <rPr>
        <b/>
        <sz val="11"/>
        <rFont val="Calibri"/>
        <family val="2"/>
        <scheme val="minor"/>
      </rPr>
      <t>Valid Upto</t>
    </r>
    <r>
      <rPr>
        <sz val="11"/>
        <rFont val="Calibri"/>
        <family val="2"/>
        <scheme val="minor"/>
      </rPr>
      <t xml:space="preserve"> from the autosuggest calander
5. Observe the system behaviour.</t>
    </r>
  </si>
  <si>
    <r>
      <t xml:space="preserve">Textbox - </t>
    </r>
    <r>
      <rPr>
        <b/>
        <sz val="11"/>
        <color theme="1"/>
        <rFont val="Calibri"/>
        <family val="2"/>
        <scheme val="minor"/>
      </rPr>
      <t>Valid Upto
Manual Inputs:</t>
    </r>
    <r>
      <rPr>
        <sz val="11"/>
        <color theme="1"/>
        <rFont val="Calibri"/>
        <family val="2"/>
        <scheme val="minor"/>
      </rPr>
      <t xml:space="preserve">
 -&gt; 1234567890
 -&gt; 634637423
</t>
    </r>
    <r>
      <rPr>
        <b/>
        <sz val="11"/>
        <color theme="1"/>
        <rFont val="Calibri"/>
        <family val="2"/>
        <scheme val="minor"/>
      </rPr>
      <t>Autosuggest Value:</t>
    </r>
    <r>
      <rPr>
        <sz val="11"/>
        <color theme="1"/>
        <rFont val="Calibri"/>
        <family val="2"/>
        <scheme val="minor"/>
      </rPr>
      <t xml:space="preserve">
 -&gt; 06/02/2026
</t>
    </r>
  </si>
  <si>
    <r>
      <t xml:space="preserve">1. </t>
    </r>
    <r>
      <rPr>
        <b/>
        <sz val="11"/>
        <color theme="1"/>
        <rFont val="Calibri"/>
        <family val="2"/>
        <scheme val="minor"/>
      </rPr>
      <t>Valid Upto</t>
    </r>
    <r>
      <rPr>
        <sz val="11"/>
        <color theme="1"/>
        <rFont val="Calibri"/>
        <family val="2"/>
        <scheme val="minor"/>
      </rPr>
      <t xml:space="preserve"> textbox should not accept invalid date format
2. User should be able to save valid </t>
    </r>
    <r>
      <rPr>
        <b/>
        <sz val="11"/>
        <color theme="1"/>
        <rFont val="Calibri"/>
        <family val="2"/>
        <scheme val="minor"/>
      </rPr>
      <t>Valid Upto</t>
    </r>
    <r>
      <rPr>
        <sz val="11"/>
        <color theme="1"/>
        <rFont val="Calibri"/>
        <family val="2"/>
        <scheme val="minor"/>
      </rPr>
      <t xml:space="preserve"> date format.
3. If an invalid date format is entered, a proper validation message should be displayed while saving.
4. Selected date should be displayed in </t>
    </r>
    <r>
      <rPr>
        <b/>
        <sz val="11"/>
        <color theme="1"/>
        <rFont val="Calibri"/>
        <family val="2"/>
        <scheme val="minor"/>
      </rPr>
      <t>DD/MM/YYYY</t>
    </r>
    <r>
      <rPr>
        <sz val="11"/>
        <color theme="1"/>
        <rFont val="Calibri"/>
        <family val="2"/>
        <scheme val="minor"/>
      </rPr>
      <t xml:space="preserve"> format.
5. </t>
    </r>
    <r>
      <rPr>
        <b/>
        <sz val="11"/>
        <color theme="1"/>
        <rFont val="Calibri"/>
        <family val="2"/>
        <scheme val="minor"/>
      </rPr>
      <t>Valid Upto</t>
    </r>
    <r>
      <rPr>
        <sz val="11"/>
        <color theme="1"/>
        <rFont val="Calibri"/>
        <family val="2"/>
        <scheme val="minor"/>
      </rPr>
      <t xml:space="preserve"> textbox should have a maximum character limit of 10 characters.</t>
    </r>
  </si>
  <si>
    <t>Pass
 (With Observation)</t>
  </si>
  <si>
    <r>
      <t xml:space="preserve">1. </t>
    </r>
    <r>
      <rPr>
        <b/>
        <sz val="11"/>
        <color theme="1"/>
        <rFont val="Calibri"/>
        <family val="2"/>
        <scheme val="minor"/>
      </rPr>
      <t>Valid Upto</t>
    </r>
    <r>
      <rPr>
        <sz val="11"/>
        <color theme="1"/>
        <rFont val="Calibri"/>
        <family val="2"/>
        <scheme val="minor"/>
      </rPr>
      <t xml:space="preserve"> textbox does not accept invalid date formats.
2. While saving the record with an invalid date format, a validation message is displayed.
3. Valid date selected from the calendar is displayed correctly.
Note: 
 -&gt; Current Massage: 
</t>
    </r>
    <r>
      <rPr>
        <b/>
        <sz val="11"/>
        <color theme="1"/>
        <rFont val="Calibri"/>
        <family val="2"/>
        <scheme val="minor"/>
      </rPr>
      <t>String was not recognized as a valid DateTime.</t>
    </r>
    <r>
      <rPr>
        <sz val="11"/>
        <color theme="1"/>
        <rFont val="Calibri"/>
        <family val="2"/>
        <scheme val="minor"/>
      </rPr>
      <t xml:space="preserve">
Expected Message:
</t>
    </r>
    <r>
      <rPr>
        <b/>
        <sz val="11"/>
        <color theme="1"/>
        <rFont val="Calibri"/>
        <family val="2"/>
        <scheme val="minor"/>
      </rPr>
      <t xml:space="preserve">Please enter valid Valid Upto in "DD/MM/YYYY" format. </t>
    </r>
  </si>
  <si>
    <t>CESS_Master_09</t>
  </si>
  <si>
    <r>
      <t>Validate the functionality of</t>
    </r>
    <r>
      <rPr>
        <b/>
        <sz val="11"/>
        <color theme="1"/>
        <rFont val="Calibri"/>
        <family val="2"/>
        <scheme val="minor"/>
      </rPr>
      <t xml:space="preserve"> CESS Act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</si>
  <si>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CESS Act</t>
    </r>
    <r>
      <rPr>
        <sz val="11"/>
        <rFont val="Calibri"/>
        <family val="2"/>
        <scheme val="minor"/>
      </rPr>
      <t xml:space="preserve"> textobx.
3. Enter Valid &amp; Invalid Data in </t>
    </r>
    <r>
      <rPr>
        <b/>
        <sz val="11"/>
        <rFont val="Calibri"/>
        <family val="2"/>
        <scheme val="minor"/>
      </rPr>
      <t>CESS Act</t>
    </r>
    <r>
      <rPr>
        <sz val="11"/>
        <rFont val="Calibri"/>
        <family val="2"/>
        <scheme val="minor"/>
      </rPr>
      <t xml:space="preserve"> textbox.
4. Observe the system behaviour.</t>
    </r>
  </si>
  <si>
    <r>
      <t xml:space="preserve">1. As per the Use Case, </t>
    </r>
    <r>
      <rPr>
        <b/>
        <sz val="11"/>
        <color theme="1"/>
        <rFont val="Calibri"/>
        <family val="2"/>
        <scheme val="minor"/>
      </rPr>
      <t>CESS Act</t>
    </r>
    <r>
      <rPr>
        <sz val="11"/>
        <color theme="1"/>
        <rFont val="Calibri"/>
        <family val="2"/>
        <scheme val="minor"/>
      </rPr>
      <t xml:space="preserve"> textbox should accept:
 -&gt; Numeric value (0 To 9)
 -&gt; Alphabetic values (A - Z)</t>
    </r>
    <r>
      <rPr>
        <b/>
        <sz val="11"/>
        <color theme="1"/>
        <rFont val="Calibri"/>
        <family val="2"/>
        <scheme val="minor"/>
      </rPr>
      <t xml:space="preserve">
2. CESS Act</t>
    </r>
    <r>
      <rPr>
        <sz val="11"/>
        <color theme="1"/>
        <rFont val="Calibri"/>
        <family val="2"/>
        <scheme val="minor"/>
      </rPr>
      <t xml:space="preserve"> textbox should not accept:
 -&gt; Special characters
3. </t>
    </r>
    <r>
      <rPr>
        <b/>
        <sz val="11"/>
        <color theme="1"/>
        <rFont val="Calibri"/>
        <family val="2"/>
        <scheme val="minor"/>
      </rPr>
      <t>CESS Act</t>
    </r>
    <r>
      <rPr>
        <sz val="11"/>
        <color theme="1"/>
        <rFont val="Calibri"/>
        <family val="2"/>
        <scheme val="minor"/>
      </rPr>
      <t xml:space="preserve"> textbox length validation should be 200 character </t>
    </r>
  </si>
  <si>
    <r>
      <t xml:space="preserve">1. </t>
    </r>
    <r>
      <rPr>
        <b/>
        <sz val="11"/>
        <color theme="1"/>
        <rFont val="Calibri"/>
        <family val="2"/>
        <scheme val="minor"/>
      </rPr>
      <t xml:space="preserve">CESS Act </t>
    </r>
    <r>
      <rPr>
        <sz val="11"/>
        <color theme="1"/>
        <rFont val="Calibri"/>
        <family val="2"/>
        <scheme val="minor"/>
      </rPr>
      <t xml:space="preserve">textbox is accepting all types of values.
3. 200 character length is implemented successfully
</t>
    </r>
    <r>
      <rPr>
        <b/>
        <sz val="11"/>
        <color theme="1"/>
        <rFont val="Calibri"/>
        <family val="2"/>
        <scheme val="minor"/>
      </rPr>
      <t>Note: Discussion required, what type of value should be acceoted.</t>
    </r>
  </si>
  <si>
    <t>CESS_Master_10</t>
  </si>
  <si>
    <r>
      <t>Validate the functionality of</t>
    </r>
    <r>
      <rPr>
        <b/>
        <sz val="11"/>
        <color theme="1"/>
        <rFont val="Calibri"/>
        <family val="2"/>
        <scheme val="minor"/>
      </rPr>
      <t xml:space="preserve"> CESS Commodity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</si>
  <si>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CESS Commodity</t>
    </r>
    <r>
      <rPr>
        <sz val="11"/>
        <rFont val="Calibri"/>
        <family val="2"/>
        <scheme val="minor"/>
      </rPr>
      <t xml:space="preserve"> textobx.
3. Enter Valid &amp; Invalid Data in </t>
    </r>
    <r>
      <rPr>
        <b/>
        <sz val="11"/>
        <rFont val="Calibri"/>
        <family val="2"/>
        <scheme val="minor"/>
      </rPr>
      <t>CESS Commodity</t>
    </r>
    <r>
      <rPr>
        <sz val="11"/>
        <rFont val="Calibri"/>
        <family val="2"/>
        <scheme val="minor"/>
      </rPr>
      <t xml:space="preserve"> textbox.
4. Observe the system behaviour.</t>
    </r>
  </si>
  <si>
    <r>
      <t xml:space="preserve">1. As per the Use Case, </t>
    </r>
    <r>
      <rPr>
        <b/>
        <sz val="11"/>
        <color theme="1"/>
        <rFont val="Calibri"/>
        <family val="2"/>
        <scheme val="minor"/>
      </rPr>
      <t>CESS Commodity</t>
    </r>
    <r>
      <rPr>
        <sz val="11"/>
        <color theme="1"/>
        <rFont val="Calibri"/>
        <family val="2"/>
        <scheme val="minor"/>
      </rPr>
      <t xml:space="preserve"> textbox should accept:
 -&gt; Numeric value (0 To 9)
 -&gt; Alphabetic values (A - Z)</t>
    </r>
    <r>
      <rPr>
        <b/>
        <sz val="11"/>
        <color theme="1"/>
        <rFont val="Calibri"/>
        <family val="2"/>
        <scheme val="minor"/>
      </rPr>
      <t xml:space="preserve">
2. CESS Commodity</t>
    </r>
    <r>
      <rPr>
        <sz val="11"/>
        <color theme="1"/>
        <rFont val="Calibri"/>
        <family val="2"/>
        <scheme val="minor"/>
      </rPr>
      <t xml:space="preserve"> textbox should not accept:
 -&gt; Special characters
3. </t>
    </r>
    <r>
      <rPr>
        <b/>
        <sz val="11"/>
        <color theme="1"/>
        <rFont val="Calibri"/>
        <family val="2"/>
        <scheme val="minor"/>
      </rPr>
      <t>CESS Commodity</t>
    </r>
    <r>
      <rPr>
        <sz val="11"/>
        <color theme="1"/>
        <rFont val="Calibri"/>
        <family val="2"/>
        <scheme val="minor"/>
      </rPr>
      <t xml:space="preserve"> textbox length validation should be 200 character </t>
    </r>
  </si>
  <si>
    <r>
      <t xml:space="preserve">1. </t>
    </r>
    <r>
      <rPr>
        <b/>
        <sz val="11"/>
        <color theme="1"/>
        <rFont val="Calibri"/>
        <family val="2"/>
        <scheme val="minor"/>
      </rPr>
      <t xml:space="preserve">CESS Commodity </t>
    </r>
    <r>
      <rPr>
        <sz val="11"/>
        <color theme="1"/>
        <rFont val="Calibri"/>
        <family val="2"/>
        <scheme val="minor"/>
      </rPr>
      <t xml:space="preserve">textbox is accepting all types of values.
3. 100 character length is not implemented. Accepting more than 100 characters values
</t>
    </r>
    <r>
      <rPr>
        <b/>
        <sz val="11"/>
        <color theme="1"/>
        <rFont val="Calibri"/>
        <family val="2"/>
        <scheme val="minor"/>
      </rPr>
      <t>Note: Discussion required, what type of value should be acceoted.</t>
    </r>
  </si>
  <si>
    <t>CESS_Master_11</t>
  </si>
  <si>
    <r>
      <t>Validate the functionality of</t>
    </r>
    <r>
      <rPr>
        <b/>
        <sz val="11"/>
        <color theme="1"/>
        <rFont val="Calibri"/>
        <family val="2"/>
        <scheme val="minor"/>
      </rPr>
      <t xml:space="preserve"> CESS Adv.(%)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</si>
  <si>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CESS Adv.(%)</t>
    </r>
    <r>
      <rPr>
        <sz val="11"/>
        <rFont val="Calibri"/>
        <family val="2"/>
        <scheme val="minor"/>
      </rPr>
      <t xml:space="preserve"> textobx.
3. Enter Valid &amp; Invalid Data in </t>
    </r>
    <r>
      <rPr>
        <b/>
        <sz val="11"/>
        <rFont val="Calibri"/>
        <family val="2"/>
        <scheme val="minor"/>
      </rPr>
      <t>CESS Adv.(%)</t>
    </r>
    <r>
      <rPr>
        <sz val="11"/>
        <rFont val="Calibri"/>
        <family val="2"/>
        <scheme val="minor"/>
      </rPr>
      <t xml:space="preserve"> textbox.
4. Observe the system behaviour.</t>
    </r>
  </si>
  <si>
    <r>
      <t xml:space="preserve">1. As per the Use Case, </t>
    </r>
    <r>
      <rPr>
        <b/>
        <sz val="11"/>
        <color theme="1"/>
        <rFont val="Calibri"/>
        <family val="2"/>
        <scheme val="minor"/>
      </rPr>
      <t>CESS Adv.(%)</t>
    </r>
    <r>
      <rPr>
        <sz val="11"/>
        <color theme="1"/>
        <rFont val="Calibri"/>
        <family val="2"/>
        <scheme val="minor"/>
      </rPr>
      <t xml:space="preserve"> textbox should accept:
 -&gt; Numeric value (0 To 9) with decimal 
</t>
    </r>
    <r>
      <rPr>
        <b/>
        <sz val="11"/>
        <color theme="1"/>
        <rFont val="Calibri"/>
        <family val="2"/>
        <scheme val="minor"/>
      </rPr>
      <t>2. CESS Adv.(%)</t>
    </r>
    <r>
      <rPr>
        <sz val="11"/>
        <color theme="1"/>
        <rFont val="Calibri"/>
        <family val="2"/>
        <scheme val="minor"/>
      </rPr>
      <t xml:space="preserve"> textbox should not accept:
 -&gt; Special characters (except decimal .)
 -&gt; Alphabetic valus
3. </t>
    </r>
    <r>
      <rPr>
        <b/>
        <sz val="11"/>
        <color theme="1"/>
        <rFont val="Calibri"/>
        <family val="2"/>
        <scheme val="minor"/>
      </rPr>
      <t>CESS Adv.(%)</t>
    </r>
    <r>
      <rPr>
        <sz val="11"/>
        <color theme="1"/>
        <rFont val="Calibri"/>
        <family val="2"/>
        <scheme val="minor"/>
      </rPr>
      <t xml:space="preserve"> textbox length validation should be 5 character </t>
    </r>
  </si>
  <si>
    <r>
      <t xml:space="preserve">1. </t>
    </r>
    <r>
      <rPr>
        <b/>
        <sz val="11"/>
        <color theme="1"/>
        <rFont val="Calibri"/>
        <family val="2"/>
        <scheme val="minor"/>
      </rPr>
      <t xml:space="preserve">CESS Adv.(%) </t>
    </r>
    <r>
      <rPr>
        <sz val="11"/>
        <color theme="1"/>
        <rFont val="Calibri"/>
        <family val="2"/>
        <scheme val="minor"/>
      </rPr>
      <t xml:space="preserve">is accepting all types of special character and numeric value
2. </t>
    </r>
    <r>
      <rPr>
        <b/>
        <sz val="11"/>
        <color theme="1"/>
        <rFont val="Calibri"/>
        <family val="2"/>
        <scheme val="minor"/>
      </rPr>
      <t xml:space="preserve">CESS Adv.(%) </t>
    </r>
    <r>
      <rPr>
        <sz val="11"/>
        <color theme="1"/>
        <rFont val="Calibri"/>
        <family val="2"/>
        <scheme val="minor"/>
      </rPr>
      <t xml:space="preserve">is not accepting alphabetic values
3. </t>
    </r>
    <r>
      <rPr>
        <b/>
        <sz val="11"/>
        <color theme="1"/>
        <rFont val="Calibri"/>
        <family val="2"/>
        <scheme val="minor"/>
      </rPr>
      <t>CESS Adv.(%)</t>
    </r>
    <r>
      <rPr>
        <sz val="11"/>
        <color theme="1"/>
        <rFont val="Calibri"/>
        <family val="2"/>
        <scheme val="minor"/>
      </rPr>
      <t xml:space="preserve"> textbox limitation :
 -&gt; Without decimal value - 5 character.
 -&gt; With decimal value - 9 (After decimal max 4 character)</t>
    </r>
  </si>
  <si>
    <t>CESS_Master_12</t>
  </si>
  <si>
    <r>
      <t>Validate the functionality of</t>
    </r>
    <r>
      <rPr>
        <b/>
        <sz val="11"/>
        <color theme="1"/>
        <rFont val="Calibri"/>
        <family val="2"/>
        <scheme val="minor"/>
      </rPr>
      <t xml:space="preserve"> CESS Value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</si>
  <si>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As per the Use Case, </t>
    </r>
    <r>
      <rPr>
        <b/>
        <sz val="11"/>
        <color theme="1"/>
        <rFont val="Calibri"/>
        <family val="2"/>
        <scheme val="minor"/>
      </rPr>
      <t>CESS Value</t>
    </r>
    <r>
      <rPr>
        <sz val="11"/>
        <color theme="1"/>
        <rFont val="Calibri"/>
        <family val="2"/>
        <scheme val="minor"/>
      </rPr>
      <t xml:space="preserve"> textbox should accept:
 -&gt; Numeric value (0 To 9) with decimal 
</t>
    </r>
    <r>
      <rPr>
        <b/>
        <sz val="11"/>
        <color theme="1"/>
        <rFont val="Calibri"/>
        <family val="2"/>
        <scheme val="minor"/>
      </rPr>
      <t>2. CESS Value</t>
    </r>
    <r>
      <rPr>
        <sz val="11"/>
        <color theme="1"/>
        <rFont val="Calibri"/>
        <family val="2"/>
        <scheme val="minor"/>
      </rPr>
      <t xml:space="preserve"> textbox should not accept:
 -&gt; Special characters (except decimal .)
 -&gt; Alphabetic valus
3. </t>
    </r>
    <r>
      <rPr>
        <b/>
        <sz val="11"/>
        <color theme="1"/>
        <rFont val="Calibri"/>
        <family val="2"/>
        <scheme val="minor"/>
      </rPr>
      <t>CESS Value</t>
    </r>
    <r>
      <rPr>
        <sz val="11"/>
        <color theme="1"/>
        <rFont val="Calibri"/>
        <family val="2"/>
        <scheme val="minor"/>
      </rPr>
      <t xml:space="preserve"> textbox length validation should be 5 character </t>
    </r>
  </si>
  <si>
    <r>
      <t xml:space="preserve">1. </t>
    </r>
    <r>
      <rPr>
        <b/>
        <sz val="11"/>
        <color theme="1"/>
        <rFont val="Calibri"/>
        <family val="2"/>
        <scheme val="minor"/>
      </rPr>
      <t xml:space="preserve">CESS Value </t>
    </r>
    <r>
      <rPr>
        <sz val="11"/>
        <color theme="1"/>
        <rFont val="Calibri"/>
        <family val="2"/>
        <scheme val="minor"/>
      </rPr>
      <t xml:space="preserve">is accepting all types of special character and numeric value
2. </t>
    </r>
    <r>
      <rPr>
        <b/>
        <sz val="11"/>
        <color theme="1"/>
        <rFont val="Calibri"/>
        <family val="2"/>
        <scheme val="minor"/>
      </rPr>
      <t xml:space="preserve">CESS Value </t>
    </r>
    <r>
      <rPr>
        <sz val="11"/>
        <color theme="1"/>
        <rFont val="Calibri"/>
        <family val="2"/>
        <scheme val="minor"/>
      </rPr>
      <t xml:space="preserve">is not accepting alphabetic values
3. </t>
    </r>
    <r>
      <rPr>
        <b/>
        <sz val="11"/>
        <color theme="1"/>
        <rFont val="Calibri"/>
        <family val="2"/>
        <scheme val="minor"/>
      </rPr>
      <t>CESS Value</t>
    </r>
    <r>
      <rPr>
        <sz val="11"/>
        <color theme="1"/>
        <rFont val="Calibri"/>
        <family val="2"/>
        <scheme val="minor"/>
      </rPr>
      <t xml:space="preserve"> textbox limitation :
 -&gt; Without decimal value - 5 character.
 -&gt; With decimal value - 9 (After decimal max 4 character)</t>
    </r>
  </si>
  <si>
    <t>CESS_Master_13</t>
  </si>
  <si>
    <r>
      <t>Validate the functionality of</t>
    </r>
    <r>
      <rPr>
        <b/>
        <sz val="11"/>
        <color theme="1"/>
        <rFont val="Calibri"/>
        <family val="2"/>
        <scheme val="minor"/>
      </rPr>
      <t xml:space="preserve"> TAR Unit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</si>
  <si>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TAR Unit</t>
    </r>
    <r>
      <rPr>
        <sz val="11"/>
        <rFont val="Calibri"/>
        <family val="2"/>
        <scheme val="minor"/>
      </rPr>
      <t xml:space="preserve"> textobx.
3. Enter Valid &amp; Invalid Data in </t>
    </r>
    <r>
      <rPr>
        <b/>
        <sz val="11"/>
        <rFont val="Calibri"/>
        <family val="2"/>
        <scheme val="minor"/>
      </rPr>
      <t>TAR Unit</t>
    </r>
    <r>
      <rPr>
        <sz val="11"/>
        <rFont val="Calibri"/>
        <family val="2"/>
        <scheme val="minor"/>
      </rPr>
      <t xml:space="preserve"> textbox.
4. Observe the system behaviour.</t>
    </r>
  </si>
  <si>
    <r>
      <t xml:space="preserve">1. As per the Use Case, </t>
    </r>
    <r>
      <rPr>
        <b/>
        <sz val="11"/>
        <color theme="1"/>
        <rFont val="Calibri"/>
        <family val="2"/>
        <scheme val="minor"/>
      </rPr>
      <t>TAR Unit</t>
    </r>
    <r>
      <rPr>
        <sz val="11"/>
        <color theme="1"/>
        <rFont val="Calibri"/>
        <family val="2"/>
        <scheme val="minor"/>
      </rPr>
      <t xml:space="preserve"> textbox should accept:
 -&gt; Numeric value (0 To 9)
 -&gt; Alphabetic values (A - Z)</t>
    </r>
    <r>
      <rPr>
        <b/>
        <sz val="11"/>
        <color theme="1"/>
        <rFont val="Calibri"/>
        <family val="2"/>
        <scheme val="minor"/>
      </rPr>
      <t xml:space="preserve">
2. TAR Unit</t>
    </r>
    <r>
      <rPr>
        <sz val="11"/>
        <color theme="1"/>
        <rFont val="Calibri"/>
        <family val="2"/>
        <scheme val="minor"/>
      </rPr>
      <t xml:space="preserve"> textbox should not accept:
 -&gt; Special characters
3. </t>
    </r>
    <r>
      <rPr>
        <b/>
        <sz val="11"/>
        <color theme="1"/>
        <rFont val="Calibri"/>
        <family val="2"/>
        <scheme val="minor"/>
      </rPr>
      <t>TAR Unit</t>
    </r>
    <r>
      <rPr>
        <sz val="11"/>
        <color theme="1"/>
        <rFont val="Calibri"/>
        <family val="2"/>
        <scheme val="minor"/>
      </rPr>
      <t xml:space="preserve"> textbox length validation should be 3 character </t>
    </r>
  </si>
  <si>
    <t>CESS_Master_14</t>
  </si>
  <si>
    <r>
      <t>Validate the functionality of</t>
    </r>
    <r>
      <rPr>
        <b/>
        <sz val="11"/>
        <color theme="1"/>
        <rFont val="Calibri"/>
        <family val="2"/>
        <scheme val="minor"/>
      </rPr>
      <t xml:space="preserve"> TAR Value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</si>
  <si>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TAR Value</t>
    </r>
    <r>
      <rPr>
        <sz val="11"/>
        <rFont val="Calibri"/>
        <family val="2"/>
        <scheme val="minor"/>
      </rPr>
      <t xml:space="preserve"> textobx.
3. Enter Valid &amp; Invalid Data in </t>
    </r>
    <r>
      <rPr>
        <b/>
        <sz val="11"/>
        <rFont val="Calibri"/>
        <family val="2"/>
        <scheme val="minor"/>
      </rPr>
      <t>TAR Value</t>
    </r>
    <r>
      <rPr>
        <sz val="11"/>
        <rFont val="Calibri"/>
        <family val="2"/>
        <scheme val="minor"/>
      </rPr>
      <t xml:space="preserve"> textbox.
4. Observe the system behaviour.</t>
    </r>
  </si>
  <si>
    <r>
      <t xml:space="preserve">1. As per the Use Case, </t>
    </r>
    <r>
      <rPr>
        <b/>
        <sz val="11"/>
        <color theme="1"/>
        <rFont val="Calibri"/>
        <family val="2"/>
        <scheme val="minor"/>
      </rPr>
      <t>TAR Value</t>
    </r>
    <r>
      <rPr>
        <sz val="11"/>
        <color theme="1"/>
        <rFont val="Calibri"/>
        <family val="2"/>
        <scheme val="minor"/>
      </rPr>
      <t xml:space="preserve"> textbox should accept:
 -&gt; Numeric value (0 To 9) with decimal 
</t>
    </r>
    <r>
      <rPr>
        <b/>
        <sz val="11"/>
        <color theme="1"/>
        <rFont val="Calibri"/>
        <family val="2"/>
        <scheme val="minor"/>
      </rPr>
      <t>2. TAR Value</t>
    </r>
    <r>
      <rPr>
        <sz val="11"/>
        <color theme="1"/>
        <rFont val="Calibri"/>
        <family val="2"/>
        <scheme val="minor"/>
      </rPr>
      <t xml:space="preserve"> textbox should not accept:
 -&gt; Special characters (except decimal .)
 -&gt; Alphabetic valus
3. </t>
    </r>
    <r>
      <rPr>
        <b/>
        <sz val="11"/>
        <color theme="1"/>
        <rFont val="Calibri"/>
        <family val="2"/>
        <scheme val="minor"/>
      </rPr>
      <t>TAR Value</t>
    </r>
    <r>
      <rPr>
        <sz val="11"/>
        <color theme="1"/>
        <rFont val="Calibri"/>
        <family val="2"/>
        <scheme val="minor"/>
      </rPr>
      <t xml:space="preserve"> textbox length validation should be 5 character </t>
    </r>
  </si>
  <si>
    <r>
      <t xml:space="preserve">1. </t>
    </r>
    <r>
      <rPr>
        <b/>
        <sz val="11"/>
        <color theme="1"/>
        <rFont val="Calibri"/>
        <family val="2"/>
        <scheme val="minor"/>
      </rPr>
      <t xml:space="preserve">TAR Value </t>
    </r>
    <r>
      <rPr>
        <sz val="11"/>
        <color theme="1"/>
        <rFont val="Calibri"/>
        <family val="2"/>
        <scheme val="minor"/>
      </rPr>
      <t xml:space="preserve">is accepting all types of special character and numeric value
2. </t>
    </r>
    <r>
      <rPr>
        <b/>
        <sz val="11"/>
        <color theme="1"/>
        <rFont val="Calibri"/>
        <family val="2"/>
        <scheme val="minor"/>
      </rPr>
      <t xml:space="preserve">CESS Value </t>
    </r>
    <r>
      <rPr>
        <sz val="11"/>
        <color theme="1"/>
        <rFont val="Calibri"/>
        <family val="2"/>
        <scheme val="minor"/>
      </rPr>
      <t xml:space="preserve">is not accepting alphabetic values
3. </t>
    </r>
    <r>
      <rPr>
        <b/>
        <sz val="11"/>
        <color theme="1"/>
        <rFont val="Calibri"/>
        <family val="2"/>
        <scheme val="minor"/>
      </rPr>
      <t>CESS Value</t>
    </r>
    <r>
      <rPr>
        <sz val="11"/>
        <color theme="1"/>
        <rFont val="Calibri"/>
        <family val="2"/>
        <scheme val="minor"/>
      </rPr>
      <t xml:space="preserve"> textbox limitation :
 -&gt; Without decimal value - 5 character.
 -&gt; With decimal value - 9 (After decimal max 4 character)</t>
    </r>
  </si>
  <si>
    <t>CESS_Master_15</t>
  </si>
  <si>
    <r>
      <t>Validate the functionality of</t>
    </r>
    <r>
      <rPr>
        <b/>
        <sz val="11"/>
        <color theme="1"/>
        <rFont val="Calibri"/>
        <family val="2"/>
        <scheme val="minor"/>
      </rPr>
      <t xml:space="preserve"> CESS Flag </t>
    </r>
    <r>
      <rPr>
        <sz val="11"/>
        <color theme="1"/>
        <rFont val="Calibri"/>
        <family val="2"/>
        <scheme val="minor"/>
      </rPr>
      <t>textbox in the</t>
    </r>
    <r>
      <rPr>
        <b/>
        <sz val="11"/>
        <color theme="1"/>
        <rFont val="Calibri"/>
        <family val="2"/>
        <scheme val="minor"/>
      </rPr>
      <t xml:space="preserve"> CESS Master</t>
    </r>
    <r>
      <rPr>
        <sz val="11"/>
        <color theme="1"/>
        <rFont val="Calibri"/>
        <family val="2"/>
        <scheme val="minor"/>
      </rPr>
      <t xml:space="preserve"> Page.</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</si>
  <si>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CESS Flag</t>
    </r>
    <r>
      <rPr>
        <sz val="11"/>
        <rFont val="Calibri"/>
        <family val="2"/>
        <scheme val="minor"/>
      </rPr>
      <t xml:space="preserve"> textobx.
3. Enter Valid &amp; Invalid Data in </t>
    </r>
    <r>
      <rPr>
        <b/>
        <sz val="11"/>
        <rFont val="Calibri"/>
        <family val="2"/>
        <scheme val="minor"/>
      </rPr>
      <t>CESS Flag</t>
    </r>
    <r>
      <rPr>
        <sz val="11"/>
        <rFont val="Calibri"/>
        <family val="2"/>
        <scheme val="minor"/>
      </rPr>
      <t xml:space="preserve"> textbox.
4. Observe the system behaviour.</t>
    </r>
  </si>
  <si>
    <r>
      <t xml:space="preserve">1. As per the Use Case, </t>
    </r>
    <r>
      <rPr>
        <b/>
        <sz val="11"/>
        <color theme="1"/>
        <rFont val="Calibri"/>
        <family val="2"/>
        <scheme val="minor"/>
      </rPr>
      <t>CESS Flag</t>
    </r>
    <r>
      <rPr>
        <sz val="11"/>
        <color theme="1"/>
        <rFont val="Calibri"/>
        <family val="2"/>
        <scheme val="minor"/>
      </rPr>
      <t xml:space="preserve"> textbox should accept:
 -&gt; Numeric value </t>
    </r>
    <r>
      <rPr>
        <b/>
        <sz val="11"/>
        <color theme="1"/>
        <rFont val="Calibri"/>
        <family val="2"/>
        <scheme val="minor"/>
      </rPr>
      <t xml:space="preserve">
2. CESS Flag</t>
    </r>
    <r>
      <rPr>
        <sz val="11"/>
        <color theme="1"/>
        <rFont val="Calibri"/>
        <family val="2"/>
        <scheme val="minor"/>
      </rPr>
      <t xml:space="preserve"> textbox should not accept:
 -&gt; Alphabetic values
 -&gt; Special characters
3. </t>
    </r>
    <r>
      <rPr>
        <b/>
        <sz val="11"/>
        <color theme="1"/>
        <rFont val="Calibri"/>
        <family val="2"/>
        <scheme val="minor"/>
      </rPr>
      <t>CESS Flag</t>
    </r>
    <r>
      <rPr>
        <sz val="11"/>
        <color theme="1"/>
        <rFont val="Calibri"/>
        <family val="2"/>
        <scheme val="minor"/>
      </rPr>
      <t xml:space="preserve"> textbox length validation should be 2 character </t>
    </r>
  </si>
  <si>
    <r>
      <t xml:space="preserve">1. </t>
    </r>
    <r>
      <rPr>
        <b/>
        <sz val="11"/>
        <color theme="1"/>
        <rFont val="Calibri"/>
        <family val="2"/>
        <scheme val="minor"/>
      </rPr>
      <t xml:space="preserve">TAR Unit </t>
    </r>
    <r>
      <rPr>
        <sz val="11"/>
        <color theme="1"/>
        <rFont val="Calibri"/>
        <family val="2"/>
        <scheme val="minor"/>
      </rPr>
      <t xml:space="preserve">textbox is accepting all types of values.
3. 3 character length is implemented successfully. 
</t>
    </r>
    <r>
      <rPr>
        <b/>
        <sz val="11"/>
        <color theme="1"/>
        <rFont val="Calibri"/>
        <family val="2"/>
        <scheme val="minor"/>
      </rPr>
      <t>Note: Discussion required, what type of value should be acceoted.</t>
    </r>
  </si>
  <si>
    <r>
      <t xml:space="preserve">1. </t>
    </r>
    <r>
      <rPr>
        <b/>
        <sz val="11"/>
        <color theme="1"/>
        <rFont val="Calibri"/>
        <family val="2"/>
        <scheme val="minor"/>
      </rPr>
      <t xml:space="preserve">CESS Flag </t>
    </r>
    <r>
      <rPr>
        <sz val="11"/>
        <color theme="1"/>
        <rFont val="Calibri"/>
        <family val="2"/>
        <scheme val="minor"/>
      </rPr>
      <t xml:space="preserve">is accepting all types of special character and numeric value
2. </t>
    </r>
    <r>
      <rPr>
        <b/>
        <sz val="11"/>
        <color theme="1"/>
        <rFont val="Calibri"/>
        <family val="2"/>
        <scheme val="minor"/>
      </rPr>
      <t xml:space="preserve">CESS Flag </t>
    </r>
    <r>
      <rPr>
        <sz val="11"/>
        <color theme="1"/>
        <rFont val="Calibri"/>
        <family val="2"/>
        <scheme val="minor"/>
      </rPr>
      <t xml:space="preserve">is not accepting alphabetic values
3. 2 character length is implemented successfully. </t>
    </r>
  </si>
  <si>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 xml:space="preserve">CESS Master </t>
    </r>
    <r>
      <rPr>
        <sz val="11"/>
        <color theme="1"/>
        <rFont val="Calibri"/>
        <family val="2"/>
        <scheme val="minor"/>
      </rPr>
      <t>Page.</t>
    </r>
  </si>
  <si>
    <r>
      <t xml:space="preserve">1. Navigate to </t>
    </r>
    <r>
      <rPr>
        <b/>
        <sz val="11"/>
        <color theme="1"/>
        <rFont val="Calibri"/>
        <family val="2"/>
        <scheme val="minor"/>
      </rPr>
      <t>Masters → EDI Master → CESS Master</t>
    </r>
    <r>
      <rPr>
        <sz val="11"/>
        <color theme="1"/>
        <rFont val="Calibri"/>
        <family val="2"/>
        <scheme val="minor"/>
      </rPr>
      <t xml:space="preserve">
2. Enter valid values in all mandatory and non-mandatory fields in the </t>
    </r>
    <r>
      <rPr>
        <b/>
        <sz val="11"/>
        <color theme="1"/>
        <rFont val="Calibri"/>
        <family val="2"/>
        <scheme val="minor"/>
      </rPr>
      <t>CESS Master</t>
    </r>
    <r>
      <rPr>
        <sz val="11"/>
        <color theme="1"/>
        <rFont val="Calibri"/>
        <family val="2"/>
        <scheme val="minor"/>
      </rPr>
      <t xml:space="preserve"> page.
3. Click on the </t>
    </r>
    <r>
      <rPr>
        <b/>
        <sz val="11"/>
        <color theme="1"/>
        <rFont val="Calibri"/>
        <family val="2"/>
        <scheme val="minor"/>
      </rPr>
      <t xml:space="preserve">Save </t>
    </r>
    <r>
      <rPr>
        <sz val="11"/>
        <color theme="1"/>
        <rFont val="Calibri"/>
        <family val="2"/>
        <scheme val="minor"/>
      </rPr>
      <t>button
4. Observe the system behavior.</t>
    </r>
  </si>
  <si>
    <t>CESS_Master_16</t>
  </si>
  <si>
    <r>
      <t xml:space="preserve">1. Navigate to </t>
    </r>
    <r>
      <rPr>
        <b/>
        <sz val="11"/>
        <rFont val="Calibri"/>
        <family val="2"/>
        <scheme val="minor"/>
      </rPr>
      <t xml:space="preserve">Masters -&gt; EDI Master -&gt; CESS Master
</t>
    </r>
    <r>
      <rPr>
        <sz val="11"/>
        <rFont val="Calibri"/>
        <family val="2"/>
        <scheme val="minor"/>
      </rPr>
      <t>2.</t>
    </r>
    <r>
      <rPr>
        <b/>
        <sz val="11"/>
        <rFont val="Calibri"/>
        <family val="2"/>
        <scheme val="minor"/>
      </rPr>
      <t xml:space="preserve"> </t>
    </r>
    <r>
      <rPr>
        <sz val="11"/>
        <rFont val="Calibri"/>
        <family val="2"/>
        <scheme val="minor"/>
      </rPr>
      <t xml:space="preserve">Enter valid data in all </t>
    </r>
    <r>
      <rPr>
        <b/>
        <sz val="11"/>
        <rFont val="Calibri"/>
        <family val="2"/>
        <scheme val="minor"/>
      </rPr>
      <t>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</si>
  <si>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t>Fill all mandatory fields and Non-mandatory fields left blank.</t>
  </si>
  <si>
    <t>1. Even after filling all UI-marked mandatory fields, the record is saved and a success confirmation message is displayed.
2. The saved record appears in the left-side panel list.
3. The saved record is searchable and selectable.</t>
  </si>
  <si>
    <t>CESS_Master_17</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</si>
  <si>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CESS Master</t>
    </r>
    <r>
      <rPr>
        <sz val="11"/>
        <color theme="1"/>
        <rFont val="Calibri"/>
        <family val="2"/>
        <scheme val="minor"/>
      </rPr>
      <t xml:space="preserve"> page.</t>
    </r>
  </si>
  <si>
    <r>
      <t xml:space="preserve">Validate the functionality of </t>
    </r>
    <r>
      <rPr>
        <b/>
        <sz val="11"/>
        <color theme="1"/>
        <rFont val="Calibri"/>
        <family val="2"/>
        <scheme val="minor"/>
      </rPr>
      <t>Save</t>
    </r>
    <r>
      <rPr>
        <sz val="11"/>
        <color theme="1"/>
        <rFont val="Calibri"/>
        <family val="2"/>
        <scheme val="minor"/>
      </rPr>
      <t xml:space="preserve"> button When are fields are left blank in the </t>
    </r>
    <r>
      <rPr>
        <b/>
        <sz val="11"/>
        <color theme="1"/>
        <rFont val="Calibri"/>
        <family val="2"/>
        <scheme val="minor"/>
      </rPr>
      <t>CESS Master</t>
    </r>
    <r>
      <rPr>
        <sz val="11"/>
        <color theme="1"/>
        <rFont val="Calibri"/>
        <family val="2"/>
        <scheme val="minor"/>
      </rPr>
      <t xml:space="preserve"> page.</t>
    </r>
  </si>
  <si>
    <r>
      <t xml:space="preserve">1. Navigate to </t>
    </r>
    <r>
      <rPr>
        <b/>
        <sz val="11"/>
        <rFont val="Calibri"/>
        <family val="2"/>
        <scheme val="minor"/>
      </rPr>
      <t xml:space="preserve">Masters -&gt; EDI Master -&gt; CESS Master
</t>
    </r>
    <r>
      <rPr>
        <sz val="11"/>
        <rFont val="Calibri"/>
        <family val="2"/>
        <scheme val="minor"/>
      </rPr>
      <t>2.</t>
    </r>
    <r>
      <rPr>
        <b/>
        <sz val="11"/>
        <rFont val="Calibri"/>
        <family val="2"/>
        <scheme val="minor"/>
      </rPr>
      <t xml:space="preserve"> </t>
    </r>
    <r>
      <rPr>
        <sz val="11"/>
        <rFont val="Calibri"/>
        <family val="2"/>
        <scheme val="minor"/>
      </rPr>
      <t xml:space="preserve">Leave all fields blank.
4. Click on the Save button.
5. Observe the system behavior.
</t>
    </r>
  </si>
  <si>
    <r>
      <t xml:space="preserve">1. Record is not saved </t>
    </r>
    <r>
      <rPr>
        <b/>
        <sz val="11"/>
        <color theme="1"/>
        <rFont val="Calibri"/>
        <family val="2"/>
        <scheme val="minor"/>
      </rPr>
      <t>when mandatory fields are left blank.</t>
    </r>
    <r>
      <rPr>
        <sz val="11"/>
        <color theme="1"/>
        <rFont val="Calibri"/>
        <family val="2"/>
        <scheme val="minor"/>
      </rPr>
      <t xml:space="preserve">
2. Validation messages are displayed for all mandatory fields. 
3. After fill all mandatory fields, record is saved successfully.
4. saved record is searchable and selectable
</t>
    </r>
  </si>
  <si>
    <t>CESS_Master_18</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</si>
  <si>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CESS Master </t>
    </r>
    <r>
      <rPr>
        <sz val="11"/>
        <color theme="1"/>
        <rFont val="Calibri"/>
        <family val="2"/>
        <scheme val="minor"/>
      </rPr>
      <t>page.</t>
    </r>
  </si>
  <si>
    <r>
      <t xml:space="preserve">1. Navigate to </t>
    </r>
    <r>
      <rPr>
        <b/>
        <sz val="11"/>
        <color theme="1"/>
        <rFont val="Calibri"/>
        <family val="2"/>
        <scheme val="minor"/>
      </rPr>
      <t>Masters → EDI Master → CESS Master</t>
    </r>
    <r>
      <rPr>
        <sz val="11"/>
        <color theme="1"/>
        <rFont val="Calibri"/>
        <family val="2"/>
        <scheme val="minor"/>
      </rPr>
      <t xml:space="preserve">
2. Verify the state of the Modify button when the page is in a new state.
3. Select any record from the left-side panel list.
4. Verify that the selected record details are loaded into the textboxes.
5. Modify one or more editable fields with new valid data.
5. Click on the Modify button.
6.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</si>
  <si>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t>
    </r>
    <r>
      <rPr>
        <b/>
        <sz val="11"/>
        <color theme="1"/>
        <rFont val="Calibri"/>
        <family val="2"/>
        <scheme val="minor"/>
      </rPr>
      <t>Modify button should be enabled only after selecting a record from the left-side panel and loading its data into the textboxes.</t>
    </r>
    <r>
      <rPr>
        <sz val="11"/>
        <color theme="1"/>
        <rFont val="Calibri"/>
        <family val="2"/>
        <scheme val="minor"/>
      </rPr>
      <t xml:space="preserve">
3. Non-editable fields should be disabled after record selection.
4. Editable fields should allow modification with valid data.
5. On clicking Modify, the record should be updated successfully.
6. The updated record should appear correctly in the left-side panel list.
7. On re-selecting the same record, updated values should be displayed correctly.
8. The user should be able to modify the same record multiple times.</t>
    </r>
  </si>
  <si>
    <r>
      <t xml:space="preserve">1. In the new state, the Modify button remains disabled.
2. After selecting a record, the Modify button becomes enabled.
3. </t>
    </r>
    <r>
      <rPr>
        <b/>
        <sz val="11"/>
        <color theme="1"/>
        <rFont val="Calibri"/>
        <family val="2"/>
        <scheme val="minor"/>
      </rPr>
      <t>Serial Number and RITC Code fields are editable, but when the user tries to modify them, a validation message appears with text “U”, which is unclear and incorrect.</t>
    </r>
    <r>
      <rPr>
        <sz val="11"/>
        <color theme="1"/>
        <rFont val="Calibri"/>
        <family val="2"/>
        <scheme val="minor"/>
      </rPr>
      <t xml:space="preserve">
4.</t>
    </r>
    <r>
      <rPr>
        <b/>
        <sz val="11"/>
        <color theme="1"/>
        <rFont val="Calibri"/>
        <family val="2"/>
        <scheme val="minor"/>
      </rPr>
      <t xml:space="preserve"> If Serial Number and RITC Code are not allowed to be modified, these fields should be disabled after selecting a record from the left-side panel.</t>
    </r>
    <r>
      <rPr>
        <sz val="11"/>
        <color theme="1"/>
        <rFont val="Calibri"/>
        <family val="2"/>
        <scheme val="minor"/>
      </rPr>
      <t xml:space="preserve">
5. Other editable fields allow modification with valid data.
6. The updated record is displayed correctly in the left-side panel list.
7. On re-selecting the same record, the updated values are displayed correctly in the corresponding textboxes.</t>
    </r>
  </si>
  <si>
    <t>CESS_Master_19</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</si>
  <si>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CESS Master </t>
    </r>
    <r>
      <rPr>
        <sz val="11"/>
        <color theme="1"/>
        <rFont val="Calibri"/>
        <family val="2"/>
        <scheme val="minor"/>
      </rPr>
      <t>page.</t>
    </r>
  </si>
  <si>
    <r>
      <t xml:space="preserve">1. Navigate to </t>
    </r>
    <r>
      <rPr>
        <b/>
        <sz val="11"/>
        <color theme="1"/>
        <rFont val="Calibri"/>
        <family val="2"/>
        <scheme val="minor"/>
      </rPr>
      <t>Masters → EDI Master → CESS Master</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</si>
  <si>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t>1. Functionality is not working as expected
2. Record is deleting directly without any confirmation message.</t>
  </si>
  <si>
    <t>CESS_Master_20</t>
  </si>
  <si>
    <t>CESS_Master_21</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</si>
  <si>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CESS Master </t>
    </r>
    <r>
      <rPr>
        <sz val="11"/>
        <color theme="1"/>
        <rFont val="Calibri"/>
        <family val="2"/>
        <scheme val="minor"/>
      </rPr>
      <t>page.</t>
    </r>
  </si>
  <si>
    <r>
      <t xml:space="preserve">1. Navigate to </t>
    </r>
    <r>
      <rPr>
        <b/>
        <sz val="11"/>
        <color theme="1"/>
        <rFont val="Calibri"/>
        <family val="2"/>
        <scheme val="minor"/>
      </rPr>
      <t>Masters → EDI Master → CESS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</si>
  <si>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CESS_Master_22</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</si>
  <si>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CESS Master </t>
    </r>
    <r>
      <rPr>
        <sz val="11"/>
        <color theme="1"/>
        <rFont val="Calibri"/>
        <family val="2"/>
        <scheme val="minor"/>
      </rPr>
      <t>page.</t>
    </r>
  </si>
  <si>
    <r>
      <t xml:space="preserve">1. Navigate to </t>
    </r>
    <r>
      <rPr>
        <b/>
        <sz val="11"/>
        <color theme="1"/>
        <rFont val="Calibri"/>
        <family val="2"/>
        <scheme val="minor"/>
      </rPr>
      <t>Masters → EDI Master → CESS Master
2</t>
    </r>
    <r>
      <rPr>
        <sz val="11"/>
        <color theme="1"/>
        <rFont val="Calibri"/>
        <family val="2"/>
        <scheme val="minor"/>
      </rPr>
      <t>. Enter valid data in all required input fields and click Save.
3. From the left-side list, select the recently saved record.
4. Observe the value displayed in the Entered By textbox.</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</si>
  <si>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CESS Master</t>
    </r>
    <r>
      <rPr>
        <sz val="11"/>
        <color theme="1"/>
        <rFont val="Calibri"/>
        <family val="2"/>
        <scheme val="minor"/>
      </rPr>
      <t xml:space="preserve"> Page.</t>
    </r>
  </si>
  <si>
    <r>
      <t xml:space="preserve">1. Navigate to </t>
    </r>
    <r>
      <rPr>
        <b/>
        <sz val="11"/>
        <color theme="1"/>
        <rFont val="Calibri"/>
        <family val="2"/>
        <scheme val="minor"/>
      </rPr>
      <t xml:space="preserve">Masters → EDI Master → CESS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</si>
  <si>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CESS Master</t>
    </r>
    <r>
      <rPr>
        <sz val="11"/>
        <color theme="1"/>
        <rFont val="Calibri"/>
        <family val="2"/>
        <scheme val="minor"/>
      </rPr>
      <t xml:space="preserve"> Page.</t>
    </r>
  </si>
  <si>
    <r>
      <t xml:space="preserve">1. Navigate to </t>
    </r>
    <r>
      <rPr>
        <b/>
        <sz val="11"/>
        <color theme="1"/>
        <rFont val="Calibri"/>
        <family val="2"/>
        <scheme val="minor"/>
      </rPr>
      <t>Masters -&gt; EDI Master -&gt; CESS Master
2</t>
    </r>
    <r>
      <rPr>
        <sz val="11"/>
        <color theme="1"/>
        <rFont val="Calibri"/>
        <family val="2"/>
        <scheme val="minor"/>
      </rPr>
      <t xml:space="preserve">. From the left-side panel, select any saved record.
3. Modify any field value and Click the modify button.
4. Re-select the same record from the left-side panel and observe the value displayed in the </t>
    </r>
    <r>
      <rPr>
        <b/>
        <sz val="11"/>
        <color theme="1"/>
        <rFont val="Calibri"/>
        <family val="2"/>
        <scheme val="minor"/>
      </rPr>
      <t>Modified By</t>
    </r>
    <r>
      <rPr>
        <sz val="11"/>
        <color theme="1"/>
        <rFont val="Calibri"/>
        <family val="2"/>
        <scheme val="minor"/>
      </rPr>
      <t xml:space="preserve"> textbox.</t>
    </r>
  </si>
  <si>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CESS Master</t>
    </r>
    <r>
      <rPr>
        <sz val="11"/>
        <color theme="1"/>
        <rFont val="Calibri"/>
        <family val="2"/>
        <scheme val="minor"/>
      </rPr>
      <t xml:space="preserve"> Page.</t>
    </r>
  </si>
  <si>
    <r>
      <t xml:space="preserve">1. Navigate to </t>
    </r>
    <r>
      <rPr>
        <b/>
        <sz val="11"/>
        <color theme="1"/>
        <rFont val="Calibri"/>
        <family val="2"/>
        <scheme val="minor"/>
      </rPr>
      <t xml:space="preserve">Masters -&gt; EDI Master -&gt; CESS Master
</t>
    </r>
    <r>
      <rPr>
        <sz val="11"/>
        <color theme="1"/>
        <rFont val="Calibri"/>
        <family val="2"/>
        <scheme val="minor"/>
      </rPr>
      <t xml:space="preserve">2. From the left-side panel, select any saved record.
3. Modify any field value and Click the modify button.
4. Re-select the same record from the left-side list and observe the value displayed in the </t>
    </r>
    <r>
      <rPr>
        <b/>
        <sz val="11"/>
        <color theme="1"/>
        <rFont val="Calibri"/>
        <family val="2"/>
        <scheme val="minor"/>
      </rPr>
      <t>Modified Date</t>
    </r>
    <r>
      <rPr>
        <sz val="11"/>
        <color theme="1"/>
        <rFont val="Calibri"/>
        <family val="2"/>
        <scheme val="minor"/>
      </rPr>
      <t xml:space="preserve"> textbox.</t>
    </r>
  </si>
  <si>
    <t>CESS_Master_23</t>
  </si>
  <si>
    <t>CESS_Master_24</t>
  </si>
  <si>
    <t>CESS_Master_25</t>
  </si>
  <si>
    <t xml:space="preserve">EDI Master --&gt; Rodtep Master
</t>
  </si>
  <si>
    <t>Rodtep_Master_01</t>
  </si>
  <si>
    <t>EDI Master -&gt; Rodtep Master</t>
  </si>
  <si>
    <r>
      <t xml:space="preserve">Validate the functionality of </t>
    </r>
    <r>
      <rPr>
        <b/>
        <sz val="11"/>
        <color theme="1"/>
        <rFont val="Calibri"/>
        <family val="2"/>
        <scheme val="minor"/>
      </rPr>
      <t>Rodtep Master</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</si>
  <si>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Rodtep Master</t>
    </r>
  </si>
  <si>
    <r>
      <t xml:space="preserve">1. On Mouse Hovering action on </t>
    </r>
    <r>
      <rPr>
        <b/>
        <sz val="11"/>
        <color theme="1"/>
        <rFont val="Calibri"/>
        <family val="2"/>
        <scheme val="minor"/>
      </rPr>
      <t xml:space="preserve">Masters -&gt; EDI Master -&gt; Rodtep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</si>
  <si>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Rodtep Master </t>
    </r>
    <r>
      <rPr>
        <sz val="11"/>
        <color theme="1"/>
        <rFont val="Calibri"/>
        <family val="2"/>
        <scheme val="minor"/>
      </rPr>
      <t>Page is opening properly.</t>
    </r>
  </si>
  <si>
    <t>Rodtep_Master_02</t>
  </si>
  <si>
    <r>
      <t xml:space="preserve">Validate the functionality of </t>
    </r>
    <r>
      <rPr>
        <b/>
        <sz val="11"/>
        <rFont val="Calibri"/>
        <family val="2"/>
        <scheme val="minor"/>
      </rPr>
      <t>Search RITC</t>
    </r>
    <r>
      <rPr>
        <sz val="11"/>
        <rFont val="Calibri"/>
        <family val="2"/>
        <scheme val="minor"/>
      </rPr>
      <t xml:space="preserve"> textbox of the left side panel in the </t>
    </r>
    <r>
      <rPr>
        <b/>
        <sz val="11"/>
        <rFont val="Calibri"/>
        <family val="2"/>
        <scheme val="minor"/>
      </rPr>
      <t>Rodtep Master</t>
    </r>
    <r>
      <rPr>
        <sz val="11"/>
        <rFont val="Calibri"/>
        <family val="2"/>
        <scheme val="minor"/>
      </rPr>
      <t xml:space="preserve"> Page</t>
    </r>
  </si>
  <si>
    <t xml:space="preserve"> -&gt; Valid RITC Code
 -&gt; Invalid RITC Code</t>
  </si>
  <si>
    <r>
      <t xml:space="preserve">1. Navigate to </t>
    </r>
    <r>
      <rPr>
        <b/>
        <sz val="11"/>
        <rFont val="Calibri"/>
        <family val="2"/>
        <scheme val="minor"/>
      </rPr>
      <t>Masters → EDI Master → Rodtep Master</t>
    </r>
    <r>
      <rPr>
        <sz val="11"/>
        <rFont val="Calibri"/>
        <family val="2"/>
        <scheme val="minor"/>
      </rPr>
      <t>.
2. Locate the Search RITC textbox in the left-side panel.
3. Enter a valid RITC Code in the Search RITC textbox.
4. Observe the records displayed.
5. Enter an invalid RITC Code in the Search RITC textbox.
6. Observe the system behavior and displayed message.</t>
    </r>
  </si>
  <si>
    <r>
      <t>1. When a valid</t>
    </r>
    <r>
      <rPr>
        <b/>
        <sz val="11"/>
        <color theme="1"/>
        <rFont val="Calibri"/>
        <family val="2"/>
        <scheme val="minor"/>
      </rPr>
      <t xml:space="preserve"> RITC Code</t>
    </r>
    <r>
      <rPr>
        <sz val="11"/>
        <color theme="1"/>
        <rFont val="Calibri"/>
        <family val="2"/>
        <scheme val="minor"/>
      </rPr>
      <t xml:space="preserve"> is entered, the system should display all matching records related to the entered RITC Code.
2. The records should be filtered automatically based on the entered search keyword.
3. The filtered records should be displayed correctly in the left-side panel/grid.
4. When an invalid RITC Code is entered and no records match, the system should display the validation message.</t>
    </r>
  </si>
  <si>
    <t>1. Records are filtered based on the entered RITC Code.
2. Matching records are displayed correctly for a valid RITC Code.
3. When an invalid RITC Code is entered, “Record not found..!!!” message is displayed.</t>
  </si>
  <si>
    <t>Rodtep_Master_03</t>
  </si>
  <si>
    <r>
      <t xml:space="preserve">Validate </t>
    </r>
    <r>
      <rPr>
        <b/>
        <sz val="11"/>
        <color theme="1"/>
        <rFont val="Calibri"/>
        <family val="2"/>
        <scheme val="minor"/>
      </rPr>
      <t>Sort Ascending / Sort Descending</t>
    </r>
    <r>
      <rPr>
        <sz val="11"/>
        <color theme="1"/>
        <rFont val="Calibri"/>
        <family val="2"/>
        <scheme val="minor"/>
      </rPr>
      <t xml:space="preserve"> behavior of the left-side panel list on the </t>
    </r>
    <r>
      <rPr>
        <b/>
        <sz val="11"/>
        <color theme="1"/>
        <rFont val="Calibri"/>
        <family val="2"/>
        <scheme val="minor"/>
      </rPr>
      <t xml:space="preserve">Rodtep Master </t>
    </r>
    <r>
      <rPr>
        <sz val="11"/>
        <color theme="1"/>
        <rFont val="Calibri"/>
        <family val="2"/>
        <scheme val="minor"/>
      </rPr>
      <t>page.</t>
    </r>
  </si>
  <si>
    <r>
      <t xml:space="preserve">1. Navigate to </t>
    </r>
    <r>
      <rPr>
        <b/>
        <sz val="11"/>
        <color theme="1"/>
        <rFont val="Calibri"/>
        <family val="2"/>
        <scheme val="minor"/>
      </rPr>
      <t>Masters -&gt; EDI Master -&gt; Rodtep Master</t>
    </r>
    <r>
      <rPr>
        <sz val="11"/>
        <color theme="1"/>
        <rFont val="Calibri"/>
        <family val="2"/>
        <scheme val="minor"/>
      </rPr>
      <t xml:space="preserve">
2. Click on Sort </t>
    </r>
    <r>
      <rPr>
        <b/>
        <sz val="11"/>
        <color theme="1"/>
        <rFont val="Calibri"/>
        <family val="2"/>
        <scheme val="minor"/>
      </rPr>
      <t>Ascending option</t>
    </r>
    <r>
      <rPr>
        <sz val="11"/>
        <color theme="1"/>
        <rFont val="Calibri"/>
        <family val="2"/>
        <scheme val="minor"/>
      </rPr>
      <t xml:space="preserve"> in the left-side panel list.
3. Verify the order of records displayed.
4. Click on Sort </t>
    </r>
    <r>
      <rPr>
        <b/>
        <sz val="11"/>
        <color theme="1"/>
        <rFont val="Calibri"/>
        <family val="2"/>
        <scheme val="minor"/>
      </rPr>
      <t xml:space="preserve">Descending option </t>
    </r>
    <r>
      <rPr>
        <sz val="11"/>
        <color theme="1"/>
        <rFont val="Calibri"/>
        <family val="2"/>
        <scheme val="minor"/>
      </rPr>
      <t>in the left-side panel list.
5. Verify the order of records displayed.</t>
    </r>
  </si>
  <si>
    <t>Rodtep_Master_04</t>
  </si>
  <si>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 xml:space="preserve">Rodtep Master </t>
    </r>
    <r>
      <rPr>
        <sz val="11"/>
        <color theme="1"/>
        <rFont val="Calibri"/>
        <family val="2"/>
        <scheme val="minor"/>
      </rPr>
      <t>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</si>
  <si>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Rodtep Master
</t>
    </r>
    <r>
      <rPr>
        <sz val="11"/>
        <color theme="1"/>
        <rFont val="Calibri"/>
        <family val="2"/>
        <scheme val="minor"/>
      </rPr>
      <t xml:space="preserve">2. From the </t>
    </r>
    <r>
      <rPr>
        <b/>
        <sz val="11"/>
        <color theme="1"/>
        <rFont val="Calibri"/>
        <family val="2"/>
        <scheme val="minor"/>
      </rPr>
      <t>left-panel list</t>
    </r>
    <r>
      <rPr>
        <sz val="11"/>
        <color theme="1"/>
        <rFont val="Calibri"/>
        <family val="2"/>
        <scheme val="minor"/>
      </rPr>
      <t xml:space="preserve">, select any record and observe the system behaviour.
2. Now select another record from the </t>
    </r>
    <r>
      <rPr>
        <b/>
        <sz val="11"/>
        <color theme="1"/>
        <rFont val="Calibri"/>
        <family val="2"/>
        <scheme val="minor"/>
      </rPr>
      <t>left panel list</t>
    </r>
    <r>
      <rPr>
        <sz val="11"/>
        <color theme="1"/>
        <rFont val="Calibri"/>
        <family val="2"/>
        <scheme val="minor"/>
      </rPr>
      <t xml:space="preserve"> and observe the system behaviour.</t>
    </r>
  </si>
  <si>
    <r>
      <t xml:space="preserve">1. Selected record from the </t>
    </r>
    <r>
      <rPr>
        <b/>
        <sz val="11"/>
        <color theme="1"/>
        <rFont val="Calibri"/>
        <family val="2"/>
        <scheme val="minor"/>
      </rPr>
      <t xml:space="preserve">left-panel list </t>
    </r>
    <r>
      <rPr>
        <sz val="11"/>
        <color theme="1"/>
        <rFont val="Calibri"/>
        <family val="2"/>
        <scheme val="minor"/>
      </rPr>
      <t>should be displayed correctly in the corresponding textboxes on the</t>
    </r>
    <r>
      <rPr>
        <b/>
        <sz val="11"/>
        <color theme="1"/>
        <rFont val="Calibri"/>
        <family val="2"/>
        <scheme val="minor"/>
      </rPr>
      <t xml:space="preserve"> Rodtep Master </t>
    </r>
    <r>
      <rPr>
        <sz val="11"/>
        <color theme="1"/>
        <rFont val="Calibri"/>
        <family val="2"/>
        <scheme val="minor"/>
      </rPr>
      <t>page.
2. When another record is selected, the previously displayed details should be refreshed and replaced with the newly selected record details.</t>
    </r>
  </si>
  <si>
    <t>Rodtep_Master_05</t>
  </si>
  <si>
    <r>
      <t>Validate the functionality of</t>
    </r>
    <r>
      <rPr>
        <b/>
        <sz val="11"/>
        <color theme="1"/>
        <rFont val="Calibri"/>
        <family val="2"/>
        <scheme val="minor"/>
      </rPr>
      <t xml:space="preserve"> RITC Code </t>
    </r>
    <r>
      <rPr>
        <sz val="11"/>
        <color theme="1"/>
        <rFont val="Calibri"/>
        <family val="2"/>
        <scheme val="minor"/>
      </rPr>
      <t>textbox in the</t>
    </r>
    <r>
      <rPr>
        <b/>
        <sz val="11"/>
        <color theme="1"/>
        <rFont val="Calibri"/>
        <family val="2"/>
        <scheme val="minor"/>
      </rPr>
      <t xml:space="preserve"> Rodtep Master</t>
    </r>
    <r>
      <rPr>
        <sz val="11"/>
        <color theme="1"/>
        <rFont val="Calibri"/>
        <family val="2"/>
        <scheme val="minor"/>
      </rPr>
      <t xml:space="preserve"> Page.</t>
    </r>
  </si>
  <si>
    <r>
      <t xml:space="preserve">1. Navigate to </t>
    </r>
    <r>
      <rPr>
        <b/>
        <sz val="11"/>
        <rFont val="Calibri"/>
        <family val="2"/>
        <scheme val="minor"/>
      </rPr>
      <t xml:space="preserve">Masters -&gt; EDI Master → Rodtep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RITC Code</t>
    </r>
    <r>
      <rPr>
        <sz val="11"/>
        <rFont val="Calibri"/>
        <family val="2"/>
        <scheme val="minor"/>
      </rPr>
      <t xml:space="preserve"> textobx.
3. Enter Valid &amp; Invalid Data in </t>
    </r>
    <r>
      <rPr>
        <b/>
        <sz val="11"/>
        <rFont val="Calibri"/>
        <family val="2"/>
        <scheme val="minor"/>
      </rPr>
      <t>RITC Code</t>
    </r>
    <r>
      <rPr>
        <sz val="11"/>
        <rFont val="Calibri"/>
        <family val="2"/>
        <scheme val="minor"/>
      </rPr>
      <t xml:space="preserve"> textbox.
4. Observe the system behaviour.</t>
    </r>
  </si>
  <si>
    <r>
      <t xml:space="preserve">1. Functionality is working as expected.
2. </t>
    </r>
    <r>
      <rPr>
        <b/>
        <sz val="11"/>
        <color theme="1"/>
        <rFont val="Calibri"/>
        <family val="2"/>
        <scheme val="minor"/>
      </rPr>
      <t xml:space="preserve">RITC Code </t>
    </r>
    <r>
      <rPr>
        <sz val="11"/>
        <color theme="1"/>
        <rFont val="Calibri"/>
        <family val="2"/>
        <scheme val="minor"/>
      </rPr>
      <t>textbox is accepting only numeric value.
3. 8 character length is implemented successfully</t>
    </r>
  </si>
  <si>
    <t>Rodtep_Master_06</t>
  </si>
  <si>
    <r>
      <t>Validate the functionality of</t>
    </r>
    <r>
      <rPr>
        <b/>
        <sz val="11"/>
        <color theme="1"/>
        <rFont val="Calibri"/>
        <family val="2"/>
        <scheme val="minor"/>
      </rPr>
      <t xml:space="preserve"> Rate Adv.(%) </t>
    </r>
    <r>
      <rPr>
        <sz val="11"/>
        <color theme="1"/>
        <rFont val="Calibri"/>
        <family val="2"/>
        <scheme val="minor"/>
      </rPr>
      <t xml:space="preserve">textbox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</si>
  <si>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 Rodtep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Adv.(%)</t>
    </r>
    <r>
      <rPr>
        <sz val="11"/>
        <rFont val="Calibri"/>
        <family val="2"/>
        <scheme val="minor"/>
      </rPr>
      <t xml:space="preserve"> textobx.
3. Enter Valid &amp; Invalid Data in </t>
    </r>
    <r>
      <rPr>
        <b/>
        <sz val="11"/>
        <rFont val="Calibri"/>
        <family val="2"/>
        <scheme val="minor"/>
      </rPr>
      <t>CESS Adv.(%)</t>
    </r>
    <r>
      <rPr>
        <sz val="11"/>
        <rFont val="Calibri"/>
        <family val="2"/>
        <scheme val="minor"/>
      </rPr>
      <t xml:space="preserve"> textbox.
4. Observe the system behaviour.</t>
    </r>
  </si>
  <si>
    <r>
      <t xml:space="preserve">1. Navigate to </t>
    </r>
    <r>
      <rPr>
        <b/>
        <sz val="11"/>
        <rFont val="Calibri"/>
        <family val="2"/>
        <scheme val="minor"/>
      </rPr>
      <t xml:space="preserve">Masters -&gt; EDI Master → CESS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CESS Value</t>
    </r>
    <r>
      <rPr>
        <sz val="11"/>
        <rFont val="Calibri"/>
        <family val="2"/>
        <scheme val="minor"/>
      </rPr>
      <t xml:space="preserve"> textobx.
3. Enter Valid &amp; Invalid Data in </t>
    </r>
    <r>
      <rPr>
        <b/>
        <sz val="11"/>
        <rFont val="Calibri"/>
        <family val="2"/>
        <scheme val="minor"/>
      </rPr>
      <t>CESS Value</t>
    </r>
    <r>
      <rPr>
        <sz val="11"/>
        <rFont val="Calibri"/>
        <family val="2"/>
        <scheme val="minor"/>
      </rPr>
      <t xml:space="preserve"> textbox.
4. Observe the system behaviour.</t>
    </r>
  </si>
  <si>
    <r>
      <t xml:space="preserve">1. As per the Use Case, </t>
    </r>
    <r>
      <rPr>
        <b/>
        <sz val="11"/>
        <color theme="1"/>
        <rFont val="Calibri"/>
        <family val="2"/>
        <scheme val="minor"/>
      </rPr>
      <t>Rate Adv.(%)</t>
    </r>
    <r>
      <rPr>
        <sz val="11"/>
        <color theme="1"/>
        <rFont val="Calibri"/>
        <family val="2"/>
        <scheme val="minor"/>
      </rPr>
      <t xml:space="preserve"> textbox should accept:
 -&gt; Numeric value (0 To 9) with decimal 
</t>
    </r>
    <r>
      <rPr>
        <b/>
        <sz val="11"/>
        <color theme="1"/>
        <rFont val="Calibri"/>
        <family val="2"/>
        <scheme val="minor"/>
      </rPr>
      <t>2. Rate Adv.(%)</t>
    </r>
    <r>
      <rPr>
        <sz val="11"/>
        <color theme="1"/>
        <rFont val="Calibri"/>
        <family val="2"/>
        <scheme val="minor"/>
      </rPr>
      <t xml:space="preserve"> textbox should not accept:
 -&gt; Special characters (except decimal .)
 -&gt; Alphabetic valus
3. </t>
    </r>
    <r>
      <rPr>
        <b/>
        <sz val="11"/>
        <color theme="1"/>
        <rFont val="Calibri"/>
        <family val="2"/>
        <scheme val="minor"/>
      </rPr>
      <t>Rate Adv.(%)</t>
    </r>
    <r>
      <rPr>
        <sz val="11"/>
        <color theme="1"/>
        <rFont val="Calibri"/>
        <family val="2"/>
        <scheme val="minor"/>
      </rPr>
      <t xml:space="preserve"> textbox length validation should be 4 character </t>
    </r>
  </si>
  <si>
    <r>
      <t xml:space="preserve">1. Functionality is working expected.
1. </t>
    </r>
    <r>
      <rPr>
        <b/>
        <sz val="11"/>
        <color theme="1"/>
        <rFont val="Calibri"/>
        <family val="2"/>
        <scheme val="minor"/>
      </rPr>
      <t xml:space="preserve">Rate Adv.(%) </t>
    </r>
    <r>
      <rPr>
        <sz val="11"/>
        <color theme="1"/>
        <rFont val="Calibri"/>
        <family val="2"/>
        <scheme val="minor"/>
      </rPr>
      <t xml:space="preserve">is accepting only numeric values with decimal. 
2. </t>
    </r>
    <r>
      <rPr>
        <b/>
        <sz val="11"/>
        <color theme="1"/>
        <rFont val="Calibri"/>
        <family val="2"/>
        <scheme val="minor"/>
      </rPr>
      <t xml:space="preserve">CESS Value </t>
    </r>
    <r>
      <rPr>
        <sz val="11"/>
        <color theme="1"/>
        <rFont val="Calibri"/>
        <family val="2"/>
        <scheme val="minor"/>
      </rPr>
      <t xml:space="preserve">is not accepting invalid values.
3. </t>
    </r>
    <r>
      <rPr>
        <b/>
        <sz val="11"/>
        <color theme="1"/>
        <rFont val="Calibri"/>
        <family val="2"/>
        <scheme val="minor"/>
      </rPr>
      <t>CESS Value</t>
    </r>
    <r>
      <rPr>
        <sz val="11"/>
        <color theme="1"/>
        <rFont val="Calibri"/>
        <family val="2"/>
        <scheme val="minor"/>
      </rPr>
      <t xml:space="preserve"> textbox limitation :
 -&gt; Without decimal value - 4 character.
 -&gt; With decimal value - 7 (After decimal max 2 character)</t>
    </r>
  </si>
  <si>
    <t>Rodtep_Master_07</t>
  </si>
  <si>
    <r>
      <t>Validate the functionality of</t>
    </r>
    <r>
      <rPr>
        <b/>
        <sz val="11"/>
        <color theme="1"/>
        <rFont val="Calibri"/>
        <family val="2"/>
        <scheme val="minor"/>
      </rPr>
      <t xml:space="preserve"> Rate Spec Cap </t>
    </r>
    <r>
      <rPr>
        <sz val="11"/>
        <color theme="1"/>
        <rFont val="Calibri"/>
        <family val="2"/>
        <scheme val="minor"/>
      </rPr>
      <t xml:space="preserve">textbox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</si>
  <si>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 Rodtep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Spec Cap</t>
    </r>
    <r>
      <rPr>
        <sz val="11"/>
        <rFont val="Calibri"/>
        <family val="2"/>
        <scheme val="minor"/>
      </rPr>
      <t xml:space="preserve"> textobx.
3. Enter Valid &amp; Invalid Data in </t>
    </r>
    <r>
      <rPr>
        <b/>
        <sz val="11"/>
        <rFont val="Calibri"/>
        <family val="2"/>
        <scheme val="minor"/>
      </rPr>
      <t>Rate Spec Cap</t>
    </r>
    <r>
      <rPr>
        <sz val="11"/>
        <rFont val="Calibri"/>
        <family val="2"/>
        <scheme val="minor"/>
      </rPr>
      <t xml:space="preserve"> textbox.
4. Observe the system behaviour.</t>
    </r>
  </si>
  <si>
    <r>
      <t xml:space="preserve">1. As per the Use Case, </t>
    </r>
    <r>
      <rPr>
        <b/>
        <sz val="11"/>
        <color theme="1"/>
        <rFont val="Calibri"/>
        <family val="2"/>
        <scheme val="minor"/>
      </rPr>
      <t>Rate Spec Cap</t>
    </r>
    <r>
      <rPr>
        <sz val="11"/>
        <color theme="1"/>
        <rFont val="Calibri"/>
        <family val="2"/>
        <scheme val="minor"/>
      </rPr>
      <t xml:space="preserve"> textbox should accept:
 -&gt; Numeric value (0 To 9) with decimal 
2.</t>
    </r>
    <r>
      <rPr>
        <b/>
        <sz val="11"/>
        <color theme="1"/>
        <rFont val="Calibri"/>
        <family val="2"/>
        <scheme val="minor"/>
      </rPr>
      <t xml:space="preserve"> Rate Spec Cap</t>
    </r>
    <r>
      <rPr>
        <sz val="11"/>
        <color theme="1"/>
        <rFont val="Calibri"/>
        <family val="2"/>
        <scheme val="minor"/>
      </rPr>
      <t xml:space="preserve"> textbox should not accept:
 -&gt; Special characters (except decimal .)
 -&gt; Alphabetic valus
3. </t>
    </r>
    <r>
      <rPr>
        <b/>
        <sz val="11"/>
        <color theme="1"/>
        <rFont val="Calibri"/>
        <family val="2"/>
        <scheme val="minor"/>
      </rPr>
      <t>Rate Spec Cap</t>
    </r>
    <r>
      <rPr>
        <sz val="11"/>
        <color theme="1"/>
        <rFont val="Calibri"/>
        <family val="2"/>
        <scheme val="minor"/>
      </rPr>
      <t xml:space="preserve"> textbox length validation should be 4 character </t>
    </r>
  </si>
  <si>
    <r>
      <t xml:space="preserve">1. Functionality is working expected.
1. </t>
    </r>
    <r>
      <rPr>
        <b/>
        <sz val="11"/>
        <color theme="1"/>
        <rFont val="Calibri"/>
        <family val="2"/>
        <scheme val="minor"/>
      </rPr>
      <t xml:space="preserve">Rate Spec Cap </t>
    </r>
    <r>
      <rPr>
        <sz val="11"/>
        <color theme="1"/>
        <rFont val="Calibri"/>
        <family val="2"/>
        <scheme val="minor"/>
      </rPr>
      <t xml:space="preserve">is accepting only numeric values with decimal. 
2. </t>
    </r>
    <r>
      <rPr>
        <b/>
        <sz val="11"/>
        <color theme="1"/>
        <rFont val="Calibri"/>
        <family val="2"/>
        <scheme val="minor"/>
      </rPr>
      <t xml:space="preserve">Rate Spec Cap </t>
    </r>
    <r>
      <rPr>
        <sz val="11"/>
        <color theme="1"/>
        <rFont val="Calibri"/>
        <family val="2"/>
        <scheme val="minor"/>
      </rPr>
      <t xml:space="preserve">is not accepting invalid values.
3. </t>
    </r>
    <r>
      <rPr>
        <b/>
        <sz val="11"/>
        <color theme="1"/>
        <rFont val="Calibri"/>
        <family val="2"/>
        <scheme val="minor"/>
      </rPr>
      <t>Rate Spec Cap</t>
    </r>
    <r>
      <rPr>
        <sz val="11"/>
        <color theme="1"/>
        <rFont val="Calibri"/>
        <family val="2"/>
        <scheme val="minor"/>
      </rPr>
      <t xml:space="preserve"> textbox limitation :
 -&gt; Without decimal value - 4 character.
 -&gt; With decimal value - 7 (After decimal max 2 character)</t>
    </r>
  </si>
  <si>
    <t>Rodtep_Master_08</t>
  </si>
  <si>
    <r>
      <t>Validate the functionality of</t>
    </r>
    <r>
      <rPr>
        <b/>
        <sz val="11"/>
        <color theme="1"/>
        <rFont val="Calibri"/>
        <family val="2"/>
        <scheme val="minor"/>
      </rPr>
      <t xml:space="preserve"> Unit </t>
    </r>
    <r>
      <rPr>
        <sz val="11"/>
        <color theme="1"/>
        <rFont val="Calibri"/>
        <family val="2"/>
        <scheme val="minor"/>
      </rPr>
      <t xml:space="preserve">textbox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</si>
  <si>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 Rodtep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Unit</t>
    </r>
    <r>
      <rPr>
        <sz val="11"/>
        <rFont val="Calibri"/>
        <family val="2"/>
        <scheme val="minor"/>
      </rPr>
      <t xml:space="preserve"> textobx.
3. Enter Valid &amp; Invalid Data in </t>
    </r>
    <r>
      <rPr>
        <b/>
        <sz val="11"/>
        <rFont val="Calibri"/>
        <family val="2"/>
        <scheme val="minor"/>
      </rPr>
      <t>Unit</t>
    </r>
    <r>
      <rPr>
        <sz val="11"/>
        <rFont val="Calibri"/>
        <family val="2"/>
        <scheme val="minor"/>
      </rPr>
      <t xml:space="preserve"> textbox.
4. Observe the system behaviour.</t>
    </r>
  </si>
  <si>
    <r>
      <t xml:space="preserve">1. </t>
    </r>
    <r>
      <rPr>
        <b/>
        <sz val="11"/>
        <color theme="1"/>
        <rFont val="Calibri"/>
        <family val="2"/>
        <scheme val="minor"/>
      </rPr>
      <t xml:space="preserve">Unit </t>
    </r>
    <r>
      <rPr>
        <sz val="11"/>
        <color theme="1"/>
        <rFont val="Calibri"/>
        <family val="2"/>
        <scheme val="minor"/>
      </rPr>
      <t>textbox should behave as an</t>
    </r>
    <r>
      <rPr>
        <b/>
        <sz val="11"/>
        <color theme="1"/>
        <rFont val="Calibri"/>
        <family val="2"/>
        <scheme val="minor"/>
      </rPr>
      <t xml:space="preserve"> autosuggest textbox.</t>
    </r>
    <r>
      <rPr>
        <sz val="11"/>
        <color theme="1"/>
        <rFont val="Calibri"/>
        <family val="2"/>
        <scheme val="minor"/>
      </rPr>
      <t xml:space="preserve">
2. User should be able to select </t>
    </r>
    <r>
      <rPr>
        <b/>
        <sz val="11"/>
        <color theme="1"/>
        <rFont val="Calibri"/>
        <family val="2"/>
        <scheme val="minor"/>
      </rPr>
      <t>Unit</t>
    </r>
    <r>
      <rPr>
        <sz val="11"/>
        <color theme="1"/>
        <rFont val="Calibri"/>
        <family val="2"/>
        <scheme val="minor"/>
      </rPr>
      <t xml:space="preserve"> value only from the autosuggest list.
3. Manual entry should not be allowed in the Unit textbox.
4. Autosuggest indicator should be clearly visible 
5. Only valid Unit values should appear in the autosuggest list.
6. After selecting a Unit from the autosuggest list, the record should be saved successfully without any error.
</t>
    </r>
  </si>
  <si>
    <r>
      <t xml:space="preserve">1. Unit textbox is accepting manual input.
2. Unit textbox is also  behaving like an autosuggest textbox.
3. Autosuggest indicator is not displayed, unlike other autosuggest textboxes.
4. Autosuggest list displays 4-character Unit values, but while saving the record, an error message is displayed.
5. Manually it is accepting all types of values.
</t>
    </r>
    <r>
      <rPr>
        <b/>
        <sz val="11"/>
        <color theme="1"/>
        <rFont val="Calibri"/>
        <family val="2"/>
        <scheme val="minor"/>
      </rPr>
      <t>Note: This textbox should work same as a Unit textbox in CESS Schedule Master page.</t>
    </r>
  </si>
  <si>
    <t>Rodtep_Master_09</t>
  </si>
  <si>
    <r>
      <t>Validate the functionality of</t>
    </r>
    <r>
      <rPr>
        <b/>
        <sz val="11"/>
        <color theme="1"/>
        <rFont val="Calibri"/>
        <family val="2"/>
        <scheme val="minor"/>
      </rPr>
      <t xml:space="preserve"> Flag </t>
    </r>
    <r>
      <rPr>
        <sz val="11"/>
        <color theme="1"/>
        <rFont val="Calibri"/>
        <family val="2"/>
        <scheme val="minor"/>
      </rPr>
      <t xml:space="preserve">textbox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</si>
  <si>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 Rodtep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Flag</t>
    </r>
    <r>
      <rPr>
        <sz val="11"/>
        <rFont val="Calibri"/>
        <family val="2"/>
        <scheme val="minor"/>
      </rPr>
      <t xml:space="preserve"> textobx.
3. Enter Valid &amp; Invalid Data in </t>
    </r>
    <r>
      <rPr>
        <b/>
        <sz val="11"/>
        <rFont val="Calibri"/>
        <family val="2"/>
        <scheme val="minor"/>
      </rPr>
      <t>Flag</t>
    </r>
    <r>
      <rPr>
        <sz val="11"/>
        <rFont val="Calibri"/>
        <family val="2"/>
        <scheme val="minor"/>
      </rPr>
      <t xml:space="preserve"> textbox.
4. Observe the system behaviour.</t>
    </r>
  </si>
  <si>
    <r>
      <t xml:space="preserve">1. As per the Use Case, </t>
    </r>
    <r>
      <rPr>
        <b/>
        <sz val="11"/>
        <color theme="1"/>
        <rFont val="Calibri"/>
        <family val="2"/>
        <scheme val="minor"/>
      </rPr>
      <t>Flag</t>
    </r>
    <r>
      <rPr>
        <sz val="11"/>
        <color theme="1"/>
        <rFont val="Calibri"/>
        <family val="2"/>
        <scheme val="minor"/>
      </rPr>
      <t xml:space="preserve"> textbox should accept Numeric value
2.</t>
    </r>
    <r>
      <rPr>
        <b/>
        <sz val="11"/>
        <color theme="1"/>
        <rFont val="Calibri"/>
        <family val="2"/>
        <scheme val="minor"/>
      </rPr>
      <t xml:space="preserve"> Flag</t>
    </r>
    <r>
      <rPr>
        <sz val="11"/>
        <color theme="1"/>
        <rFont val="Calibri"/>
        <family val="2"/>
        <scheme val="minor"/>
      </rPr>
      <t xml:space="preserve"> textbox should not accept
 -&gt; Special characters 
 -&gt; Alphabetic valus
3. </t>
    </r>
    <r>
      <rPr>
        <b/>
        <sz val="11"/>
        <color theme="1"/>
        <rFont val="Calibri"/>
        <family val="2"/>
        <scheme val="minor"/>
      </rPr>
      <t>Flag</t>
    </r>
    <r>
      <rPr>
        <sz val="11"/>
        <color theme="1"/>
        <rFont val="Calibri"/>
        <family val="2"/>
        <scheme val="minor"/>
      </rPr>
      <t xml:space="preserve"> textbox length validation should be 1 character </t>
    </r>
  </si>
  <si>
    <r>
      <t xml:space="preserve">1. Functionality is working expected.
1. In numeric value, </t>
    </r>
    <r>
      <rPr>
        <b/>
        <sz val="11"/>
        <color theme="1"/>
        <rFont val="Calibri"/>
        <family val="2"/>
        <scheme val="minor"/>
      </rPr>
      <t xml:space="preserve">Flag </t>
    </r>
    <r>
      <rPr>
        <sz val="11"/>
        <color theme="1"/>
        <rFont val="Calibri"/>
        <family val="2"/>
        <scheme val="minor"/>
      </rPr>
      <t>textbox is accepting (2, 5, 6)</t>
    </r>
    <r>
      <rPr>
        <b/>
        <sz val="11"/>
        <color theme="1"/>
        <rFont val="Calibri"/>
        <family val="2"/>
        <scheme val="minor"/>
      </rPr>
      <t xml:space="preserve"> </t>
    </r>
    <r>
      <rPr>
        <sz val="11"/>
        <color theme="1"/>
        <rFont val="Calibri"/>
        <family val="2"/>
        <scheme val="minor"/>
      </rPr>
      <t xml:space="preserve">and rest numeric value is blocked.
2. </t>
    </r>
    <r>
      <rPr>
        <b/>
        <sz val="11"/>
        <color theme="1"/>
        <rFont val="Calibri"/>
        <family val="2"/>
        <scheme val="minor"/>
      </rPr>
      <t xml:space="preserve">Flag </t>
    </r>
    <r>
      <rPr>
        <sz val="11"/>
        <color theme="1"/>
        <rFont val="Calibri"/>
        <family val="2"/>
        <scheme val="minor"/>
      </rPr>
      <t>is not accepting any special character and alphabetic values.
3. 1 character length is implemented successfully</t>
    </r>
  </si>
  <si>
    <t>Rodtep_Master_10</t>
  </si>
  <si>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 xml:space="preserve">Rodtep Master </t>
    </r>
    <r>
      <rPr>
        <sz val="11"/>
        <color theme="1"/>
        <rFont val="Calibri"/>
        <family val="2"/>
        <scheme val="minor"/>
      </rPr>
      <t>Page.</t>
    </r>
  </si>
  <si>
    <r>
      <t xml:space="preserve">1. Navigate to </t>
    </r>
    <r>
      <rPr>
        <b/>
        <sz val="11"/>
        <color theme="1"/>
        <rFont val="Calibri"/>
        <family val="2"/>
        <scheme val="minor"/>
      </rPr>
      <t>Masters → EDI Master → Rodtep Master</t>
    </r>
    <r>
      <rPr>
        <sz val="11"/>
        <color theme="1"/>
        <rFont val="Calibri"/>
        <family val="2"/>
        <scheme val="minor"/>
      </rPr>
      <t xml:space="preserve">
2. Enter valid values in all mandatory and non-mandatory fields in the </t>
    </r>
    <r>
      <rPr>
        <b/>
        <sz val="11"/>
        <color theme="1"/>
        <rFont val="Calibri"/>
        <family val="2"/>
        <scheme val="minor"/>
      </rPr>
      <t>Rodtep Master</t>
    </r>
    <r>
      <rPr>
        <sz val="11"/>
        <color theme="1"/>
        <rFont val="Calibri"/>
        <family val="2"/>
        <scheme val="minor"/>
      </rPr>
      <t xml:space="preserve"> page.
3. Click on the </t>
    </r>
    <r>
      <rPr>
        <b/>
        <sz val="11"/>
        <color theme="1"/>
        <rFont val="Calibri"/>
        <family val="2"/>
        <scheme val="minor"/>
      </rPr>
      <t xml:space="preserve">Save </t>
    </r>
    <r>
      <rPr>
        <sz val="11"/>
        <color theme="1"/>
        <rFont val="Calibri"/>
        <family val="2"/>
        <scheme val="minor"/>
      </rPr>
      <t>button
4. Observe the system behavior.</t>
    </r>
  </si>
  <si>
    <t>Rodtep_Master_11</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</si>
  <si>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</si>
  <si>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-&gt; Rodtep Master
</t>
    </r>
    <r>
      <rPr>
        <sz val="11"/>
        <rFont val="Calibri"/>
        <family val="2"/>
        <scheme val="minor"/>
      </rPr>
      <t>2.</t>
    </r>
    <r>
      <rPr>
        <b/>
        <sz val="11"/>
        <rFont val="Calibri"/>
        <family val="2"/>
        <scheme val="minor"/>
      </rPr>
      <t xml:space="preserve"> </t>
    </r>
    <r>
      <rPr>
        <sz val="11"/>
        <rFont val="Calibri"/>
        <family val="2"/>
        <scheme val="minor"/>
      </rPr>
      <t xml:space="preserve">Enter valid data in all </t>
    </r>
    <r>
      <rPr>
        <b/>
        <sz val="11"/>
        <rFont val="Calibri"/>
        <family val="2"/>
        <scheme val="minor"/>
      </rPr>
      <t>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</si>
  <si>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t>1. When all mandatory fields are filled with valid data and the Save button is clicked:
 -&gt; The record should be saved successfully.
 -&gt; A success validation message should be displayed.
2. The saved record should appear in the left-side panel list.
3. The saved record should be:
 -&gt; Searchable using the Search textbox
 -&gt; Selectable from the left-side panel list</t>
  </si>
  <si>
    <t>Rodtep_Master_12</t>
  </si>
  <si>
    <r>
      <t xml:space="preserve">Validate the functionality of </t>
    </r>
    <r>
      <rPr>
        <b/>
        <sz val="11"/>
        <color theme="1"/>
        <rFont val="Calibri"/>
        <family val="2"/>
        <scheme val="minor"/>
      </rPr>
      <t>Save</t>
    </r>
    <r>
      <rPr>
        <sz val="11"/>
        <color theme="1"/>
        <rFont val="Calibri"/>
        <family val="2"/>
        <scheme val="minor"/>
      </rPr>
      <t xml:space="preserve"> button When are fields are left blank in the </t>
    </r>
    <r>
      <rPr>
        <b/>
        <sz val="11"/>
        <color theme="1"/>
        <rFont val="Calibri"/>
        <family val="2"/>
        <scheme val="minor"/>
      </rPr>
      <t>Rodtep Master</t>
    </r>
    <r>
      <rPr>
        <sz val="11"/>
        <color theme="1"/>
        <rFont val="Calibri"/>
        <family val="2"/>
        <scheme val="minor"/>
      </rPr>
      <t xml:space="preserve"> page.</t>
    </r>
  </si>
  <si>
    <r>
      <t xml:space="preserve">1. Navigate to </t>
    </r>
    <r>
      <rPr>
        <b/>
        <sz val="11"/>
        <rFont val="Calibri"/>
        <family val="2"/>
        <scheme val="minor"/>
      </rPr>
      <t xml:space="preserve">Masters -&gt; EDI Master -&gt; Rodtep Master
</t>
    </r>
    <r>
      <rPr>
        <sz val="11"/>
        <rFont val="Calibri"/>
        <family val="2"/>
        <scheme val="minor"/>
      </rPr>
      <t>2.</t>
    </r>
    <r>
      <rPr>
        <b/>
        <sz val="11"/>
        <rFont val="Calibri"/>
        <family val="2"/>
        <scheme val="minor"/>
      </rPr>
      <t xml:space="preserve"> </t>
    </r>
    <r>
      <rPr>
        <sz val="11"/>
        <rFont val="Calibri"/>
        <family val="2"/>
        <scheme val="minor"/>
      </rPr>
      <t xml:space="preserve">Leave all fields blank.
4. Click on the Save button.
5. Observe the system behavior.
</t>
    </r>
  </si>
  <si>
    <t>Rodtep_Master_13</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</si>
  <si>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Rodtep Master </t>
    </r>
    <r>
      <rPr>
        <sz val="11"/>
        <color theme="1"/>
        <rFont val="Calibri"/>
        <family val="2"/>
        <scheme val="minor"/>
      </rPr>
      <t>page.</t>
    </r>
  </si>
  <si>
    <r>
      <t xml:space="preserve">1. Navigate to </t>
    </r>
    <r>
      <rPr>
        <b/>
        <sz val="11"/>
        <color theme="1"/>
        <rFont val="Calibri"/>
        <family val="2"/>
        <scheme val="minor"/>
      </rPr>
      <t>Masters → EDI Master → Rodtep Master</t>
    </r>
    <r>
      <rPr>
        <sz val="11"/>
        <color theme="1"/>
        <rFont val="Calibri"/>
        <family val="2"/>
        <scheme val="minor"/>
      </rPr>
      <t xml:space="preserve">
2. Verify the state of the </t>
    </r>
    <r>
      <rPr>
        <b/>
        <sz val="11"/>
        <color theme="1"/>
        <rFont val="Calibri"/>
        <family val="2"/>
        <scheme val="minor"/>
      </rPr>
      <t>Modify</t>
    </r>
    <r>
      <rPr>
        <sz val="11"/>
        <color theme="1"/>
        <rFont val="Calibri"/>
        <family val="2"/>
        <scheme val="minor"/>
      </rPr>
      <t xml:space="preserve"> button when the page is in a new state.
3. Select any record from the left-side panel list.
4. Verify that the selected record details are loaded into the textboxes.
5. </t>
    </r>
    <r>
      <rPr>
        <b/>
        <sz val="11"/>
        <color theme="1"/>
        <rFont val="Calibri"/>
        <family val="2"/>
        <scheme val="minor"/>
      </rPr>
      <t>Modify</t>
    </r>
    <r>
      <rPr>
        <sz val="11"/>
        <color theme="1"/>
        <rFont val="Calibri"/>
        <family val="2"/>
        <scheme val="minor"/>
      </rPr>
      <t xml:space="preserve"> one or more editable fields with new valid data.
5. Click on the </t>
    </r>
    <r>
      <rPr>
        <b/>
        <sz val="11"/>
        <color theme="1"/>
        <rFont val="Calibri"/>
        <family val="2"/>
        <scheme val="minor"/>
      </rPr>
      <t>Modify</t>
    </r>
    <r>
      <rPr>
        <sz val="11"/>
        <color theme="1"/>
        <rFont val="Calibri"/>
        <family val="2"/>
        <scheme val="minor"/>
      </rPr>
      <t xml:space="preserve"> button.
6.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</si>
  <si>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t>
    </r>
    <r>
      <rPr>
        <b/>
        <sz val="11"/>
        <color theme="1"/>
        <rFont val="Calibri"/>
        <family val="2"/>
        <scheme val="minor"/>
      </rPr>
      <t>Modify button should be enabled only after selecting a record from the left-side panel and loading its data into the textboxes.</t>
    </r>
    <r>
      <rPr>
        <sz val="11"/>
        <color theme="1"/>
        <rFont val="Calibri"/>
        <family val="2"/>
        <scheme val="minor"/>
      </rPr>
      <t xml:space="preserve">
3. </t>
    </r>
    <r>
      <rPr>
        <b/>
        <sz val="11"/>
        <color theme="1"/>
        <rFont val="Calibri"/>
        <family val="2"/>
        <scheme val="minor"/>
      </rPr>
      <t>RITC Code</t>
    </r>
    <r>
      <rPr>
        <sz val="11"/>
        <color theme="1"/>
        <rFont val="Calibri"/>
        <family val="2"/>
        <scheme val="minor"/>
      </rPr>
      <t xml:space="preserve"> fields should be disabled after record selection.
4. Other fields should allow modification with valid data.
5. On clicking Modify, the record should be updated successfully.
6. The updated record should appear correctly in the left-side panel list.
7. On re-selecting the same record, updated values should be displayed correctly.
8. The user should be able to modify the same record multiple times.</t>
    </r>
  </si>
  <si>
    <r>
      <t xml:space="preserve">1. In the new state, the </t>
    </r>
    <r>
      <rPr>
        <b/>
        <sz val="11"/>
        <color theme="1"/>
        <rFont val="Calibri"/>
        <family val="2"/>
        <scheme val="minor"/>
      </rPr>
      <t>Modify</t>
    </r>
    <r>
      <rPr>
        <sz val="11"/>
        <color theme="1"/>
        <rFont val="Calibri"/>
        <family val="2"/>
        <scheme val="minor"/>
      </rPr>
      <t xml:space="preserve"> button remains disabled.
2. After selecting a record, the </t>
    </r>
    <r>
      <rPr>
        <b/>
        <sz val="11"/>
        <color theme="1"/>
        <rFont val="Calibri"/>
        <family val="2"/>
        <scheme val="minor"/>
      </rPr>
      <t>Modify</t>
    </r>
    <r>
      <rPr>
        <sz val="11"/>
        <color theme="1"/>
        <rFont val="Calibri"/>
        <family val="2"/>
        <scheme val="minor"/>
      </rPr>
      <t xml:space="preserve"> button becomes enabled.
3. </t>
    </r>
    <r>
      <rPr>
        <b/>
        <sz val="11"/>
        <color theme="1"/>
        <rFont val="Calibri"/>
        <family val="2"/>
        <scheme val="minor"/>
      </rPr>
      <t>RITC Code textbox is disabled and cannot be modified by the user.</t>
    </r>
    <r>
      <rPr>
        <sz val="11"/>
        <color theme="1"/>
        <rFont val="Calibri"/>
        <family val="2"/>
        <scheme val="minor"/>
      </rPr>
      <t xml:space="preserve">
4. Other editable fields allow modification with valid data.
5. The updated record is displayed correctly in the left-side panel list.
6. On re-selecting the same record, the updated values are displayed correctly in the corresponding textboxes.</t>
    </r>
  </si>
  <si>
    <t>Rodtep_Master_14</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</si>
  <si>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Rodtep Master </t>
    </r>
    <r>
      <rPr>
        <sz val="11"/>
        <color theme="1"/>
        <rFont val="Calibri"/>
        <family val="2"/>
        <scheme val="minor"/>
      </rPr>
      <t>page.</t>
    </r>
  </si>
  <si>
    <r>
      <t xml:space="preserve">1. Navigate to </t>
    </r>
    <r>
      <rPr>
        <b/>
        <sz val="11"/>
        <color theme="1"/>
        <rFont val="Calibri"/>
        <family val="2"/>
        <scheme val="minor"/>
      </rPr>
      <t>Masters → EDI Master → Rodtep Master</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</si>
  <si>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t>1. Functionality is working as expected</t>
  </si>
  <si>
    <t>Rodtep_Master_15</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</si>
  <si>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Rodtep Master </t>
    </r>
    <r>
      <rPr>
        <sz val="11"/>
        <color theme="1"/>
        <rFont val="Calibri"/>
        <family val="2"/>
        <scheme val="minor"/>
      </rPr>
      <t>page.</t>
    </r>
  </si>
  <si>
    <r>
      <t xml:space="preserve">1. Navigate to </t>
    </r>
    <r>
      <rPr>
        <b/>
        <sz val="11"/>
        <color theme="1"/>
        <rFont val="Calibri"/>
        <family val="2"/>
        <scheme val="minor"/>
      </rPr>
      <t>Masters → EDI Master → Rodtep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</si>
  <si>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Rodtep_Master_16</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</si>
  <si>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Rodtep Master </t>
    </r>
    <r>
      <rPr>
        <sz val="11"/>
        <color theme="1"/>
        <rFont val="Calibri"/>
        <family val="2"/>
        <scheme val="minor"/>
      </rPr>
      <t>page.</t>
    </r>
  </si>
  <si>
    <r>
      <t xml:space="preserve">1. Navigate to </t>
    </r>
    <r>
      <rPr>
        <b/>
        <sz val="11"/>
        <color theme="1"/>
        <rFont val="Calibri"/>
        <family val="2"/>
        <scheme val="minor"/>
      </rPr>
      <t>Masters → EDI Master → Rodtep Master
2</t>
    </r>
    <r>
      <rPr>
        <sz val="11"/>
        <color theme="1"/>
        <rFont val="Calibri"/>
        <family val="2"/>
        <scheme val="minor"/>
      </rPr>
      <t>. Enter valid data in all required input fields and click Save.
3. From the left-side list, select the recently saved record.
4. Observe the value displayed in the Entered By textbox.</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</si>
  <si>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Rodtep Master</t>
    </r>
    <r>
      <rPr>
        <sz val="11"/>
        <color theme="1"/>
        <rFont val="Calibri"/>
        <family val="2"/>
        <scheme val="minor"/>
      </rPr>
      <t xml:space="preserve"> Page.</t>
    </r>
  </si>
  <si>
    <r>
      <t xml:space="preserve">1. Navigate to </t>
    </r>
    <r>
      <rPr>
        <b/>
        <sz val="11"/>
        <color theme="1"/>
        <rFont val="Calibri"/>
        <family val="2"/>
        <scheme val="minor"/>
      </rPr>
      <t xml:space="preserve">Masters → EDI Master → Rodtep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</si>
  <si>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Rodtep Master</t>
    </r>
    <r>
      <rPr>
        <sz val="11"/>
        <color theme="1"/>
        <rFont val="Calibri"/>
        <family val="2"/>
        <scheme val="minor"/>
      </rPr>
      <t xml:space="preserve"> Page.</t>
    </r>
  </si>
  <si>
    <r>
      <t xml:space="preserve">1. Navigate to </t>
    </r>
    <r>
      <rPr>
        <b/>
        <sz val="11"/>
        <color theme="1"/>
        <rFont val="Calibri"/>
        <family val="2"/>
        <scheme val="minor"/>
      </rPr>
      <t>Masters -&gt; EDI Master -&gt; Rodtep Master
2</t>
    </r>
    <r>
      <rPr>
        <sz val="11"/>
        <color theme="1"/>
        <rFont val="Calibri"/>
        <family val="2"/>
        <scheme val="minor"/>
      </rPr>
      <t xml:space="preserve">. From the left-side panel, select any saved record.
3. Modify any field value and Click the modify button.
4. Re-select the same record from the left-side panel and observe the value displayed in the </t>
    </r>
    <r>
      <rPr>
        <b/>
        <sz val="11"/>
        <color theme="1"/>
        <rFont val="Calibri"/>
        <family val="2"/>
        <scheme val="minor"/>
      </rPr>
      <t>Modified By</t>
    </r>
    <r>
      <rPr>
        <sz val="11"/>
        <color theme="1"/>
        <rFont val="Calibri"/>
        <family val="2"/>
        <scheme val="minor"/>
      </rPr>
      <t xml:space="preserve"> textbox.</t>
    </r>
  </si>
  <si>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Rodtep Master</t>
    </r>
    <r>
      <rPr>
        <sz val="11"/>
        <color theme="1"/>
        <rFont val="Calibri"/>
        <family val="2"/>
        <scheme val="minor"/>
      </rPr>
      <t xml:space="preserve"> Page.</t>
    </r>
  </si>
  <si>
    <t>Rodtep_Master_17</t>
  </si>
  <si>
    <t>Rodtep_Master_18</t>
  </si>
  <si>
    <t>Rodtep_Master_19</t>
  </si>
  <si>
    <t xml:space="preserve">EDI Master --&gt; Vehicle Owner Master
</t>
  </si>
  <si>
    <t>Vehicle_Owner_Master_01</t>
  </si>
  <si>
    <t>EDI Master -&gt; Vehicle Owner Master</t>
  </si>
  <si>
    <r>
      <t xml:space="preserve">Validate the functionality of </t>
    </r>
    <r>
      <rPr>
        <b/>
        <sz val="11"/>
        <color theme="1"/>
        <rFont val="Calibri"/>
        <family val="2"/>
        <scheme val="minor"/>
      </rPr>
      <t>Vehicle Owner</t>
    </r>
    <r>
      <rPr>
        <sz val="11"/>
        <color theme="1"/>
        <rFont val="Calibri"/>
        <family val="2"/>
        <scheme val="minor"/>
      </rPr>
      <t xml:space="preserve"> </t>
    </r>
    <r>
      <rPr>
        <b/>
        <sz val="11"/>
        <color theme="1"/>
        <rFont val="Calibri"/>
        <family val="2"/>
        <scheme val="minor"/>
      </rPr>
      <t>Master</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</si>
  <si>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Vehicle Owner Master</t>
    </r>
  </si>
  <si>
    <r>
      <t xml:space="preserve">1. On Mouse Hovering action on </t>
    </r>
    <r>
      <rPr>
        <b/>
        <sz val="11"/>
        <color theme="1"/>
        <rFont val="Calibri"/>
        <family val="2"/>
        <scheme val="minor"/>
      </rPr>
      <t xml:space="preserve">Masters -&gt; EDI Master -&gt; Vehicle Owner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</si>
  <si>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Vehicle Owner Master </t>
    </r>
    <r>
      <rPr>
        <sz val="11"/>
        <color theme="1"/>
        <rFont val="Calibri"/>
        <family val="2"/>
        <scheme val="minor"/>
      </rPr>
      <t>Page is opening properly.</t>
    </r>
  </si>
  <si>
    <t>Vehicle_Owner_Master_02</t>
  </si>
  <si>
    <r>
      <t xml:space="preserve">Validate the functionality of </t>
    </r>
    <r>
      <rPr>
        <b/>
        <sz val="11"/>
        <rFont val="Calibri"/>
        <family val="2"/>
        <scheme val="minor"/>
      </rPr>
      <t xml:space="preserve">Search Vehicle Owner </t>
    </r>
    <r>
      <rPr>
        <sz val="11"/>
        <rFont val="Calibri"/>
        <family val="2"/>
        <scheme val="minor"/>
      </rPr>
      <t xml:space="preserve">textbox of the left side panel in </t>
    </r>
    <r>
      <rPr>
        <b/>
        <sz val="11"/>
        <rFont val="Calibri"/>
        <family val="2"/>
        <scheme val="minor"/>
      </rPr>
      <t>Vehicle Owner Master</t>
    </r>
    <r>
      <rPr>
        <sz val="11"/>
        <rFont val="Calibri"/>
        <family val="2"/>
        <scheme val="minor"/>
      </rPr>
      <t xml:space="preserve"> Page</t>
    </r>
  </si>
  <si>
    <r>
      <t xml:space="preserve">1. Navigate to </t>
    </r>
    <r>
      <rPr>
        <b/>
        <sz val="11"/>
        <rFont val="Calibri"/>
        <family val="2"/>
        <scheme val="minor"/>
      </rPr>
      <t>Masters</t>
    </r>
    <r>
      <rPr>
        <sz val="11"/>
        <rFont val="Calibri"/>
        <family val="2"/>
        <scheme val="minor"/>
      </rPr>
      <t xml:space="preserve"> -&gt; </t>
    </r>
    <r>
      <rPr>
        <b/>
        <sz val="11"/>
        <rFont val="Calibri"/>
        <family val="2"/>
        <scheme val="minor"/>
      </rPr>
      <t>EDI</t>
    </r>
    <r>
      <rPr>
        <sz val="11"/>
        <rFont val="Calibri"/>
        <family val="2"/>
        <scheme val="minor"/>
      </rPr>
      <t xml:space="preserve"> </t>
    </r>
    <r>
      <rPr>
        <b/>
        <sz val="11"/>
        <rFont val="Calibri"/>
        <family val="2"/>
        <scheme val="minor"/>
      </rPr>
      <t>Master</t>
    </r>
    <r>
      <rPr>
        <sz val="11"/>
        <rFont val="Calibri"/>
        <family val="2"/>
        <scheme val="minor"/>
      </rPr>
      <t xml:space="preserve"> -&gt; </t>
    </r>
    <r>
      <rPr>
        <b/>
        <sz val="11"/>
        <rFont val="Calibri"/>
        <family val="2"/>
        <scheme val="minor"/>
      </rPr>
      <t xml:space="preserve">Vehicle Owner Master
</t>
    </r>
    <r>
      <rPr>
        <sz val="11"/>
        <rFont val="Calibri"/>
        <family val="2"/>
        <scheme val="minor"/>
      </rPr>
      <t>2. Observe how the record list is filtered based on the entered search keyword.</t>
    </r>
  </si>
  <si>
    <t>Currently No data available</t>
  </si>
  <si>
    <t>Vehicle_Owner_Master_03</t>
  </si>
  <si>
    <r>
      <t xml:space="preserve">Validate </t>
    </r>
    <r>
      <rPr>
        <b/>
        <sz val="11"/>
        <color theme="1"/>
        <rFont val="Calibri"/>
        <family val="2"/>
        <scheme val="minor"/>
      </rPr>
      <t>Sort Ascending / Sort Descending</t>
    </r>
    <r>
      <rPr>
        <sz val="11"/>
        <color theme="1"/>
        <rFont val="Calibri"/>
        <family val="2"/>
        <scheme val="minor"/>
      </rPr>
      <t xml:space="preserve"> and </t>
    </r>
    <r>
      <rPr>
        <b/>
        <sz val="11"/>
        <color theme="1"/>
        <rFont val="Calibri"/>
        <family val="2"/>
        <scheme val="minor"/>
      </rPr>
      <t>Column</t>
    </r>
    <r>
      <rPr>
        <sz val="11"/>
        <color theme="1"/>
        <rFont val="Calibri"/>
        <family val="2"/>
        <scheme val="minor"/>
      </rPr>
      <t xml:space="preserve"> Selection Checkbox Behavior for Left Panel List of </t>
    </r>
    <r>
      <rPr>
        <b/>
        <sz val="11"/>
        <color theme="1"/>
        <rFont val="Calibri"/>
        <family val="2"/>
        <scheme val="minor"/>
      </rPr>
      <t>Vehicle Owner Master</t>
    </r>
    <r>
      <rPr>
        <sz val="11"/>
        <color theme="1"/>
        <rFont val="Calibri"/>
        <family val="2"/>
        <scheme val="minor"/>
      </rPr>
      <t xml:space="preserve"> Page.</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</si>
  <si>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Vehicle Owner Master
2</t>
    </r>
    <r>
      <rPr>
        <sz val="11"/>
        <color theme="1"/>
        <rFont val="Calibri"/>
        <family val="2"/>
        <scheme val="minor"/>
      </rPr>
      <t>. On the left panel list, Click 
 -&gt; Sort Ascending and verify list order.
 -&gt; Click Sort Descending and verify list order.
 -&gt; Checkboxes: select all checkboxes all columns visible
 - &gt; deselect all - all columns hidden.</t>
    </r>
  </si>
  <si>
    <t>Vehicle_Owner_Master_04</t>
  </si>
  <si>
    <r>
      <t>Validate whether the selected</t>
    </r>
    <r>
      <rPr>
        <b/>
        <sz val="11"/>
        <color theme="1"/>
        <rFont val="Calibri"/>
        <family val="2"/>
        <scheme val="minor"/>
      </rPr>
      <t xml:space="preserve"> Record</t>
    </r>
    <r>
      <rPr>
        <sz val="11"/>
        <color theme="1"/>
        <rFont val="Calibri"/>
        <family val="2"/>
        <scheme val="minor"/>
      </rPr>
      <t xml:space="preserve"> from the left-panel list are correctly reflected in the corresponding textboxes on the </t>
    </r>
    <r>
      <rPr>
        <b/>
        <sz val="11"/>
        <color theme="1"/>
        <rFont val="Calibri"/>
        <family val="2"/>
        <scheme val="minor"/>
      </rPr>
      <t>Vehicle Owner Master</t>
    </r>
    <r>
      <rPr>
        <sz val="11"/>
        <color theme="1"/>
        <rFont val="Calibri"/>
        <family val="2"/>
        <scheme val="minor"/>
      </rPr>
      <t xml:space="preserve"> Page.</t>
    </r>
  </si>
  <si>
    <r>
      <t xml:space="preserve">1. The record selected from the </t>
    </r>
    <r>
      <rPr>
        <b/>
        <sz val="11"/>
        <color theme="1"/>
        <rFont val="Calibri"/>
        <family val="2"/>
        <scheme val="minor"/>
      </rPr>
      <t xml:space="preserve">left-panel list </t>
    </r>
    <r>
      <rPr>
        <sz val="11"/>
        <color theme="1"/>
        <rFont val="Calibri"/>
        <family val="2"/>
        <scheme val="minor"/>
      </rPr>
      <t xml:space="preserve">should be displayed correctly in the corresponding textboxes on the </t>
    </r>
    <r>
      <rPr>
        <b/>
        <sz val="11"/>
        <color theme="1"/>
        <rFont val="Calibri"/>
        <family val="2"/>
        <scheme val="minor"/>
      </rPr>
      <t xml:space="preserve">Vehicle Owner Master </t>
    </r>
    <r>
      <rPr>
        <sz val="11"/>
        <color theme="1"/>
        <rFont val="Calibri"/>
        <family val="2"/>
        <scheme val="minor"/>
      </rPr>
      <t>page.
2. When another record is selected, the previously displayed details should be refreshed and replaced with the newly selected record details.</t>
    </r>
  </si>
  <si>
    <t>Vehicle_Owner_Master_05</t>
  </si>
  <si>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Vehicle No</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 space etc.</t>
    </r>
  </si>
  <si>
    <r>
      <t xml:space="preserve">1. As per use case, </t>
    </r>
    <r>
      <rPr>
        <b/>
        <sz val="11"/>
        <rFont val="Calibri"/>
        <family val="2"/>
        <scheme val="minor"/>
      </rPr>
      <t>Vehicle No</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Vehicle No</t>
    </r>
    <r>
      <rPr>
        <sz val="11"/>
        <rFont val="Calibri"/>
        <family val="2"/>
        <scheme val="minor"/>
      </rPr>
      <t xml:space="preserve"> textbox length should be limited to 20 characters.</t>
    </r>
  </si>
  <si>
    <r>
      <t xml:space="preserve">1. Functionality is not working as expected.
2. </t>
    </r>
    <r>
      <rPr>
        <b/>
        <sz val="11"/>
        <rFont val="Calibri"/>
        <family val="2"/>
        <scheme val="minor"/>
      </rPr>
      <t>Vehicle No</t>
    </r>
    <r>
      <rPr>
        <sz val="11"/>
        <rFont val="Calibri"/>
        <family val="2"/>
        <scheme val="minor"/>
      </rPr>
      <t xml:space="preserve"> textbox is accepting all types of values, including invalid characters.
3. 20-character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Vehicle No</t>
    </r>
    <r>
      <rPr>
        <sz val="11"/>
        <rFont val="Calibri"/>
        <family val="2"/>
        <scheme val="minor"/>
      </rPr>
      <t xml:space="preserve"> textbox should accept alphanumeric value with space and following special character:   Dot (.), Comma (,), Percent (%), Hyphen (-), Forward Slash(/), Backslash (\), Ampersand (&amp;),  Underscore ( _)</t>
    </r>
  </si>
  <si>
    <t>Vehicle_Owner_Master_06</t>
  </si>
  <si>
    <r>
      <t xml:space="preserve">Validate the functionality of </t>
    </r>
    <r>
      <rPr>
        <b/>
        <sz val="11"/>
        <rFont val="Calibri"/>
        <family val="2"/>
        <scheme val="minor"/>
      </rPr>
      <t>Vehicle Country</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</si>
  <si>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Validate the functionality of </t>
    </r>
    <r>
      <rPr>
        <b/>
        <sz val="11"/>
        <rFont val="Calibri"/>
        <family val="2"/>
        <scheme val="minor"/>
      </rPr>
      <t>Vehicle No</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</si>
  <si>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Vehicle Country</t>
    </r>
  </si>
  <si>
    <t>Vehicle_Owner_Master_07</t>
  </si>
  <si>
    <r>
      <t xml:space="preserve">Validate the functionality of </t>
    </r>
    <r>
      <rPr>
        <b/>
        <sz val="11"/>
        <rFont val="Calibri"/>
        <family val="2"/>
        <scheme val="minor"/>
      </rPr>
      <t>Owner</t>
    </r>
    <r>
      <rPr>
        <sz val="11"/>
        <rFont val="Calibri"/>
        <family val="2"/>
        <scheme val="minor"/>
      </rPr>
      <t xml:space="preserve"> </t>
    </r>
    <r>
      <rPr>
        <b/>
        <sz val="11"/>
        <rFont val="Calibri"/>
        <family val="2"/>
        <scheme val="minor"/>
      </rPr>
      <t>Name</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</si>
  <si>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rPr>
        <b/>
        <sz val="11"/>
        <rFont val="Calibri"/>
        <family val="2"/>
        <scheme val="minor"/>
      </rPr>
      <t>Textbox</t>
    </r>
    <r>
      <rPr>
        <sz val="11"/>
        <rFont val="Calibri"/>
        <family val="2"/>
        <scheme val="minor"/>
      </rPr>
      <t xml:space="preserve"> -</t>
    </r>
    <r>
      <rPr>
        <b/>
        <sz val="11"/>
        <rFont val="Calibri"/>
        <family val="2"/>
        <scheme val="minor"/>
      </rPr>
      <t xml:space="preserve"> </t>
    </r>
    <r>
      <rPr>
        <sz val="11"/>
        <rFont val="Calibri"/>
        <family val="2"/>
        <scheme val="minor"/>
      </rPr>
      <t>Owner Name</t>
    </r>
    <r>
      <rPr>
        <b/>
        <sz val="11"/>
        <rFont val="Calibri"/>
        <family val="2"/>
        <scheme val="minor"/>
      </rPr>
      <t xml:space="preserve">
Valid Data - </t>
    </r>
    <r>
      <rPr>
        <sz val="11"/>
        <rFont val="Calibri"/>
        <family val="2"/>
        <scheme val="minor"/>
      </rPr>
      <t>Alphanumeric value</t>
    </r>
    <r>
      <rPr>
        <b/>
        <sz val="11"/>
        <rFont val="Calibri"/>
        <family val="2"/>
        <scheme val="minor"/>
      </rPr>
      <t xml:space="preserve">
Invalid Data - </t>
    </r>
    <r>
      <rPr>
        <sz val="11"/>
        <rFont val="Calibri"/>
        <family val="2"/>
        <scheme val="minor"/>
      </rPr>
      <t>Special character, Only space and combination of character.</t>
    </r>
  </si>
  <si>
    <r>
      <t xml:space="preserve">1. Functionality is not working as expected.
2. </t>
    </r>
    <r>
      <rPr>
        <b/>
        <sz val="11"/>
        <rFont val="Calibri"/>
        <family val="2"/>
        <scheme val="minor"/>
      </rPr>
      <t>Owner Name</t>
    </r>
    <r>
      <rPr>
        <sz val="11"/>
        <rFont val="Calibri"/>
        <family val="2"/>
        <scheme val="minor"/>
      </rPr>
      <t xml:space="preserve"> textbox is accepting all types of values, including invalid characters.
3. 50-character limit is correctly implemented.
</t>
    </r>
    <r>
      <rPr>
        <b/>
        <sz val="11"/>
        <rFont val="Calibri"/>
        <family val="2"/>
        <scheme val="minor"/>
      </rPr>
      <t xml:space="preserve">Note: </t>
    </r>
    <r>
      <rPr>
        <sz val="11"/>
        <rFont val="Calibri"/>
        <family val="2"/>
        <scheme val="minor"/>
      </rPr>
      <t xml:space="preserve">As per business Rule,  </t>
    </r>
    <r>
      <rPr>
        <b/>
        <sz val="11"/>
        <rFont val="Calibri"/>
        <family val="2"/>
        <scheme val="minor"/>
      </rPr>
      <t>Owner Name</t>
    </r>
    <r>
      <rPr>
        <sz val="11"/>
        <rFont val="Calibri"/>
        <family val="2"/>
        <scheme val="minor"/>
      </rPr>
      <t xml:space="preserve"> textbox should accept alphanumeric value with space and following special character:   Dot (.), Comma (,), Percent (%), Hyphen (-), Forward Slash(/), Backslash (\), Ampersand (&amp;),  Underscore ( _)</t>
    </r>
  </si>
  <si>
    <r>
      <t xml:space="preserve">1. As per use case, </t>
    </r>
    <r>
      <rPr>
        <b/>
        <sz val="11"/>
        <rFont val="Calibri"/>
        <family val="2"/>
        <scheme val="minor"/>
      </rPr>
      <t>Vehicle Country</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On entering a valid country name, the corresponding Country Code should be auto-populated in the adjacent textbox.
4. Country Code textbox should accept only 2 character alphabetic value
5. </t>
    </r>
    <r>
      <rPr>
        <b/>
        <sz val="11"/>
        <rFont val="Calibri"/>
        <family val="2"/>
        <scheme val="minor"/>
      </rPr>
      <t>Vehicle Country</t>
    </r>
    <r>
      <rPr>
        <sz val="11"/>
        <rFont val="Calibri"/>
        <family val="2"/>
        <scheme val="minor"/>
      </rPr>
      <t xml:space="preserve"> textbox length should be limited to 50 characters.</t>
    </r>
  </si>
  <si>
    <r>
      <t>1.</t>
    </r>
    <r>
      <rPr>
        <b/>
        <sz val="11"/>
        <rFont val="Calibri"/>
        <family val="2"/>
        <scheme val="minor"/>
      </rPr>
      <t xml:space="preserve"> Vehicle Country </t>
    </r>
    <r>
      <rPr>
        <sz val="11"/>
        <rFont val="Calibri"/>
        <family val="2"/>
        <scheme val="minor"/>
      </rPr>
      <t xml:space="preserve">textbox is accepting all types of values, including invalid inputs.
2. Country Code is also accepting all types of value and 2 character limitation is implemented successfully.
3. 50-character limit is correctly implemented.
</t>
    </r>
    <r>
      <rPr>
        <b/>
        <sz val="11"/>
        <rFont val="Calibri"/>
        <family val="2"/>
        <scheme val="minor"/>
      </rPr>
      <t>Note: Validation behavior can be implement same as Country textbox in EDI Master → Port page.</t>
    </r>
  </si>
  <si>
    <t>Vehicle_Owner_Master_08</t>
  </si>
  <si>
    <r>
      <t xml:space="preserve">1. Functionality is working as expected.
2. </t>
    </r>
    <r>
      <rPr>
        <b/>
        <sz val="11"/>
        <color theme="1"/>
        <rFont val="Calibri"/>
        <family val="2"/>
        <scheme val="minor"/>
      </rPr>
      <t>Address 1</t>
    </r>
    <r>
      <rPr>
        <sz val="11"/>
        <color theme="1"/>
        <rFont val="Calibri"/>
        <family val="2"/>
        <scheme val="minor"/>
      </rPr>
      <t xml:space="preserve"> textbox accepts alphabetic, numeric, and special characters.
3. 50-character limit is correctly implemented.
Note: Address 1 textbox will accept all types of values</t>
    </r>
  </si>
  <si>
    <r>
      <t xml:space="preserve">1. Functionality is working as expected.
2. </t>
    </r>
    <r>
      <rPr>
        <b/>
        <sz val="11"/>
        <color theme="1"/>
        <rFont val="Calibri"/>
        <family val="2"/>
        <scheme val="minor"/>
      </rPr>
      <t>Address 2</t>
    </r>
    <r>
      <rPr>
        <sz val="11"/>
        <color theme="1"/>
        <rFont val="Calibri"/>
        <family val="2"/>
        <scheme val="minor"/>
      </rPr>
      <t xml:space="preserve"> textbox accepts alphabetic, numeric, and special characters.
3. 50-character limit is correctly implemented.
Note: Address 2 textbox will accept all types of values</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</si>
  <si>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Vehicle Country</t>
    </r>
    <r>
      <rPr>
        <sz val="11"/>
        <rFont val="Calibri"/>
        <family val="2"/>
        <scheme val="minor"/>
      </rPr>
      <t xml:space="preserve"> textbox</t>
    </r>
    <r>
      <rPr>
        <b/>
        <sz val="11"/>
        <rFont val="Calibri"/>
        <family val="2"/>
        <scheme val="minor"/>
      </rPr>
      <t xml:space="preserve"> </t>
    </r>
    <r>
      <rPr>
        <sz val="11"/>
        <rFont val="Calibri"/>
        <family val="2"/>
        <scheme val="minor"/>
      </rPr>
      <t xml:space="preserve">
3. Enter valid and invalid data in the </t>
    </r>
    <r>
      <rPr>
        <b/>
        <sz val="11"/>
        <rFont val="Calibri"/>
        <family val="2"/>
        <scheme val="minor"/>
      </rPr>
      <t>Vehicle Country</t>
    </r>
    <r>
      <rPr>
        <sz val="11"/>
        <rFont val="Calibri"/>
        <family val="2"/>
        <scheme val="minor"/>
      </rPr>
      <t xml:space="preserve"> textbox.
4. Observe whether the Country Code textbox (beside Vehicle Country) is auto-populated.
5. Observe the system behaviour.</t>
    </r>
  </si>
  <si>
    <r>
      <t xml:space="preserve">1. Navigate to </t>
    </r>
    <r>
      <rPr>
        <b/>
        <sz val="11"/>
        <color theme="1"/>
        <rFont val="Calibri"/>
        <family val="2"/>
        <scheme val="minor"/>
      </rPr>
      <t>Masters</t>
    </r>
    <r>
      <rPr>
        <sz val="11"/>
        <color theme="1"/>
        <rFont val="Calibri"/>
        <family val="2"/>
        <scheme val="minor"/>
      </rPr>
      <t xml:space="preserve"> → </t>
    </r>
    <r>
      <rPr>
        <b/>
        <sz val="11"/>
        <color theme="1"/>
        <rFont val="Calibri"/>
        <family val="2"/>
        <scheme val="minor"/>
      </rPr>
      <t>EDI Master</t>
    </r>
    <r>
      <rPr>
        <sz val="11"/>
        <color theme="1"/>
        <rFont val="Calibri"/>
        <family val="2"/>
        <scheme val="minor"/>
      </rPr>
      <t xml:space="preserve"> → </t>
    </r>
    <r>
      <rPr>
        <b/>
        <sz val="11"/>
        <color theme="1"/>
        <rFont val="Calibri"/>
        <family val="2"/>
        <scheme val="minor"/>
      </rPr>
      <t xml:space="preserve">Vehicle Owner Master
</t>
    </r>
    <r>
      <rPr>
        <sz val="11"/>
        <color theme="1"/>
        <rFont val="Calibri"/>
        <family val="2"/>
        <scheme val="minor"/>
      </rPr>
      <t xml:space="preserve">2. From the </t>
    </r>
    <r>
      <rPr>
        <b/>
        <sz val="11"/>
        <color theme="1"/>
        <rFont val="Calibri"/>
        <family val="2"/>
        <scheme val="minor"/>
      </rPr>
      <t>left-panel list</t>
    </r>
    <r>
      <rPr>
        <sz val="11"/>
        <color theme="1"/>
        <rFont val="Calibri"/>
        <family val="2"/>
        <scheme val="minor"/>
      </rPr>
      <t xml:space="preserve">, select any record and observe the system behaviour.
3. Now select another record from the </t>
    </r>
    <r>
      <rPr>
        <b/>
        <sz val="11"/>
        <color theme="1"/>
        <rFont val="Calibri"/>
        <family val="2"/>
        <scheme val="minor"/>
      </rPr>
      <t>left panel list</t>
    </r>
    <r>
      <rPr>
        <sz val="11"/>
        <color theme="1"/>
        <rFont val="Calibri"/>
        <family val="2"/>
        <scheme val="minor"/>
      </rPr>
      <t xml:space="preserve"> and observe the system behaviour.</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</si>
  <si>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Vehicle No</t>
    </r>
    <r>
      <rPr>
        <sz val="11"/>
        <rFont val="Calibri"/>
        <family val="2"/>
        <scheme val="minor"/>
      </rPr>
      <t xml:space="preserve"> textbox</t>
    </r>
    <r>
      <rPr>
        <b/>
        <sz val="11"/>
        <rFont val="Calibri"/>
        <family val="2"/>
        <scheme val="minor"/>
      </rPr>
      <t xml:space="preserve"> </t>
    </r>
    <r>
      <rPr>
        <sz val="11"/>
        <rFont val="Calibri"/>
        <family val="2"/>
        <scheme val="minor"/>
      </rPr>
      <t xml:space="preserve">
3. Enter valid and invalid data in the </t>
    </r>
    <r>
      <rPr>
        <b/>
        <sz val="11"/>
        <rFont val="Calibri"/>
        <family val="2"/>
        <scheme val="minor"/>
      </rPr>
      <t>Vehicle No</t>
    </r>
    <r>
      <rPr>
        <sz val="11"/>
        <rFont val="Calibri"/>
        <family val="2"/>
        <scheme val="minor"/>
      </rPr>
      <t xml:space="preserve"> textbox.
4. Observe the system behaviour.</t>
    </r>
  </si>
  <si>
    <r>
      <t xml:space="preserve">1. Navigate to </t>
    </r>
    <r>
      <rPr>
        <b/>
        <sz val="11"/>
        <rFont val="Calibri"/>
        <family val="2"/>
        <scheme val="minor"/>
      </rPr>
      <t xml:space="preserve">Masters -&gt; EDI Master -&gt; Vehicle Owner Master
</t>
    </r>
    <r>
      <rPr>
        <sz val="11"/>
        <rFont val="Calibri"/>
        <family val="2"/>
        <scheme val="minor"/>
      </rPr>
      <t xml:space="preserve">2. Locate the </t>
    </r>
    <r>
      <rPr>
        <b/>
        <sz val="11"/>
        <rFont val="Calibri"/>
        <family val="2"/>
        <scheme val="minor"/>
      </rPr>
      <t>Owner Name</t>
    </r>
    <r>
      <rPr>
        <sz val="11"/>
        <rFont val="Calibri"/>
        <family val="2"/>
        <scheme val="minor"/>
      </rPr>
      <t xml:space="preserve"> textbox</t>
    </r>
    <r>
      <rPr>
        <b/>
        <sz val="11"/>
        <rFont val="Calibri"/>
        <family val="2"/>
        <scheme val="minor"/>
      </rPr>
      <t xml:space="preserve"> </t>
    </r>
    <r>
      <rPr>
        <sz val="11"/>
        <rFont val="Calibri"/>
        <family val="2"/>
        <scheme val="minor"/>
      </rPr>
      <t xml:space="preserve">
3. Enter valid and invalid data in the </t>
    </r>
    <r>
      <rPr>
        <b/>
        <sz val="11"/>
        <rFont val="Calibri"/>
        <family val="2"/>
        <scheme val="minor"/>
      </rPr>
      <t>Owner Name</t>
    </r>
    <r>
      <rPr>
        <sz val="11"/>
        <rFont val="Calibri"/>
        <family val="2"/>
        <scheme val="minor"/>
      </rPr>
      <t xml:space="preserve"> textbox.
4. Observe the system behaviour.</t>
    </r>
  </si>
  <si>
    <r>
      <t xml:space="preserve">1. Functionality is working as expected.
2. </t>
    </r>
    <r>
      <rPr>
        <b/>
        <sz val="11"/>
        <color theme="1"/>
        <rFont val="Calibri"/>
        <family val="2"/>
        <scheme val="minor"/>
      </rPr>
      <t>Address 1</t>
    </r>
    <r>
      <rPr>
        <sz val="11"/>
        <color theme="1"/>
        <rFont val="Calibri"/>
        <family val="2"/>
        <scheme val="minor"/>
      </rPr>
      <t xml:space="preserve"> textbox accepts alphabetic, numeric, and special characters.
3. </t>
    </r>
    <r>
      <rPr>
        <b/>
        <sz val="11"/>
        <color theme="1"/>
        <rFont val="Calibri"/>
        <family val="2"/>
        <scheme val="minor"/>
      </rPr>
      <t>50-character limit is not correctly implemented. It is accepting 35 character values.</t>
    </r>
    <r>
      <rPr>
        <sz val="11"/>
        <color theme="1"/>
        <rFont val="Calibri"/>
        <family val="2"/>
        <scheme val="minor"/>
      </rPr>
      <t xml:space="preserve">
</t>
    </r>
    <r>
      <rPr>
        <b/>
        <sz val="11"/>
        <color theme="1"/>
        <rFont val="Calibri"/>
        <family val="2"/>
        <scheme val="minor"/>
      </rPr>
      <t>Note: Address 1 textbox can be accept all types of values</t>
    </r>
  </si>
  <si>
    <t>Vehicle_Owner_Master_09</t>
  </si>
  <si>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Address 1</t>
    </r>
    <r>
      <rPr>
        <sz val="11"/>
        <rFont val="Calibri"/>
        <family val="2"/>
        <scheme val="minor"/>
      </rPr>
      <t xml:space="preserve"> textbox
3. Enter Valid &amp; Invalid Data in </t>
    </r>
    <r>
      <rPr>
        <b/>
        <sz val="11"/>
        <rFont val="Calibri"/>
        <family val="2"/>
        <scheme val="minor"/>
      </rPr>
      <t>Address 1</t>
    </r>
    <r>
      <rPr>
        <sz val="11"/>
        <rFont val="Calibri"/>
        <family val="2"/>
        <scheme val="minor"/>
      </rPr>
      <t xml:space="preserve"> textbox.
4. Observe the system behaviour.</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</si>
  <si>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Address 2</t>
    </r>
    <r>
      <rPr>
        <sz val="11"/>
        <rFont val="Calibri"/>
        <family val="2"/>
        <scheme val="minor"/>
      </rPr>
      <t xml:space="preserve"> textbox
3. Enter Valid &amp; Invalid Data in </t>
    </r>
    <r>
      <rPr>
        <b/>
        <sz val="11"/>
        <rFont val="Calibri"/>
        <family val="2"/>
        <scheme val="minor"/>
      </rPr>
      <t>Address 2</t>
    </r>
    <r>
      <rPr>
        <sz val="11"/>
        <rFont val="Calibri"/>
        <family val="2"/>
        <scheme val="minor"/>
      </rPr>
      <t xml:space="preserve"> textbox.
4. Observe the system behaviour.</t>
    </r>
  </si>
  <si>
    <r>
      <t xml:space="preserve">1. Functionality is working as expected.
2. </t>
    </r>
    <r>
      <rPr>
        <b/>
        <sz val="11"/>
        <color theme="1"/>
        <rFont val="Calibri"/>
        <family val="2"/>
        <scheme val="minor"/>
      </rPr>
      <t>Address 2</t>
    </r>
    <r>
      <rPr>
        <sz val="11"/>
        <color theme="1"/>
        <rFont val="Calibri"/>
        <family val="2"/>
        <scheme val="minor"/>
      </rPr>
      <t xml:space="preserve"> textbox accepts alphabetic, numeric, and special characters.
3. </t>
    </r>
    <r>
      <rPr>
        <b/>
        <sz val="11"/>
        <color theme="1"/>
        <rFont val="Calibri"/>
        <family val="2"/>
        <scheme val="minor"/>
      </rPr>
      <t>50-character limit is not correctly implemented. It is accepting 35 character values.</t>
    </r>
    <r>
      <rPr>
        <sz val="11"/>
        <color theme="1"/>
        <rFont val="Calibri"/>
        <family val="2"/>
        <scheme val="minor"/>
      </rPr>
      <t xml:space="preserve">
</t>
    </r>
    <r>
      <rPr>
        <b/>
        <sz val="11"/>
        <color theme="1"/>
        <rFont val="Calibri"/>
        <family val="2"/>
        <scheme val="minor"/>
      </rPr>
      <t>Note: Address 2 textbox can be accept all types of values</t>
    </r>
  </si>
  <si>
    <t>Vehicle_Owner_Master_10</t>
  </si>
  <si>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Address 3</t>
    </r>
    <r>
      <rPr>
        <sz val="11"/>
        <rFont val="Calibri"/>
        <family val="2"/>
        <scheme val="minor"/>
      </rPr>
      <t xml:space="preserve"> textbox
3. Enter Valid &amp; Invalid Data in </t>
    </r>
    <r>
      <rPr>
        <b/>
        <sz val="11"/>
        <rFont val="Calibri"/>
        <family val="2"/>
        <scheme val="minor"/>
      </rPr>
      <t>Address 3</t>
    </r>
    <r>
      <rPr>
        <sz val="11"/>
        <rFont val="Calibri"/>
        <family val="2"/>
        <scheme val="minor"/>
      </rPr>
      <t xml:space="preserve"> textbox.
4. Observe the system behaviour.</t>
    </r>
  </si>
  <si>
    <r>
      <t xml:space="preserve">1. </t>
    </r>
    <r>
      <rPr>
        <b/>
        <sz val="11"/>
        <rFont val="Calibri"/>
        <family val="2"/>
        <scheme val="minor"/>
      </rPr>
      <t xml:space="preserve">Address 3 </t>
    </r>
    <r>
      <rPr>
        <sz val="11"/>
        <rFont val="Calibri"/>
        <family val="2"/>
        <scheme val="minor"/>
      </rPr>
      <t xml:space="preserve">textbox should accept:
 -&gt; Alphabetic values
 -&gt; Numeric values
 -&gt; Special characters
2. </t>
    </r>
    <r>
      <rPr>
        <b/>
        <sz val="11"/>
        <rFont val="Calibri"/>
        <family val="2"/>
        <scheme val="minor"/>
      </rPr>
      <t>Address 3</t>
    </r>
    <r>
      <rPr>
        <sz val="11"/>
        <rFont val="Calibri"/>
        <family val="2"/>
        <scheme val="minor"/>
      </rPr>
      <t xml:space="preserve"> textbox length should be limited to 50 characters.</t>
    </r>
  </si>
  <si>
    <r>
      <t xml:space="preserve">1. Functionality is working as expected.
2. </t>
    </r>
    <r>
      <rPr>
        <b/>
        <sz val="11"/>
        <color theme="1"/>
        <rFont val="Calibri"/>
        <family val="2"/>
        <scheme val="minor"/>
      </rPr>
      <t>Address 3</t>
    </r>
    <r>
      <rPr>
        <sz val="11"/>
        <color theme="1"/>
        <rFont val="Calibri"/>
        <family val="2"/>
        <scheme val="minor"/>
      </rPr>
      <t xml:space="preserve"> textbox accepts alphabetic, numeric, and special characters.
3. </t>
    </r>
    <r>
      <rPr>
        <b/>
        <sz val="11"/>
        <color theme="1"/>
        <rFont val="Calibri"/>
        <family val="2"/>
        <scheme val="minor"/>
      </rPr>
      <t>50-character limit is not correctly implemented. It is accepting 35 character values.</t>
    </r>
    <r>
      <rPr>
        <sz val="11"/>
        <color theme="1"/>
        <rFont val="Calibri"/>
        <family val="2"/>
        <scheme val="minor"/>
      </rPr>
      <t xml:space="preserve">
</t>
    </r>
    <r>
      <rPr>
        <b/>
        <sz val="11"/>
        <color theme="1"/>
        <rFont val="Calibri"/>
        <family val="2"/>
        <scheme val="minor"/>
      </rPr>
      <t>Note: Address 3 textbox can be accept all types of values</t>
    </r>
  </si>
  <si>
    <t>Vehicle_Owner_Master_11</t>
  </si>
  <si>
    <r>
      <t xml:space="preserve">Validate the functionality of </t>
    </r>
    <r>
      <rPr>
        <b/>
        <sz val="11"/>
        <rFont val="Calibri"/>
        <family val="2"/>
        <scheme val="minor"/>
      </rPr>
      <t>Address 1</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</si>
  <si>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Validate the functionality of </t>
    </r>
    <r>
      <rPr>
        <b/>
        <sz val="11"/>
        <rFont val="Calibri"/>
        <family val="2"/>
        <scheme val="minor"/>
      </rPr>
      <t>Address 2</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</si>
  <si>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Validate the functionality of </t>
    </r>
    <r>
      <rPr>
        <b/>
        <sz val="11"/>
        <rFont val="Calibri"/>
        <family val="2"/>
        <scheme val="minor"/>
      </rPr>
      <t>Address 3</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</si>
  <si>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Validate the functionality of </t>
    </r>
    <r>
      <rPr>
        <b/>
        <sz val="11"/>
        <rFont val="Calibri"/>
        <family val="2"/>
        <scheme val="minor"/>
      </rPr>
      <t>City</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</si>
  <si>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City</t>
    </r>
    <r>
      <rPr>
        <sz val="11"/>
        <rFont val="Calibri"/>
        <family val="2"/>
        <scheme val="minor"/>
      </rPr>
      <t xml:space="preserve"> textbox
3. Enter Valid &amp; Invalid Data in </t>
    </r>
    <r>
      <rPr>
        <b/>
        <sz val="11"/>
        <rFont val="Calibri"/>
        <family val="2"/>
        <scheme val="minor"/>
      </rPr>
      <t>City</t>
    </r>
    <r>
      <rPr>
        <sz val="11"/>
        <rFont val="Calibri"/>
        <family val="2"/>
        <scheme val="minor"/>
      </rPr>
      <t xml:space="preserve"> textbox.
4. Observe the system behaviour.</t>
    </r>
  </si>
  <si>
    <r>
      <t xml:space="preserve">1. As per use case, </t>
    </r>
    <r>
      <rPr>
        <b/>
        <sz val="11"/>
        <rFont val="Calibri"/>
        <family val="2"/>
        <scheme val="minor"/>
      </rPr>
      <t>Owner Name</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Owner</t>
    </r>
    <r>
      <rPr>
        <sz val="11"/>
        <rFont val="Calibri"/>
        <family val="2"/>
        <scheme val="minor"/>
      </rPr>
      <t xml:space="preserve"> </t>
    </r>
    <r>
      <rPr>
        <b/>
        <sz val="11"/>
        <rFont val="Calibri"/>
        <family val="2"/>
        <scheme val="minor"/>
      </rPr>
      <t>Name</t>
    </r>
    <r>
      <rPr>
        <sz val="11"/>
        <rFont val="Calibri"/>
        <family val="2"/>
        <scheme val="minor"/>
      </rPr>
      <t xml:space="preserve"> textbox length should be limited to 50 characters.</t>
    </r>
  </si>
  <si>
    <r>
      <t xml:space="preserve">1. As per use case, </t>
    </r>
    <r>
      <rPr>
        <b/>
        <sz val="11"/>
        <rFont val="Calibri"/>
        <family val="2"/>
        <scheme val="minor"/>
      </rPr>
      <t>City</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City</t>
    </r>
    <r>
      <rPr>
        <sz val="11"/>
        <rFont val="Calibri"/>
        <family val="2"/>
        <scheme val="minor"/>
      </rPr>
      <t xml:space="preserve"> textbox length should be limited to 35 characters.</t>
    </r>
  </si>
  <si>
    <r>
      <t xml:space="preserve">1. Functionality is not working as expected.
2. </t>
    </r>
    <r>
      <rPr>
        <b/>
        <sz val="11"/>
        <color theme="1"/>
        <rFont val="Calibri"/>
        <family val="2"/>
        <scheme val="minor"/>
      </rPr>
      <t xml:space="preserve">City </t>
    </r>
    <r>
      <rPr>
        <sz val="11"/>
        <color theme="1"/>
        <rFont val="Calibri"/>
        <family val="2"/>
        <scheme val="minor"/>
      </rPr>
      <t>textbox is accepting all types of values, such as alphabetic, numeric and special character.
3. 35-character limit is not correctly implemented. It is accepting 25 character values.</t>
    </r>
  </si>
  <si>
    <t>Vehicle_Owner_Master_12</t>
  </si>
  <si>
    <r>
      <t xml:space="preserve">Validate the functionality of </t>
    </r>
    <r>
      <rPr>
        <b/>
        <sz val="11"/>
        <rFont val="Calibri"/>
        <family val="2"/>
        <scheme val="minor"/>
      </rPr>
      <t>State</t>
    </r>
    <r>
      <rPr>
        <sz val="11"/>
        <rFont val="Calibri"/>
        <family val="2"/>
        <scheme val="minor"/>
      </rPr>
      <t xml:space="preserve"> textbox in the </t>
    </r>
    <r>
      <rPr>
        <b/>
        <sz val="11"/>
        <rFont val="Calibri"/>
        <family val="2"/>
        <scheme val="minor"/>
      </rPr>
      <t>Vehicle Owner Master</t>
    </r>
    <r>
      <rPr>
        <sz val="11"/>
        <rFont val="Calibri"/>
        <family val="2"/>
        <scheme val="minor"/>
      </rPr>
      <t xml:space="preserve"> Page</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</si>
  <si>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State</t>
    </r>
    <r>
      <rPr>
        <sz val="11"/>
        <rFont val="Calibri"/>
        <family val="2"/>
        <scheme val="minor"/>
      </rPr>
      <t xml:space="preserve"> textbox
3. Enter Valid &amp; Invalid Data in </t>
    </r>
    <r>
      <rPr>
        <b/>
        <sz val="11"/>
        <rFont val="Calibri"/>
        <family val="2"/>
        <scheme val="minor"/>
      </rPr>
      <t>State</t>
    </r>
    <r>
      <rPr>
        <sz val="11"/>
        <rFont val="Calibri"/>
        <family val="2"/>
        <scheme val="minor"/>
      </rPr>
      <t xml:space="preserve"> textbox.
4. Observe the system behaviour.</t>
    </r>
  </si>
  <si>
    <r>
      <t xml:space="preserve">1. As per use case, </t>
    </r>
    <r>
      <rPr>
        <b/>
        <sz val="11"/>
        <rFont val="Calibri"/>
        <family val="2"/>
        <scheme val="minor"/>
      </rPr>
      <t>State</t>
    </r>
    <r>
      <rPr>
        <sz val="11"/>
        <rFont val="Calibri"/>
        <family val="2"/>
        <scheme val="minor"/>
      </rPr>
      <t xml:space="preserve"> textbox should accept only </t>
    </r>
    <r>
      <rPr>
        <b/>
        <sz val="11"/>
        <rFont val="Calibri"/>
        <family val="2"/>
        <scheme val="minor"/>
      </rPr>
      <t>alphanumeric</t>
    </r>
    <r>
      <rPr>
        <sz val="11"/>
        <rFont val="Calibri"/>
        <family val="2"/>
        <scheme val="minor"/>
      </rPr>
      <t xml:space="preserve"> values.
2. Textbox should reject:
 -&gt; Special characters
 -&gt; Only spaces
 -&gt; Invalid character combinations
3. </t>
    </r>
    <r>
      <rPr>
        <b/>
        <sz val="11"/>
        <rFont val="Calibri"/>
        <family val="2"/>
        <scheme val="minor"/>
      </rPr>
      <t>State</t>
    </r>
    <r>
      <rPr>
        <sz val="11"/>
        <rFont val="Calibri"/>
        <family val="2"/>
        <scheme val="minor"/>
      </rPr>
      <t xml:space="preserve"> textbox length should be limited to 25 characters.</t>
    </r>
  </si>
  <si>
    <r>
      <t xml:space="preserve">1. Functionality is not working as expected.
2. </t>
    </r>
    <r>
      <rPr>
        <b/>
        <sz val="11"/>
        <color theme="1"/>
        <rFont val="Calibri"/>
        <family val="2"/>
        <scheme val="minor"/>
      </rPr>
      <t xml:space="preserve">State </t>
    </r>
    <r>
      <rPr>
        <sz val="11"/>
        <color theme="1"/>
        <rFont val="Calibri"/>
        <family val="2"/>
        <scheme val="minor"/>
      </rPr>
      <t xml:space="preserve">textbox is accepting all types of values, such as alphabetic, numeric and special character.
3. 25-character limit is correctly implemented.
</t>
    </r>
    <r>
      <rPr>
        <b/>
        <sz val="11"/>
        <color theme="1"/>
        <rFont val="Calibri"/>
        <family val="2"/>
        <scheme val="minor"/>
      </rPr>
      <t>Observation: State textbox can be implemented as an auto-suggest field, similar to the State textbox on other pages.</t>
    </r>
  </si>
  <si>
    <t>Vehicle_Owner_Master_13</t>
  </si>
  <si>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Vehicle Owner Master</t>
    </r>
    <r>
      <rPr>
        <sz val="11"/>
        <color theme="1"/>
        <rFont val="Calibri"/>
        <family val="2"/>
        <scheme val="minor"/>
      </rPr>
      <t xml:space="preserve"> Page.</t>
    </r>
  </si>
  <si>
    <r>
      <t xml:space="preserve">1. Navigate to </t>
    </r>
    <r>
      <rPr>
        <b/>
        <sz val="11"/>
        <color theme="1"/>
        <rFont val="Calibri"/>
        <family val="2"/>
        <scheme val="minor"/>
      </rPr>
      <t>Masters → EDI Master → Vehicle Owner Master</t>
    </r>
    <r>
      <rPr>
        <sz val="11"/>
        <color theme="1"/>
        <rFont val="Calibri"/>
        <family val="2"/>
        <scheme val="minor"/>
      </rPr>
      <t xml:space="preserve">
2. Enter valid values in all mandatory and non-mandatory fields.
3. Click on the </t>
    </r>
    <r>
      <rPr>
        <b/>
        <sz val="11"/>
        <color theme="1"/>
        <rFont val="Calibri"/>
        <family val="2"/>
        <scheme val="minor"/>
      </rPr>
      <t xml:space="preserve">Save </t>
    </r>
    <r>
      <rPr>
        <sz val="11"/>
        <color theme="1"/>
        <rFont val="Calibri"/>
        <family val="2"/>
        <scheme val="minor"/>
      </rPr>
      <t>button and observe the system behaviour.</t>
    </r>
  </si>
  <si>
    <t>Vehicle_Owner_Master_14</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</si>
  <si>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Vehicle Owner Master</t>
    </r>
    <r>
      <rPr>
        <sz val="11"/>
        <color theme="1"/>
        <rFont val="Calibri"/>
        <family val="2"/>
        <scheme val="minor"/>
      </rPr>
      <t xml:space="preserve"> page.</t>
    </r>
  </si>
  <si>
    <r>
      <t xml:space="preserve">1. Navigate to </t>
    </r>
    <r>
      <rPr>
        <b/>
        <sz val="11"/>
        <rFont val="Calibri"/>
        <family val="2"/>
        <scheme val="minor"/>
      </rPr>
      <t xml:space="preserve">Masters -&gt; EDI Master -&gt; Vehicle Owner Master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</si>
  <si>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t>Mandatory Fields As per the Page UI:
 -&gt; Vehicle No
 -&gt; Vehicle Country
 -&gt; Owner Name
 -&gt; State</t>
  </si>
  <si>
    <t>1. When all mandatory fields are filled with valid data and the Save button is clicked:
 -&gt; The record should be saved successfully.
 -&gt; A success validation message should be displayed.
 -&gt; The saved record should be listed in the left-side panel.
2. The saved record should be searchable using the Search textbox and selectable from the list.</t>
  </si>
  <si>
    <r>
      <t xml:space="preserve">1. When all mandatory fields are filled with valid value and </t>
    </r>
    <r>
      <rPr>
        <b/>
        <sz val="11"/>
        <color theme="1"/>
        <rFont val="Calibri"/>
        <family val="2"/>
        <scheme val="minor"/>
      </rPr>
      <t>Save</t>
    </r>
    <r>
      <rPr>
        <sz val="11"/>
        <color theme="1"/>
        <rFont val="Calibri"/>
        <family val="2"/>
        <scheme val="minor"/>
      </rPr>
      <t xml:space="preserve"> button is clicked:
 -&gt; Record is not saving and a pop-up is coming </t>
    </r>
    <r>
      <rPr>
        <b/>
        <sz val="11"/>
        <color theme="1"/>
        <rFont val="Calibri"/>
        <family val="2"/>
        <scheme val="minor"/>
      </rPr>
      <t>(ERROR|Could not find stored procedure 'SP_MAS_EGM_VEHICLE_OWNER'.)</t>
    </r>
  </si>
  <si>
    <r>
      <t xml:space="preserve">1. When all fields are filled with valid value and </t>
    </r>
    <r>
      <rPr>
        <b/>
        <sz val="11"/>
        <color theme="1"/>
        <rFont val="Calibri"/>
        <family val="2"/>
        <scheme val="minor"/>
      </rPr>
      <t>Save</t>
    </r>
    <r>
      <rPr>
        <sz val="11"/>
        <color theme="1"/>
        <rFont val="Calibri"/>
        <family val="2"/>
        <scheme val="minor"/>
      </rPr>
      <t xml:space="preserve"> button is clicked:
 -&gt; Record is not saving and a pop-up is coming </t>
    </r>
    <r>
      <rPr>
        <b/>
        <sz val="11"/>
        <color theme="1"/>
        <rFont val="Calibri"/>
        <family val="2"/>
        <scheme val="minor"/>
      </rPr>
      <t xml:space="preserve">(ERROR|Could not find stored procedure 'SP_MAS_EGM_VEHICLE_OWNER'.)
</t>
    </r>
  </si>
  <si>
    <t>Vehicle_Owner_Master_15</t>
  </si>
  <si>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the </t>
    </r>
    <r>
      <rPr>
        <b/>
        <sz val="11"/>
        <color theme="1"/>
        <rFont val="Calibri"/>
        <family val="2"/>
        <scheme val="minor"/>
      </rPr>
      <t>Vehicle Owner Master</t>
    </r>
    <r>
      <rPr>
        <sz val="11"/>
        <color theme="1"/>
        <rFont val="Calibri"/>
        <family val="2"/>
        <scheme val="minor"/>
      </rPr>
      <t xml:space="preserve"> Page.</t>
    </r>
  </si>
  <si>
    <r>
      <t xml:space="preserve">1. Navigate to </t>
    </r>
    <r>
      <rPr>
        <b/>
        <sz val="11"/>
        <color theme="1"/>
        <rFont val="Calibri"/>
        <family val="2"/>
        <scheme val="minor"/>
      </rPr>
      <t>Masters → EDI Master → Vehicle Owner Master</t>
    </r>
    <r>
      <rPr>
        <sz val="11"/>
        <color theme="1"/>
        <rFont val="Calibri"/>
        <family val="2"/>
        <scheme val="minor"/>
      </rPr>
      <t xml:space="preserve">
2. Leave all fields blank.
4. Click on the </t>
    </r>
    <r>
      <rPr>
        <b/>
        <sz val="11"/>
        <color theme="1"/>
        <rFont val="Calibri"/>
        <family val="2"/>
        <scheme val="minor"/>
      </rPr>
      <t>Save</t>
    </r>
    <r>
      <rPr>
        <sz val="11"/>
        <color theme="1"/>
        <rFont val="Calibri"/>
        <family val="2"/>
        <scheme val="minor"/>
      </rPr>
      <t xml:space="preserve"> button and observe the system behaviour.</t>
    </r>
  </si>
  <si>
    <r>
      <t xml:space="preserve">1. Validation message is coming only for </t>
    </r>
    <r>
      <rPr>
        <b/>
        <sz val="11"/>
        <color theme="1"/>
        <rFont val="Calibri"/>
        <family val="2"/>
        <scheme val="minor"/>
      </rPr>
      <t xml:space="preserve">Vehicle No textbox.
2. Store Procedure error is coming </t>
    </r>
  </si>
  <si>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Vehicle Owner Master </t>
    </r>
    <r>
      <rPr>
        <sz val="11"/>
        <color theme="1"/>
        <rFont val="Calibri"/>
        <family val="2"/>
        <scheme val="minor"/>
      </rPr>
      <t>page.</t>
    </r>
  </si>
  <si>
    <r>
      <t xml:space="preserve">1. Navigate to </t>
    </r>
    <r>
      <rPr>
        <b/>
        <sz val="11"/>
        <color theme="1"/>
        <rFont val="Calibri"/>
        <family val="2"/>
        <scheme val="minor"/>
      </rPr>
      <t>Masters → EDI Master → Vehicle Owner Master</t>
    </r>
    <r>
      <rPr>
        <sz val="11"/>
        <color theme="1"/>
        <rFont val="Calibri"/>
        <family val="2"/>
        <scheme val="minor"/>
      </rPr>
      <t xml:space="preserve">
2. Select any record from the left-side panel list.
3. Modify one or more fields with new valid data.
4. Click the Modify button.
5. Re-select the same record from the left-side panel and verify the updated values.</t>
    </r>
  </si>
  <si>
    <t xml:space="preserve">Currently record is not saving, So we can not check modifiy button </t>
  </si>
  <si>
    <t>Vehicle_Owner_Master_16</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</si>
  <si>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Vehicle Owner Master </t>
    </r>
    <r>
      <rPr>
        <sz val="11"/>
        <color theme="1"/>
        <rFont val="Calibri"/>
        <family val="2"/>
        <scheme val="minor"/>
      </rPr>
      <t>page.</t>
    </r>
  </si>
  <si>
    <r>
      <t xml:space="preserve">1. Navigate to </t>
    </r>
    <r>
      <rPr>
        <b/>
        <sz val="11"/>
        <color theme="1"/>
        <rFont val="Calibri"/>
        <family val="2"/>
        <scheme val="minor"/>
      </rPr>
      <t>Masters → EDI Master → Vehicle Owner Master</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</si>
  <si>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t>Once record is saving, then we will check delete button functionality</t>
  </si>
  <si>
    <t>Vehicle_Owner_Master_17</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</si>
  <si>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Vehicle Owner Master </t>
    </r>
    <r>
      <rPr>
        <sz val="11"/>
        <color theme="1"/>
        <rFont val="Calibri"/>
        <family val="2"/>
        <scheme val="minor"/>
      </rPr>
      <t>page.</t>
    </r>
  </si>
  <si>
    <r>
      <t xml:space="preserve">1. Navigate to </t>
    </r>
    <r>
      <rPr>
        <b/>
        <sz val="11"/>
        <color theme="1"/>
        <rFont val="Calibri"/>
        <family val="2"/>
        <scheme val="minor"/>
      </rPr>
      <t>Masters → EDI Master → Vehicle Owner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</si>
  <si>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Vehicle_Owner_Master_18</t>
  </si>
  <si>
    <t>Vehicle_Owner_Master_19</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</si>
  <si>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Vehicle Owner Master </t>
    </r>
    <r>
      <rPr>
        <sz val="11"/>
        <color theme="1"/>
        <rFont val="Calibri"/>
        <family val="2"/>
        <scheme val="minor"/>
      </rPr>
      <t>page.</t>
    </r>
  </si>
  <si>
    <r>
      <t xml:space="preserve">1. Navigate to </t>
    </r>
    <r>
      <rPr>
        <b/>
        <sz val="11"/>
        <color theme="1"/>
        <rFont val="Calibri"/>
        <family val="2"/>
        <scheme val="minor"/>
      </rPr>
      <t>Masters → EDI Master → Vehicle Owner Master
2</t>
    </r>
    <r>
      <rPr>
        <sz val="11"/>
        <color theme="1"/>
        <rFont val="Calibri"/>
        <family val="2"/>
        <scheme val="minor"/>
      </rPr>
      <t>. Enter valid data in all required input fields and click Save.
3. From the left-side list, select the recently saved record.
4. Observe the value displayed in the Entered By textbox.</t>
    </r>
  </si>
  <si>
    <t>Once record is saving, then we will check Entered By  textbox functionality</t>
  </si>
  <si>
    <t>Vehicle_Owner_Master_20</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</si>
  <si>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Vehicle Owner Master</t>
    </r>
    <r>
      <rPr>
        <sz val="11"/>
        <color theme="1"/>
        <rFont val="Calibri"/>
        <family val="2"/>
        <scheme val="minor"/>
      </rPr>
      <t xml:space="preserve"> Page.</t>
    </r>
  </si>
  <si>
    <r>
      <t xml:space="preserve">1. Navigate to </t>
    </r>
    <r>
      <rPr>
        <b/>
        <sz val="11"/>
        <color theme="1"/>
        <rFont val="Calibri"/>
        <family val="2"/>
        <scheme val="minor"/>
      </rPr>
      <t xml:space="preserve">Masters → EDI Master → Vehicle Owner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left-side panel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</si>
  <si>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t>Once record is saving, then we will check Entered Date  textbox functionality</t>
  </si>
  <si>
    <t xml:space="preserve">EDI Master --&gt; Item Template Master
</t>
  </si>
  <si>
    <t>Item_Template_01</t>
  </si>
  <si>
    <t>EDI Master -&gt; Item Template Master</t>
  </si>
  <si>
    <r>
      <t xml:space="preserve">Validate the functionality of </t>
    </r>
    <r>
      <rPr>
        <b/>
        <sz val="11"/>
        <color theme="1"/>
        <rFont val="Calibri"/>
        <family val="2"/>
        <scheme val="minor"/>
      </rPr>
      <t>Item Template Master</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</si>
  <si>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Item Template Master</t>
    </r>
  </si>
  <si>
    <r>
      <t xml:space="preserve">1. On Mouse Hovering action on </t>
    </r>
    <r>
      <rPr>
        <b/>
        <sz val="11"/>
        <color theme="1"/>
        <rFont val="Calibri"/>
        <family val="2"/>
        <scheme val="minor"/>
      </rPr>
      <t xml:space="preserve">Masters -&gt; EDI Master -&gt; Item Template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</si>
  <si>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Item Template Master </t>
    </r>
    <r>
      <rPr>
        <sz val="11"/>
        <color theme="1"/>
        <rFont val="Calibri"/>
        <family val="2"/>
        <scheme val="minor"/>
      </rPr>
      <t>Page is opening properly.</t>
    </r>
  </si>
  <si>
    <r>
      <t xml:space="preserve">Validate the functionality of </t>
    </r>
    <r>
      <rPr>
        <b/>
        <sz val="11"/>
        <color theme="1"/>
        <rFont val="Calibri"/>
        <family val="2"/>
        <scheme val="minor"/>
      </rPr>
      <t>Scheme Code</t>
    </r>
    <r>
      <rPr>
        <sz val="11"/>
        <color theme="1"/>
        <rFont val="Calibri"/>
        <family val="2"/>
        <scheme val="minor"/>
      </rPr>
      <t xml:space="preserve">, </t>
    </r>
    <r>
      <rPr>
        <b/>
        <sz val="11"/>
        <color theme="1"/>
        <rFont val="Calibri"/>
        <family val="2"/>
        <scheme val="minor"/>
      </rPr>
      <t>RITC</t>
    </r>
    <r>
      <rPr>
        <sz val="11"/>
        <color theme="1"/>
        <rFont val="Calibri"/>
        <family val="2"/>
        <scheme val="minor"/>
      </rPr>
      <t xml:space="preserve">, and </t>
    </r>
    <r>
      <rPr>
        <b/>
        <sz val="11"/>
        <color theme="1"/>
        <rFont val="Calibri"/>
        <family val="2"/>
        <scheme val="minor"/>
      </rPr>
      <t xml:space="preserve">Goods Description </t>
    </r>
    <r>
      <rPr>
        <sz val="11"/>
        <color theme="1"/>
        <rFont val="Calibri"/>
        <family val="2"/>
        <scheme val="minor"/>
      </rPr>
      <t>radio buttons in the Item Template Master page</t>
    </r>
  </si>
  <si>
    <r>
      <t xml:space="preserve">1. Navigate to </t>
    </r>
    <r>
      <rPr>
        <b/>
        <sz val="11"/>
        <color theme="1"/>
        <rFont val="Calibri"/>
        <family val="2"/>
        <scheme val="minor"/>
      </rPr>
      <t>Masters -&gt; EDI Master -&gt; Item Template Master</t>
    </r>
    <r>
      <rPr>
        <sz val="11"/>
        <color theme="1"/>
        <rFont val="Calibri"/>
        <family val="2"/>
        <scheme val="minor"/>
      </rPr>
      <t xml:space="preserve">
2. Select each radio button one by one
3. Observe the system behaviour.</t>
    </r>
  </si>
  <si>
    <r>
      <t xml:space="preserve">1. All radio buttons </t>
    </r>
    <r>
      <rPr>
        <b/>
        <sz val="11"/>
        <color theme="1"/>
        <rFont val="Calibri"/>
        <family val="2"/>
        <scheme val="minor"/>
      </rPr>
      <t xml:space="preserve">(Scheme Code, RITC, Goods Description) </t>
    </r>
    <r>
      <rPr>
        <sz val="11"/>
        <color theme="1"/>
        <rFont val="Calibri"/>
        <family val="2"/>
        <scheme val="minor"/>
      </rPr>
      <t>should be selectable.
2. Only one radio button should be selected at any given time.
3. When one radio button is selected, the previously selected radio button should be automatically deselected.
4. One radio button should always remain selected</t>
    </r>
  </si>
  <si>
    <t>Item_Template_02</t>
  </si>
  <si>
    <t>Item_Template_03</t>
  </si>
  <si>
    <t xml:space="preserve">
10-02-2026</t>
  </si>
  <si>
    <t xml:space="preserve">
UAT (https://idp.icaffe.co.in/demouat/)
</t>
  </si>
  <si>
    <t>1. The record must not be saved if any mandatory field is left blank.
2. System should display error message / validation popup for each mandatory field:
 -&gt; Country Code
 -&gt; Country Name
 -&gt; Display Status</t>
  </si>
  <si>
    <t>https://hanssupport.atlassian.net/browse/BA-656</t>
  </si>
  <si>
    <r>
      <rPr>
        <b/>
        <sz val="11"/>
        <color theme="1"/>
        <rFont val="Calibri"/>
        <family val="2"/>
        <scheme val="minor"/>
      </rPr>
      <t>Google Chrome</t>
    </r>
    <r>
      <rPr>
        <sz val="11"/>
        <color theme="1"/>
        <rFont val="Calibri"/>
        <family val="2"/>
        <scheme val="minor"/>
      </rPr>
      <t xml:space="preserve"> - Version 141.0.7390.125 (Official Build) (64-bit)
</t>
    </r>
    <r>
      <rPr>
        <b/>
        <sz val="11"/>
        <color theme="1"/>
        <rFont val="Calibri"/>
        <family val="2"/>
        <scheme val="minor"/>
      </rPr>
      <t>Microsoft Edge -</t>
    </r>
    <r>
      <rPr>
        <sz val="11"/>
        <color theme="1"/>
        <rFont val="Calibri"/>
        <family val="2"/>
        <scheme val="minor"/>
      </rPr>
      <t xml:space="preserve"> Version 142.0.3595.53 (Official build) (64-bit)</t>
    </r>
  </si>
  <si>
    <t>1. Open the application and log in 
2. Select Branch: AHMEDABAD, Export Type: Export Sea, FY 2025–2026, click OK.
3. Navigate to Masters - EDI Master - Port
4. Enter valid values in mandatory fields only and leave non-mandatory fields blank.
5. Click Save and observe system behavior.</t>
  </si>
  <si>
    <t xml:space="preserve">https://hanssupport.atlassian.net/browse/BA-656
</t>
  </si>
  <si>
    <r>
      <t xml:space="preserve">Validate the functionality of </t>
    </r>
    <r>
      <rPr>
        <b/>
        <sz val="11"/>
        <color theme="1"/>
        <rFont val="Calibri"/>
        <family val="2"/>
        <scheme val="minor"/>
      </rPr>
      <t>Query</t>
    </r>
    <r>
      <rPr>
        <sz val="11"/>
        <color theme="1"/>
        <rFont val="Calibri"/>
        <family val="2"/>
        <scheme val="minor"/>
      </rPr>
      <t xml:space="preserve"> </t>
    </r>
    <r>
      <rPr>
        <b/>
        <sz val="11"/>
        <color theme="1"/>
        <rFont val="Calibri"/>
        <family val="2"/>
        <scheme val="minor"/>
      </rPr>
      <t>textbox</t>
    </r>
    <r>
      <rPr>
        <sz val="11"/>
        <color theme="1"/>
        <rFont val="Calibri"/>
        <family val="2"/>
        <scheme val="minor"/>
      </rPr>
      <t xml:space="preserve"> when </t>
    </r>
    <r>
      <rPr>
        <b/>
        <sz val="11"/>
        <color theme="1"/>
        <rFont val="Calibri"/>
        <family val="2"/>
        <scheme val="minor"/>
      </rPr>
      <t>Scheme Code</t>
    </r>
    <r>
      <rPr>
        <sz val="11"/>
        <color theme="1"/>
        <rFont val="Calibri"/>
        <family val="2"/>
        <scheme val="minor"/>
      </rPr>
      <t xml:space="preserve"> radio button is selected in the</t>
    </r>
    <r>
      <rPr>
        <b/>
        <sz val="11"/>
        <color theme="1"/>
        <rFont val="Calibri"/>
        <family val="2"/>
        <scheme val="minor"/>
      </rPr>
      <t xml:space="preserve"> Item Template Master</t>
    </r>
    <r>
      <rPr>
        <sz val="11"/>
        <color theme="1"/>
        <rFont val="Calibri"/>
        <family val="2"/>
        <scheme val="minor"/>
      </rPr>
      <t xml:space="preserve"> page.</t>
    </r>
  </si>
  <si>
    <r>
      <t xml:space="preserve">1. Navigate to </t>
    </r>
    <r>
      <rPr>
        <b/>
        <sz val="11"/>
        <rFont val="Calibri"/>
        <family val="2"/>
        <scheme val="minor"/>
      </rPr>
      <t>Masters → EDI Master → Item Template Master</t>
    </r>
    <r>
      <rPr>
        <sz val="11"/>
        <rFont val="Calibri"/>
        <family val="2"/>
        <scheme val="minor"/>
      </rPr>
      <t xml:space="preserve">
2. Select the </t>
    </r>
    <r>
      <rPr>
        <b/>
        <sz val="11"/>
        <rFont val="Calibri"/>
        <family val="2"/>
        <scheme val="minor"/>
      </rPr>
      <t>Scheme Code radio button.</t>
    </r>
    <r>
      <rPr>
        <sz val="11"/>
        <rFont val="Calibri"/>
        <family val="2"/>
        <scheme val="minor"/>
      </rPr>
      <t xml:space="preserve">
3. Enter a </t>
    </r>
    <r>
      <rPr>
        <b/>
        <sz val="11"/>
        <rFont val="Calibri"/>
        <family val="2"/>
        <scheme val="minor"/>
      </rPr>
      <t>valid</t>
    </r>
    <r>
      <rPr>
        <sz val="11"/>
        <rFont val="Calibri"/>
        <family val="2"/>
        <scheme val="minor"/>
      </rPr>
      <t xml:space="preserve"> </t>
    </r>
    <r>
      <rPr>
        <b/>
        <sz val="11"/>
        <rFont val="Calibri"/>
        <family val="2"/>
        <scheme val="minor"/>
      </rPr>
      <t>Scheme Code</t>
    </r>
    <r>
      <rPr>
        <sz val="11"/>
        <rFont val="Calibri"/>
        <family val="2"/>
        <scheme val="minor"/>
      </rPr>
      <t xml:space="preserve"> in the Query textbox.
4. Click on the </t>
    </r>
    <r>
      <rPr>
        <b/>
        <sz val="11"/>
        <rFont val="Calibri"/>
        <family val="2"/>
        <scheme val="minor"/>
      </rPr>
      <t>Query</t>
    </r>
    <r>
      <rPr>
        <sz val="11"/>
        <rFont val="Calibri"/>
        <family val="2"/>
        <scheme val="minor"/>
      </rPr>
      <t xml:space="preserve"> button.
5. Observe the displayed results in the grid.
6. Enter an </t>
    </r>
    <r>
      <rPr>
        <b/>
        <sz val="11"/>
        <rFont val="Calibri"/>
        <family val="2"/>
        <scheme val="minor"/>
      </rPr>
      <t>invalid Scheme Code</t>
    </r>
    <r>
      <rPr>
        <sz val="11"/>
        <rFont val="Calibri"/>
        <family val="2"/>
        <scheme val="minor"/>
      </rPr>
      <t xml:space="preserve"> in the Query textbox.
7. Click on the</t>
    </r>
    <r>
      <rPr>
        <b/>
        <sz val="11"/>
        <rFont val="Calibri"/>
        <family val="2"/>
        <scheme val="minor"/>
      </rPr>
      <t xml:space="preserve"> Query</t>
    </r>
    <r>
      <rPr>
        <sz val="11"/>
        <rFont val="Calibri"/>
        <family val="2"/>
        <scheme val="minor"/>
      </rPr>
      <t xml:space="preserve"> button again.
8. Observe the displayed results in the grid.</t>
    </r>
  </si>
  <si>
    <t>Test Data - 20, 19, 1234, dff etc.</t>
  </si>
  <si>
    <r>
      <t xml:space="preserve">1. When the </t>
    </r>
    <r>
      <rPr>
        <b/>
        <sz val="11"/>
        <color theme="1"/>
        <rFont val="Calibri"/>
        <family val="2"/>
        <scheme val="minor"/>
      </rPr>
      <t>Scheme Code</t>
    </r>
    <r>
      <rPr>
        <sz val="11"/>
        <color theme="1"/>
        <rFont val="Calibri"/>
        <family val="2"/>
        <scheme val="minor"/>
      </rPr>
      <t xml:space="preserve"> radio button is selected, the Query textbox should filter records based only on</t>
    </r>
    <r>
      <rPr>
        <b/>
        <sz val="11"/>
        <color theme="1"/>
        <rFont val="Calibri"/>
        <family val="2"/>
        <scheme val="minor"/>
      </rPr>
      <t xml:space="preserve"> Scheme Code</t>
    </r>
    <r>
      <rPr>
        <sz val="11"/>
        <color theme="1"/>
        <rFont val="Calibri"/>
        <family val="2"/>
        <scheme val="minor"/>
      </rPr>
      <t>.
2. If a valid Scheme Code is entered and the Query button is clicked:
 -&gt; The matching record(s) should be displayed in the grid.
3. If an invalid or non-existing Scheme Code is entered:
 -&gt; No records should be displayed.
 -&gt; The grid should remain empty.</t>
    </r>
  </si>
  <si>
    <t>The functionality is working as expected.</t>
  </si>
  <si>
    <t>Item_Template_04</t>
  </si>
  <si>
    <r>
      <t xml:space="preserve">Validate the functionality of </t>
    </r>
    <r>
      <rPr>
        <b/>
        <sz val="11"/>
        <color theme="1"/>
        <rFont val="Calibri"/>
        <family val="2"/>
        <scheme val="minor"/>
      </rPr>
      <t>Query</t>
    </r>
    <r>
      <rPr>
        <sz val="11"/>
        <color theme="1"/>
        <rFont val="Calibri"/>
        <family val="2"/>
        <scheme val="minor"/>
      </rPr>
      <t xml:space="preserve"> </t>
    </r>
    <r>
      <rPr>
        <b/>
        <sz val="11"/>
        <color theme="1"/>
        <rFont val="Calibri"/>
        <family val="2"/>
        <scheme val="minor"/>
      </rPr>
      <t>textbox</t>
    </r>
    <r>
      <rPr>
        <sz val="11"/>
        <color theme="1"/>
        <rFont val="Calibri"/>
        <family val="2"/>
        <scheme val="minor"/>
      </rPr>
      <t xml:space="preserve"> when </t>
    </r>
    <r>
      <rPr>
        <b/>
        <sz val="11"/>
        <color theme="1"/>
        <rFont val="Calibri"/>
        <family val="2"/>
        <scheme val="minor"/>
      </rPr>
      <t>RITC</t>
    </r>
    <r>
      <rPr>
        <sz val="11"/>
        <color theme="1"/>
        <rFont val="Calibri"/>
        <family val="2"/>
        <scheme val="minor"/>
      </rPr>
      <t xml:space="preserve"> radio button is selected in the</t>
    </r>
    <r>
      <rPr>
        <b/>
        <sz val="11"/>
        <color theme="1"/>
        <rFont val="Calibri"/>
        <family val="2"/>
        <scheme val="minor"/>
      </rPr>
      <t xml:space="preserve"> Item Template Master</t>
    </r>
    <r>
      <rPr>
        <sz val="11"/>
        <color theme="1"/>
        <rFont val="Calibri"/>
        <family val="2"/>
        <scheme val="minor"/>
      </rPr>
      <t xml:space="preserve"> page.</t>
    </r>
  </si>
  <si>
    <t>Test Data - 0000, 1234, 47978902, fsdfsdfsd etc.</t>
  </si>
  <si>
    <r>
      <t xml:space="preserve">1. When the </t>
    </r>
    <r>
      <rPr>
        <b/>
        <sz val="11"/>
        <color theme="1"/>
        <rFont val="Calibri"/>
        <family val="2"/>
        <scheme val="minor"/>
      </rPr>
      <t>RITC</t>
    </r>
    <r>
      <rPr>
        <sz val="11"/>
        <color theme="1"/>
        <rFont val="Calibri"/>
        <family val="2"/>
        <scheme val="minor"/>
      </rPr>
      <t xml:space="preserve"> radio button is selected, the Query textbox should filter records based only on</t>
    </r>
    <r>
      <rPr>
        <b/>
        <sz val="11"/>
        <color theme="1"/>
        <rFont val="Calibri"/>
        <family val="2"/>
        <scheme val="minor"/>
      </rPr>
      <t xml:space="preserve"> RITC</t>
    </r>
    <r>
      <rPr>
        <sz val="11"/>
        <color theme="1"/>
        <rFont val="Calibri"/>
        <family val="2"/>
        <scheme val="minor"/>
      </rPr>
      <t>.
2. If a valid &amp; Imcomplete RITC value is entered and the Query button is clicked:
 -&gt; The matching record(s) should be displayed in the grid.
3. If an invalid or non-existing RITC value is entered:
 -&gt; No records should be displayed.
 -&gt; The grid should remain empty.</t>
    </r>
  </si>
  <si>
    <r>
      <t xml:space="preserve">1. Navigate to </t>
    </r>
    <r>
      <rPr>
        <b/>
        <sz val="11"/>
        <rFont val="Calibri"/>
        <family val="2"/>
        <scheme val="minor"/>
      </rPr>
      <t>Masters → EDI Master → Item Template Master</t>
    </r>
    <r>
      <rPr>
        <sz val="11"/>
        <rFont val="Calibri"/>
        <family val="2"/>
        <scheme val="minor"/>
      </rPr>
      <t xml:space="preserve">
2. Select the </t>
    </r>
    <r>
      <rPr>
        <b/>
        <sz val="11"/>
        <rFont val="Calibri"/>
        <family val="2"/>
        <scheme val="minor"/>
      </rPr>
      <t>RITC radio button.</t>
    </r>
    <r>
      <rPr>
        <sz val="11"/>
        <rFont val="Calibri"/>
        <family val="2"/>
        <scheme val="minor"/>
      </rPr>
      <t xml:space="preserve">
3. Enter a </t>
    </r>
    <r>
      <rPr>
        <b/>
        <sz val="11"/>
        <rFont val="Calibri"/>
        <family val="2"/>
        <scheme val="minor"/>
      </rPr>
      <t>valid</t>
    </r>
    <r>
      <rPr>
        <sz val="11"/>
        <rFont val="Calibri"/>
        <family val="2"/>
        <scheme val="minor"/>
      </rPr>
      <t xml:space="preserve"> or</t>
    </r>
    <r>
      <rPr>
        <b/>
        <sz val="11"/>
        <rFont val="Calibri"/>
        <family val="2"/>
        <scheme val="minor"/>
      </rPr>
      <t xml:space="preserve"> Incomplete RITC </t>
    </r>
    <r>
      <rPr>
        <sz val="11"/>
        <rFont val="Calibri"/>
        <family val="2"/>
        <scheme val="minor"/>
      </rPr>
      <t xml:space="preserve">value in the Query textbox.
4. Click on the </t>
    </r>
    <r>
      <rPr>
        <b/>
        <sz val="11"/>
        <rFont val="Calibri"/>
        <family val="2"/>
        <scheme val="minor"/>
      </rPr>
      <t>Query</t>
    </r>
    <r>
      <rPr>
        <sz val="11"/>
        <rFont val="Calibri"/>
        <family val="2"/>
        <scheme val="minor"/>
      </rPr>
      <t xml:space="preserve"> button.
5. Observe the displayed results in the grid.
6. Enter an </t>
    </r>
    <r>
      <rPr>
        <b/>
        <sz val="11"/>
        <rFont val="Calibri"/>
        <family val="2"/>
        <scheme val="minor"/>
      </rPr>
      <t>invalid RITC</t>
    </r>
    <r>
      <rPr>
        <sz val="11"/>
        <rFont val="Calibri"/>
        <family val="2"/>
        <scheme val="minor"/>
      </rPr>
      <t xml:space="preserve"> value in the Query textbox.
7. Click on the</t>
    </r>
    <r>
      <rPr>
        <b/>
        <sz val="11"/>
        <rFont val="Calibri"/>
        <family val="2"/>
        <scheme val="minor"/>
      </rPr>
      <t xml:space="preserve"> Query</t>
    </r>
    <r>
      <rPr>
        <sz val="11"/>
        <rFont val="Calibri"/>
        <family val="2"/>
        <scheme val="minor"/>
      </rPr>
      <t xml:space="preserve"> button again.
8. Observe the displayed results in the grid.</t>
    </r>
  </si>
  <si>
    <t>Item_Template_05</t>
  </si>
  <si>
    <r>
      <t xml:space="preserve">Validate the functionality of </t>
    </r>
    <r>
      <rPr>
        <b/>
        <sz val="11"/>
        <color theme="1"/>
        <rFont val="Calibri"/>
        <family val="2"/>
        <scheme val="minor"/>
      </rPr>
      <t>Query</t>
    </r>
    <r>
      <rPr>
        <sz val="11"/>
        <color theme="1"/>
        <rFont val="Calibri"/>
        <family val="2"/>
        <scheme val="minor"/>
      </rPr>
      <t xml:space="preserve"> </t>
    </r>
    <r>
      <rPr>
        <b/>
        <sz val="11"/>
        <color theme="1"/>
        <rFont val="Calibri"/>
        <family val="2"/>
        <scheme val="minor"/>
      </rPr>
      <t>textbox</t>
    </r>
    <r>
      <rPr>
        <sz val="11"/>
        <color theme="1"/>
        <rFont val="Calibri"/>
        <family val="2"/>
        <scheme val="minor"/>
      </rPr>
      <t xml:space="preserve"> when </t>
    </r>
    <r>
      <rPr>
        <b/>
        <sz val="11"/>
        <color theme="1"/>
        <rFont val="Calibri"/>
        <family val="2"/>
        <scheme val="minor"/>
      </rPr>
      <t xml:space="preserve">Goods Description </t>
    </r>
    <r>
      <rPr>
        <sz val="11"/>
        <color theme="1"/>
        <rFont val="Calibri"/>
        <family val="2"/>
        <scheme val="minor"/>
      </rPr>
      <t>radio button is selected in the</t>
    </r>
    <r>
      <rPr>
        <b/>
        <sz val="11"/>
        <color theme="1"/>
        <rFont val="Calibri"/>
        <family val="2"/>
        <scheme val="minor"/>
      </rPr>
      <t xml:space="preserve"> Item Template Master</t>
    </r>
    <r>
      <rPr>
        <sz val="11"/>
        <color theme="1"/>
        <rFont val="Calibri"/>
        <family val="2"/>
        <scheme val="minor"/>
      </rPr>
      <t xml:space="preserve"> page.</t>
    </r>
  </si>
  <si>
    <r>
      <t xml:space="preserve">1. Navigate to </t>
    </r>
    <r>
      <rPr>
        <b/>
        <sz val="11"/>
        <rFont val="Calibri"/>
        <family val="2"/>
        <scheme val="minor"/>
      </rPr>
      <t>Masters → EDI Master → Item Template Master</t>
    </r>
    <r>
      <rPr>
        <sz val="11"/>
        <rFont val="Calibri"/>
        <family val="2"/>
        <scheme val="minor"/>
      </rPr>
      <t xml:space="preserve">
2. Select the </t>
    </r>
    <r>
      <rPr>
        <b/>
        <sz val="11"/>
        <rFont val="Calibri"/>
        <family val="2"/>
        <scheme val="minor"/>
      </rPr>
      <t>Goods Description radio button.</t>
    </r>
    <r>
      <rPr>
        <sz val="11"/>
        <rFont val="Calibri"/>
        <family val="2"/>
        <scheme val="minor"/>
      </rPr>
      <t xml:space="preserve">
3. Enter a </t>
    </r>
    <r>
      <rPr>
        <b/>
        <sz val="11"/>
        <rFont val="Calibri"/>
        <family val="2"/>
        <scheme val="minor"/>
      </rPr>
      <t>valid</t>
    </r>
    <r>
      <rPr>
        <sz val="11"/>
        <rFont val="Calibri"/>
        <family val="2"/>
        <scheme val="minor"/>
      </rPr>
      <t xml:space="preserve"> or</t>
    </r>
    <r>
      <rPr>
        <b/>
        <sz val="11"/>
        <rFont val="Calibri"/>
        <family val="2"/>
        <scheme val="minor"/>
      </rPr>
      <t xml:space="preserve"> Incomplete Goods Description </t>
    </r>
    <r>
      <rPr>
        <sz val="11"/>
        <rFont val="Calibri"/>
        <family val="2"/>
        <scheme val="minor"/>
      </rPr>
      <t xml:space="preserve">value in the Query textbox.
4. Click on the </t>
    </r>
    <r>
      <rPr>
        <b/>
        <sz val="11"/>
        <rFont val="Calibri"/>
        <family val="2"/>
        <scheme val="minor"/>
      </rPr>
      <t>Query</t>
    </r>
    <r>
      <rPr>
        <sz val="11"/>
        <rFont val="Calibri"/>
        <family val="2"/>
        <scheme val="minor"/>
      </rPr>
      <t xml:space="preserve"> button.
5. Observe the displayed results in the grid.
6. Enter an </t>
    </r>
    <r>
      <rPr>
        <b/>
        <sz val="11"/>
        <rFont val="Calibri"/>
        <family val="2"/>
        <scheme val="minor"/>
      </rPr>
      <t>invalid Goods Description</t>
    </r>
    <r>
      <rPr>
        <sz val="11"/>
        <rFont val="Calibri"/>
        <family val="2"/>
        <scheme val="minor"/>
      </rPr>
      <t xml:space="preserve"> value in the Query textbox.
7. Click on the</t>
    </r>
    <r>
      <rPr>
        <b/>
        <sz val="11"/>
        <rFont val="Calibri"/>
        <family val="2"/>
        <scheme val="minor"/>
      </rPr>
      <t xml:space="preserve"> Query</t>
    </r>
    <r>
      <rPr>
        <sz val="11"/>
        <rFont val="Calibri"/>
        <family val="2"/>
        <scheme val="minor"/>
      </rPr>
      <t xml:space="preserve"> button again.
8. Observe the displayed results in the grid.</t>
    </r>
  </si>
  <si>
    <t>Test Data - Red, Yellow, 1234 3$@#$ etc.</t>
  </si>
  <si>
    <r>
      <t xml:space="preserve">1. When the </t>
    </r>
    <r>
      <rPr>
        <b/>
        <sz val="11"/>
        <color theme="1"/>
        <rFont val="Calibri"/>
        <family val="2"/>
        <scheme val="minor"/>
      </rPr>
      <t>Goods Description</t>
    </r>
    <r>
      <rPr>
        <sz val="11"/>
        <color theme="1"/>
        <rFont val="Calibri"/>
        <family val="2"/>
        <scheme val="minor"/>
      </rPr>
      <t xml:space="preserve"> radio button is selected, the Query textbox should filter records based only on</t>
    </r>
    <r>
      <rPr>
        <b/>
        <sz val="11"/>
        <color theme="1"/>
        <rFont val="Calibri"/>
        <family val="2"/>
        <scheme val="minor"/>
      </rPr>
      <t xml:space="preserve"> Goods Description</t>
    </r>
    <r>
      <rPr>
        <sz val="11"/>
        <color theme="1"/>
        <rFont val="Calibri"/>
        <family val="2"/>
        <scheme val="minor"/>
      </rPr>
      <t xml:space="preserve">.
2. If a valid &amp; Imcomplete </t>
    </r>
    <r>
      <rPr>
        <b/>
        <sz val="11"/>
        <color theme="1"/>
        <rFont val="Calibri"/>
        <family val="2"/>
        <scheme val="minor"/>
      </rPr>
      <t>Goods Description</t>
    </r>
    <r>
      <rPr>
        <sz val="11"/>
        <color theme="1"/>
        <rFont val="Calibri"/>
        <family val="2"/>
        <scheme val="minor"/>
      </rPr>
      <t xml:space="preserve"> value is entered and the Query button is clicked:
 -&gt; The matching record(s) should be displayed in the grid.
3. If an invalid or non-existing </t>
    </r>
    <r>
      <rPr>
        <b/>
        <sz val="11"/>
        <color theme="1"/>
        <rFont val="Calibri"/>
        <family val="2"/>
        <scheme val="minor"/>
      </rPr>
      <t>Goods Description</t>
    </r>
    <r>
      <rPr>
        <sz val="11"/>
        <color theme="1"/>
        <rFont val="Calibri"/>
        <family val="2"/>
        <scheme val="minor"/>
      </rPr>
      <t xml:space="preserve"> value is entered:
 -&gt; No records should be displayed.
 -&gt; The grid should remain empty.</t>
    </r>
  </si>
  <si>
    <r>
      <t>Validate whether the selected</t>
    </r>
    <r>
      <rPr>
        <b/>
        <sz val="11"/>
        <color theme="1"/>
        <rFont val="Calibri"/>
        <family val="2"/>
        <scheme val="minor"/>
      </rPr>
      <t xml:space="preserve"> Record</t>
    </r>
    <r>
      <rPr>
        <sz val="11"/>
        <color theme="1"/>
        <rFont val="Calibri"/>
        <family val="2"/>
        <scheme val="minor"/>
      </rPr>
      <t xml:space="preserve"> from the Item template grid list are correctly reflected in the corresponding textboxes on the </t>
    </r>
    <r>
      <rPr>
        <b/>
        <sz val="11"/>
        <color theme="1"/>
        <rFont val="Calibri"/>
        <family val="2"/>
        <scheme val="minor"/>
      </rPr>
      <t xml:space="preserve">Item Template Master </t>
    </r>
    <r>
      <rPr>
        <sz val="11"/>
        <color theme="1"/>
        <rFont val="Calibri"/>
        <family val="2"/>
        <scheme val="minor"/>
      </rPr>
      <t>Page.</t>
    </r>
  </si>
  <si>
    <r>
      <t xml:space="preserve">1. Navigate to </t>
    </r>
    <r>
      <rPr>
        <b/>
        <sz val="11"/>
        <color theme="1"/>
        <rFont val="Calibri"/>
        <family val="2"/>
        <scheme val="minor"/>
      </rPr>
      <t>Masters → EDI Master → Item Template Master</t>
    </r>
    <r>
      <rPr>
        <sz val="11"/>
        <color theme="1"/>
        <rFont val="Calibri"/>
        <family val="2"/>
        <scheme val="minor"/>
      </rPr>
      <t xml:space="preserve">
2. From the </t>
    </r>
    <r>
      <rPr>
        <b/>
        <sz val="11"/>
        <color theme="1"/>
        <rFont val="Calibri"/>
        <family val="2"/>
        <scheme val="minor"/>
      </rPr>
      <t>Item Templates grid list</t>
    </r>
    <r>
      <rPr>
        <sz val="11"/>
        <color theme="1"/>
        <rFont val="Calibri"/>
        <family val="2"/>
        <scheme val="minor"/>
      </rPr>
      <t>, select any record.
3. Observe the system behavior and the values populated in the corresponding textboxes.
4. Select another record
5. Observe the system behavior and the updated textbox values</t>
    </r>
  </si>
  <si>
    <r>
      <t xml:space="preserve">1. The record selected from the </t>
    </r>
    <r>
      <rPr>
        <b/>
        <sz val="11"/>
        <color theme="1"/>
        <rFont val="Calibri"/>
        <family val="2"/>
        <scheme val="minor"/>
      </rPr>
      <t>Item Templates grid list</t>
    </r>
    <r>
      <rPr>
        <sz val="11"/>
        <color theme="1"/>
        <rFont val="Calibri"/>
        <family val="2"/>
        <scheme val="minor"/>
      </rPr>
      <t xml:space="preserve"> should be displayed correctly in the corresponding textboxes on the </t>
    </r>
    <r>
      <rPr>
        <b/>
        <sz val="11"/>
        <color theme="1"/>
        <rFont val="Calibri"/>
        <family val="2"/>
        <scheme val="minor"/>
      </rPr>
      <t xml:space="preserve">Item Template Master </t>
    </r>
    <r>
      <rPr>
        <sz val="11"/>
        <color theme="1"/>
        <rFont val="Calibri"/>
        <family val="2"/>
        <scheme val="minor"/>
      </rPr>
      <t>page.
2. When another record is selected:
 -&gt; The previously displayed details should be cleared.
 -&gt; The details of the newly selected record should be refreshed and displayed correctly.</t>
    </r>
  </si>
  <si>
    <t>Item_Template_06</t>
  </si>
  <si>
    <r>
      <t>Validate the functionality of</t>
    </r>
    <r>
      <rPr>
        <b/>
        <sz val="11"/>
        <color theme="1"/>
        <rFont val="Calibri"/>
        <family val="2"/>
        <scheme val="minor"/>
      </rPr>
      <t xml:space="preserve"> Scheme Code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</si>
  <si>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Textbox - </t>
    </r>
    <r>
      <rPr>
        <b/>
        <sz val="11"/>
        <color theme="1"/>
        <rFont val="Calibri"/>
        <family val="2"/>
        <scheme val="minor"/>
      </rPr>
      <t>Scheme Code
Manual Inputs:</t>
    </r>
    <r>
      <rPr>
        <sz val="11"/>
        <color theme="1"/>
        <rFont val="Calibri"/>
        <family val="2"/>
        <scheme val="minor"/>
      </rPr>
      <t xml:space="preserve">
Space, special characters, numeric values, alphabets
</t>
    </r>
    <r>
      <rPr>
        <b/>
        <sz val="11"/>
        <color theme="1"/>
        <rFont val="Calibri"/>
        <family val="2"/>
        <scheme val="minor"/>
      </rPr>
      <t>Autosuggest Inputs:</t>
    </r>
    <r>
      <rPr>
        <sz val="11"/>
        <color theme="1"/>
        <rFont val="Calibri"/>
        <family val="2"/>
        <scheme val="minor"/>
      </rPr>
      <t xml:space="preserve">
 -&gt; 01, 02, 19, 20 etc.</t>
    </r>
  </si>
  <si>
    <r>
      <t xml:space="preserve">1. Navigate to </t>
    </r>
    <r>
      <rPr>
        <b/>
        <sz val="11"/>
        <color theme="1"/>
        <rFont val="Calibri"/>
        <family val="2"/>
        <scheme val="minor"/>
      </rPr>
      <t xml:space="preserve">Masters → EDI Master → Item Template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Scheme Code </t>
    </r>
    <r>
      <rPr>
        <sz val="11"/>
        <color theme="1"/>
        <rFont val="Calibri"/>
        <family val="2"/>
        <scheme val="minor"/>
      </rPr>
      <t>textbox.
3. Try entering manual inputs
4. Trigger the autosuggest list by entering the % symbol.
5. Select a valid Scheme Code from the autosuggest list 
6.Observe the system behavior.</t>
    </r>
  </si>
  <si>
    <r>
      <t xml:space="preserve">1. The </t>
    </r>
    <r>
      <rPr>
        <b/>
        <sz val="11"/>
        <color theme="1"/>
        <rFont val="Calibri"/>
        <family val="2"/>
        <scheme val="minor"/>
      </rPr>
      <t>Scheme Code</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</si>
  <si>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t>The Scheme Code textbox is functioning as expected.</t>
  </si>
  <si>
    <t>Item_Template_07</t>
  </si>
  <si>
    <r>
      <t>Validate the functionality of</t>
    </r>
    <r>
      <rPr>
        <b/>
        <sz val="11"/>
        <color theme="1"/>
        <rFont val="Calibri"/>
        <family val="2"/>
        <scheme val="minor"/>
      </rPr>
      <t xml:space="preserve"> RITC Code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</si>
  <si>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RITC Code </t>
    </r>
    <r>
      <rPr>
        <sz val="11"/>
        <color theme="1"/>
        <rFont val="Calibri"/>
        <family val="2"/>
        <scheme val="minor"/>
      </rPr>
      <t>textbox.
3. Try entering manual inputs
4. Trigger the autosuggest list by entering the % symbol.
5. Select a valid RITC Code from the autosuggest list 
6.Observe the system behavior.</t>
    </r>
  </si>
  <si>
    <r>
      <t xml:space="preserve">Textbox - </t>
    </r>
    <r>
      <rPr>
        <b/>
        <sz val="11"/>
        <color theme="1"/>
        <rFont val="Calibri"/>
        <family val="2"/>
        <scheme val="minor"/>
      </rPr>
      <t xml:space="preserve">RITC Code
</t>
    </r>
  </si>
  <si>
    <r>
      <t xml:space="preserve">1. The </t>
    </r>
    <r>
      <rPr>
        <b/>
        <sz val="11"/>
        <color theme="1"/>
        <rFont val="Calibri"/>
        <family val="2"/>
        <scheme val="minor"/>
      </rPr>
      <t>RITC Code</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</si>
  <si>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t>The RITC Code textbox is functioning as expected.</t>
  </si>
  <si>
    <t>Item_Template_08</t>
  </si>
  <si>
    <r>
      <t>Validate the functionality of</t>
    </r>
    <r>
      <rPr>
        <b/>
        <sz val="11"/>
        <color theme="1"/>
        <rFont val="Calibri"/>
        <family val="2"/>
        <scheme val="minor"/>
      </rPr>
      <t xml:space="preserve"> Goods Description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</si>
  <si>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Goods Description</t>
    </r>
    <r>
      <rPr>
        <sz val="11"/>
        <color theme="1"/>
        <rFont val="Calibri"/>
        <family val="2"/>
        <scheme val="minor"/>
      </rPr>
      <t xml:space="preserve"> textbox.
3. Select a valid </t>
    </r>
    <r>
      <rPr>
        <b/>
        <sz val="11"/>
        <color theme="1"/>
        <rFont val="Calibri"/>
        <family val="2"/>
        <scheme val="minor"/>
      </rPr>
      <t>RITC Code</t>
    </r>
    <r>
      <rPr>
        <sz val="11"/>
        <color theme="1"/>
        <rFont val="Calibri"/>
        <family val="2"/>
        <scheme val="minor"/>
      </rPr>
      <t xml:space="preserve"> in the RITC Code textbox.
4. Observe the Goods Description textbox value.
5. Clear the auto-populated Goods Description value.
6. Enter a new value manually in the Goods Description textbox.
7. Observe the system behavior.</t>
    </r>
  </si>
  <si>
    <r>
      <t>1. The</t>
    </r>
    <r>
      <rPr>
        <b/>
        <sz val="11"/>
        <color theme="1"/>
        <rFont val="Calibri"/>
        <family val="2"/>
        <scheme val="minor"/>
      </rPr>
      <t xml:space="preserve"> Goods Description</t>
    </r>
    <r>
      <rPr>
        <sz val="11"/>
        <color theme="1"/>
        <rFont val="Calibri"/>
        <family val="2"/>
        <scheme val="minor"/>
      </rPr>
      <t xml:space="preserve"> textbox should be auto-populated based on the selected RITC Code.
2. The user should be able to:
 -&gt; Remove the auto-populated value, and
 -&gt; Manually enter a new Goods Description as per the requirement.
3. The textbox should accept the manually entered value also</t>
    </r>
  </si>
  <si>
    <t>Item_Template_09</t>
  </si>
  <si>
    <t>Item_Template_10</t>
  </si>
  <si>
    <r>
      <t xml:space="preserve">Validate the functionality of </t>
    </r>
    <r>
      <rPr>
        <b/>
        <sz val="11"/>
        <color theme="1"/>
        <rFont val="Calibri"/>
        <family val="2"/>
        <scheme val="minor"/>
      </rPr>
      <t>End Use</t>
    </r>
    <r>
      <rPr>
        <sz val="11"/>
        <color theme="1"/>
        <rFont val="Calibri"/>
        <family val="2"/>
        <scheme val="minor"/>
      </rPr>
      <t xml:space="preserve"> dropdown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</si>
  <si>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End Use</t>
    </r>
    <r>
      <rPr>
        <sz val="11"/>
        <color theme="1"/>
        <rFont val="Calibri"/>
        <family val="2"/>
        <scheme val="minor"/>
      </rPr>
      <t xml:space="preserve"> dropdown textbox</t>
    </r>
    <r>
      <rPr>
        <b/>
        <sz val="11"/>
        <color theme="1"/>
        <rFont val="Calibri"/>
        <family val="2"/>
        <scheme val="minor"/>
      </rPr>
      <t xml:space="preserve"> </t>
    </r>
    <r>
      <rPr>
        <sz val="11"/>
        <color theme="1"/>
        <rFont val="Calibri"/>
        <family val="2"/>
        <scheme val="minor"/>
      </rPr>
      <t xml:space="preserve">
3.  select a value from the dropdown list
4. Oberve the system behaviour.</t>
    </r>
  </si>
  <si>
    <r>
      <t xml:space="preserve">Textbox - </t>
    </r>
    <r>
      <rPr>
        <b/>
        <sz val="11"/>
        <color theme="1"/>
        <rFont val="Calibri"/>
        <family val="2"/>
        <scheme val="minor"/>
      </rPr>
      <t xml:space="preserve">End Use
</t>
    </r>
  </si>
  <si>
    <r>
      <t xml:space="preserve">Textbox - </t>
    </r>
    <r>
      <rPr>
        <b/>
        <sz val="11"/>
        <color theme="1"/>
        <rFont val="Calibri"/>
        <family val="2"/>
        <scheme val="minor"/>
      </rPr>
      <t>Goods Description</t>
    </r>
  </si>
  <si>
    <r>
      <t xml:space="preserve">1. </t>
    </r>
    <r>
      <rPr>
        <b/>
        <sz val="11"/>
        <color theme="1"/>
        <rFont val="Calibri"/>
        <family val="2"/>
        <scheme val="minor"/>
      </rPr>
      <t xml:space="preserve">End Use </t>
    </r>
    <r>
      <rPr>
        <sz val="11"/>
        <color theme="1"/>
        <rFont val="Calibri"/>
        <family val="2"/>
        <scheme val="minor"/>
      </rPr>
      <t xml:space="preserve">textbox should not accept any manual input.
2. User must be able to select values only from the dropdown list.
</t>
    </r>
  </si>
  <si>
    <t>Item_Template_11</t>
  </si>
  <si>
    <r>
      <t xml:space="preserve">Validate the functionality of </t>
    </r>
    <r>
      <rPr>
        <b/>
        <sz val="11"/>
        <color theme="1"/>
        <rFont val="Calibri"/>
        <family val="2"/>
        <scheme val="minor"/>
      </rPr>
      <t>Accessory[Y/N]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</si>
  <si>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Accessory[Y/N]</t>
    </r>
    <r>
      <rPr>
        <sz val="11"/>
        <color theme="1"/>
        <rFont val="Calibri"/>
        <family val="2"/>
        <scheme val="minor"/>
      </rPr>
      <t xml:space="preserve"> field</t>
    </r>
    <r>
      <rPr>
        <sz val="11"/>
        <color theme="1"/>
        <rFont val="Calibri"/>
        <family val="2"/>
        <scheme val="minor"/>
      </rPr>
      <t xml:space="preserve">
3. Enter valid value and Observe the system behaviour
4. Enter invalid value and Observe the system behaviour
</t>
    </r>
  </si>
  <si>
    <r>
      <t xml:space="preserve">1. The </t>
    </r>
    <r>
      <rPr>
        <b/>
        <sz val="11"/>
        <color theme="1"/>
        <rFont val="Calibri"/>
        <family val="2"/>
        <scheme val="minor"/>
      </rPr>
      <t>Accessory [Y/N]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</si>
  <si>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t>Item_Template_12</t>
  </si>
  <si>
    <r>
      <t xml:space="preserve">Validate the functionality of </t>
    </r>
    <r>
      <rPr>
        <b/>
        <sz val="11"/>
        <color theme="1"/>
        <rFont val="Calibri"/>
        <family val="2"/>
        <scheme val="minor"/>
      </rPr>
      <t>Third Party[Y/N]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</si>
  <si>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Third Party[Y/N]</t>
    </r>
    <r>
      <rPr>
        <sz val="11"/>
        <color theme="1"/>
        <rFont val="Calibri"/>
        <family val="2"/>
        <scheme val="minor"/>
      </rPr>
      <t xml:space="preserve"> field
3. Enter valid value and Observe the system behaviour
4. Enter invalid value and Observe the system behaviour
</t>
    </r>
  </si>
  <si>
    <r>
      <t xml:space="preserve">Checkbox - </t>
    </r>
    <r>
      <rPr>
        <b/>
        <sz val="11"/>
        <color theme="1"/>
        <rFont val="Calibri"/>
        <family val="2"/>
        <scheme val="minor"/>
      </rPr>
      <t>Third Party[Y/N]</t>
    </r>
  </si>
  <si>
    <r>
      <t xml:space="preserve">Checkbox - </t>
    </r>
    <r>
      <rPr>
        <b/>
        <sz val="11"/>
        <color theme="1"/>
        <rFont val="Calibri"/>
        <family val="2"/>
        <scheme val="minor"/>
      </rPr>
      <t>Accessory[Y/N]</t>
    </r>
  </si>
  <si>
    <r>
      <t xml:space="preserve">1. The </t>
    </r>
    <r>
      <rPr>
        <b/>
        <sz val="11"/>
        <color theme="1"/>
        <rFont val="Calibri"/>
        <family val="2"/>
        <scheme val="minor"/>
      </rPr>
      <t>Third Party[Y/N]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</si>
  <si>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t>Item_Template_13</t>
  </si>
  <si>
    <r>
      <t xml:space="preserve">Validate the functionality of </t>
    </r>
    <r>
      <rPr>
        <b/>
        <sz val="11"/>
        <color theme="1"/>
        <rFont val="Calibri"/>
        <family val="2"/>
        <scheme val="minor"/>
      </rPr>
      <t>Cess[Y/N]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</si>
  <si>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Cess[Y/N]</t>
    </r>
    <r>
      <rPr>
        <sz val="11"/>
        <color theme="1"/>
        <rFont val="Calibri"/>
        <family val="2"/>
        <scheme val="minor"/>
      </rPr>
      <t xml:space="preserve"> field
3. Enter valid value and Observe the system behaviour
4. Enter invalid value and Observe the system behaviour
</t>
    </r>
  </si>
  <si>
    <r>
      <t xml:space="preserve">Checkbox - </t>
    </r>
    <r>
      <rPr>
        <b/>
        <sz val="11"/>
        <color theme="1"/>
        <rFont val="Calibri"/>
        <family val="2"/>
        <scheme val="minor"/>
      </rPr>
      <t>Cess[Y/N]</t>
    </r>
  </si>
  <si>
    <r>
      <t xml:space="preserve">1. The </t>
    </r>
    <r>
      <rPr>
        <b/>
        <sz val="11"/>
        <color theme="1"/>
        <rFont val="Calibri"/>
        <family val="2"/>
        <scheme val="minor"/>
      </rPr>
      <t>Cess[Y/N]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</si>
  <si>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t>Item_Template_14</t>
  </si>
  <si>
    <r>
      <t xml:space="preserve">Validate the functionality of </t>
    </r>
    <r>
      <rPr>
        <b/>
        <sz val="11"/>
        <color theme="1"/>
        <rFont val="Calibri"/>
        <family val="2"/>
        <scheme val="minor"/>
      </rPr>
      <t>AR4[Y/N]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</si>
  <si>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AR4[Y/N]</t>
    </r>
    <r>
      <rPr>
        <sz val="11"/>
        <color theme="1"/>
        <rFont val="Calibri"/>
        <family val="2"/>
        <scheme val="minor"/>
      </rPr>
      <t xml:space="preserve"> field
3. Enter valid value and Observe the system behaviour
4. Enter invalid value and Observe the system behaviour
</t>
    </r>
  </si>
  <si>
    <r>
      <t xml:space="preserve">Checkbox - </t>
    </r>
    <r>
      <rPr>
        <b/>
        <sz val="11"/>
        <color theme="1"/>
        <rFont val="Calibri"/>
        <family val="2"/>
        <scheme val="minor"/>
      </rPr>
      <t>AR4[Y/N]</t>
    </r>
  </si>
  <si>
    <r>
      <t xml:space="preserve">1. The </t>
    </r>
    <r>
      <rPr>
        <b/>
        <sz val="11"/>
        <color theme="1"/>
        <rFont val="Calibri"/>
        <family val="2"/>
        <scheme val="minor"/>
      </rPr>
      <t>AR4[Y/N]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</si>
  <si>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r>
      <t xml:space="preserve">Validate the functionality of </t>
    </r>
    <r>
      <rPr>
        <b/>
        <sz val="11"/>
        <color theme="1"/>
        <rFont val="Calibri"/>
        <family val="2"/>
        <scheme val="minor"/>
      </rPr>
      <t>Reward[Y/N]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</si>
  <si>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Reward[Y/N]</t>
    </r>
    <r>
      <rPr>
        <sz val="11"/>
        <color theme="1"/>
        <rFont val="Calibri"/>
        <family val="2"/>
        <scheme val="minor"/>
      </rPr>
      <t xml:space="preserve"> field
3. Enter valid value and Observe the system behaviour
4. Enter invalid value and Observe the system behaviour
</t>
    </r>
  </si>
  <si>
    <r>
      <t xml:space="preserve">Checkbox - </t>
    </r>
    <r>
      <rPr>
        <b/>
        <sz val="11"/>
        <color theme="1"/>
        <rFont val="Calibri"/>
        <family val="2"/>
        <scheme val="minor"/>
      </rPr>
      <t>Reward[Y/N]</t>
    </r>
  </si>
  <si>
    <r>
      <t xml:space="preserve">1. The </t>
    </r>
    <r>
      <rPr>
        <b/>
        <sz val="11"/>
        <color theme="1"/>
        <rFont val="Calibri"/>
        <family val="2"/>
        <scheme val="minor"/>
      </rPr>
      <t>Reward[Y/N]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</si>
  <si>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t>Item_Template_15</t>
  </si>
  <si>
    <t>Item_Template_16</t>
  </si>
  <si>
    <r>
      <t xml:space="preserve">Validate the functionality of </t>
    </r>
    <r>
      <rPr>
        <b/>
        <sz val="11"/>
        <color theme="1"/>
        <rFont val="Calibri"/>
        <family val="2"/>
        <scheme val="minor"/>
      </rPr>
      <t>STR[Y/N]</t>
    </r>
    <r>
      <rPr>
        <sz val="11"/>
        <color theme="1"/>
        <rFont val="Calibri"/>
        <family val="2"/>
        <scheme val="minor"/>
      </rPr>
      <t xml:space="preserve"> field in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</si>
  <si>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Locate the </t>
    </r>
    <r>
      <rPr>
        <b/>
        <sz val="11"/>
        <color theme="1"/>
        <rFont val="Calibri"/>
        <family val="2"/>
        <scheme val="minor"/>
      </rPr>
      <t>STR[Y/N]</t>
    </r>
    <r>
      <rPr>
        <sz val="11"/>
        <color theme="1"/>
        <rFont val="Calibri"/>
        <family val="2"/>
        <scheme val="minor"/>
      </rPr>
      <t xml:space="preserve"> field
3. Enter valid value and Observe the system behaviour
4. Enter invalid value and Observe the system behaviour
</t>
    </r>
  </si>
  <si>
    <r>
      <t xml:space="preserve">Checkbox - </t>
    </r>
    <r>
      <rPr>
        <b/>
        <sz val="11"/>
        <color theme="1"/>
        <rFont val="Calibri"/>
        <family val="2"/>
        <scheme val="minor"/>
      </rPr>
      <t>STR[Y/N]</t>
    </r>
  </si>
  <si>
    <r>
      <t xml:space="preserve">1. The </t>
    </r>
    <r>
      <rPr>
        <b/>
        <sz val="11"/>
        <color theme="1"/>
        <rFont val="Calibri"/>
        <family val="2"/>
        <scheme val="minor"/>
      </rPr>
      <t>STR[Y/N]</t>
    </r>
    <r>
      <rPr>
        <sz val="11"/>
        <color theme="1"/>
        <rFont val="Calibri"/>
        <family val="2"/>
        <scheme val="minor"/>
      </rPr>
      <t xml:space="preserve"> field should accept only</t>
    </r>
    <r>
      <rPr>
        <b/>
        <sz val="11"/>
        <color theme="1"/>
        <rFont val="Calibri"/>
        <family val="2"/>
        <scheme val="minor"/>
      </rPr>
      <t xml:space="preserve"> Y or N </t>
    </r>
    <r>
      <rPr>
        <sz val="11"/>
        <color theme="1"/>
        <rFont val="Calibri"/>
        <family val="2"/>
        <scheme val="minor"/>
      </rPr>
      <t>values.
2. All other</t>
    </r>
    <r>
      <rPr>
        <b/>
        <sz val="11"/>
        <color theme="1"/>
        <rFont val="Calibri"/>
        <family val="2"/>
        <scheme val="minor"/>
      </rPr>
      <t xml:space="preserve"> inputs (alphabetic other than Y/N, numeric, special characters)</t>
    </r>
    <r>
      <rPr>
        <sz val="11"/>
        <color theme="1"/>
        <rFont val="Calibri"/>
        <family val="2"/>
        <scheme val="minor"/>
      </rPr>
      <t xml:space="preserve"> should be restricted.
3. If an invalid value is entered:
 -&gt; The system should not allow and 
 -&gt; A proper validation message should be displayed.</t>
    </r>
  </si>
  <si>
    <t>Item_Template_17</t>
  </si>
  <si>
    <r>
      <t xml:space="preserve">Validate the functionality of the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 xml:space="preserve">Item Template Master </t>
    </r>
    <r>
      <rPr>
        <sz val="11"/>
        <color theme="1"/>
        <rFont val="Calibri"/>
        <family val="2"/>
        <scheme val="minor"/>
      </rPr>
      <t>Page.</t>
    </r>
  </si>
  <si>
    <r>
      <t xml:space="preserve">1. Navigate to </t>
    </r>
    <r>
      <rPr>
        <b/>
        <sz val="11"/>
        <color theme="1"/>
        <rFont val="Calibri"/>
        <family val="2"/>
        <scheme val="minor"/>
      </rPr>
      <t>Masters → EDI Master → Item Template Master</t>
    </r>
    <r>
      <rPr>
        <sz val="11"/>
        <color theme="1"/>
        <rFont val="Calibri"/>
        <family val="2"/>
        <scheme val="minor"/>
      </rPr>
      <t xml:space="preserve">
2. Enter valid values in all mandatory and non-mandatory fields
3. Click on the </t>
    </r>
    <r>
      <rPr>
        <b/>
        <sz val="11"/>
        <color theme="1"/>
        <rFont val="Calibri"/>
        <family val="2"/>
        <scheme val="minor"/>
      </rPr>
      <t xml:space="preserve">Save </t>
    </r>
    <r>
      <rPr>
        <sz val="11"/>
        <color theme="1"/>
        <rFont val="Calibri"/>
        <family val="2"/>
        <scheme val="minor"/>
      </rPr>
      <t>button and observe the system behaviour</t>
    </r>
  </si>
  <si>
    <t>Fill all fields with valid data</t>
  </si>
  <si>
    <r>
      <t>1. When all fields contain valid values, clicking the</t>
    </r>
    <r>
      <rPr>
        <b/>
        <sz val="11"/>
        <color theme="1"/>
        <rFont val="Calibri"/>
        <family val="2"/>
        <scheme val="minor"/>
      </rPr>
      <t xml:space="preserve"> Save </t>
    </r>
    <r>
      <rPr>
        <sz val="11"/>
        <color theme="1"/>
        <rFont val="Calibri"/>
        <family val="2"/>
        <scheme val="minor"/>
      </rPr>
      <t xml:space="preserve">button should save the record successfully.
2. A </t>
    </r>
    <r>
      <rPr>
        <b/>
        <sz val="11"/>
        <color theme="1"/>
        <rFont val="Calibri"/>
        <family val="2"/>
        <scheme val="minor"/>
      </rPr>
      <t>success confirmation message</t>
    </r>
    <r>
      <rPr>
        <sz val="11"/>
        <color theme="1"/>
        <rFont val="Calibri"/>
        <family val="2"/>
        <scheme val="minor"/>
      </rPr>
      <t xml:space="preserve"> should be displayed.
3. The saved record should appear in the</t>
    </r>
    <r>
      <rPr>
        <b/>
        <sz val="11"/>
        <color theme="1"/>
        <rFont val="Calibri"/>
        <family val="2"/>
        <scheme val="minor"/>
      </rPr>
      <t xml:space="preserve"> </t>
    </r>
    <r>
      <rPr>
        <sz val="11"/>
        <color theme="1"/>
        <rFont val="Calibri"/>
        <family val="2"/>
        <scheme val="minor"/>
      </rPr>
      <t xml:space="preserve">Item template grid list.
4. The saved record should be </t>
    </r>
    <r>
      <rPr>
        <b/>
        <sz val="11"/>
        <color theme="1"/>
        <rFont val="Calibri"/>
        <family val="2"/>
        <scheme val="minor"/>
      </rPr>
      <t xml:space="preserve">searchable </t>
    </r>
    <r>
      <rPr>
        <sz val="11"/>
        <color theme="1"/>
        <rFont val="Calibri"/>
        <family val="2"/>
        <scheme val="minor"/>
      </rPr>
      <t xml:space="preserve">and </t>
    </r>
    <r>
      <rPr>
        <b/>
        <sz val="11"/>
        <color theme="1"/>
        <rFont val="Calibri"/>
        <family val="2"/>
        <scheme val="minor"/>
      </rPr>
      <t>selectable</t>
    </r>
    <r>
      <rPr>
        <sz val="11"/>
        <color theme="1"/>
        <rFont val="Calibri"/>
        <family val="2"/>
        <scheme val="minor"/>
      </rPr>
      <t xml:space="preserve"> from the list.</t>
    </r>
  </si>
  <si>
    <t>Item_Template_18</t>
  </si>
  <si>
    <r>
      <t xml:space="preserve">Validate the functionality of the </t>
    </r>
    <r>
      <rPr>
        <b/>
        <sz val="11"/>
        <color theme="1"/>
        <rFont val="Calibri"/>
        <family val="2"/>
        <scheme val="minor"/>
      </rPr>
      <t>Save</t>
    </r>
    <r>
      <rPr>
        <sz val="11"/>
        <color theme="1"/>
        <rFont val="Calibri"/>
        <family val="2"/>
        <scheme val="minor"/>
      </rPr>
      <t xml:space="preserve"> button when all fields are left blank in the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</si>
  <si>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Masters → EDI Master → Item Template Master</t>
    </r>
    <r>
      <rPr>
        <sz val="11"/>
        <color theme="1"/>
        <rFont val="Calibri"/>
        <family val="2"/>
        <scheme val="minor"/>
      </rPr>
      <t xml:space="preserve">
2. Leave all fields blank.
4. Click on the </t>
    </r>
    <r>
      <rPr>
        <b/>
        <sz val="11"/>
        <color theme="1"/>
        <rFont val="Calibri"/>
        <family val="2"/>
        <scheme val="minor"/>
      </rPr>
      <t>Save</t>
    </r>
    <r>
      <rPr>
        <sz val="11"/>
        <color theme="1"/>
        <rFont val="Calibri"/>
        <family val="2"/>
        <scheme val="minor"/>
      </rPr>
      <t xml:space="preserve"> button and observe the system behaviour.</t>
    </r>
  </si>
  <si>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and Non-mandatory fields are left blank in the </t>
    </r>
    <r>
      <rPr>
        <b/>
        <sz val="11"/>
        <color theme="1"/>
        <rFont val="Calibri"/>
        <family val="2"/>
        <scheme val="minor"/>
      </rPr>
      <t>Item Template Master</t>
    </r>
    <r>
      <rPr>
        <sz val="11"/>
        <color theme="1"/>
        <rFont val="Calibri"/>
        <family val="2"/>
        <scheme val="minor"/>
      </rPr>
      <t xml:space="preserve"> page.</t>
    </r>
  </si>
  <si>
    <r>
      <t xml:space="preserve">1. Navigate to </t>
    </r>
    <r>
      <rPr>
        <b/>
        <sz val="11"/>
        <rFont val="Calibri"/>
        <family val="2"/>
        <scheme val="minor"/>
      </rPr>
      <t xml:space="preserve">Masters -&gt; EDI Master -&gt; Item Template Master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</si>
  <si>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t>Mandatory Fields As per the Page UI:
 -&gt; Scheme Code
 -&gt; RITC Code
 -&gt; Goods Description
 -&gt; End Use</t>
  </si>
  <si>
    <r>
      <t xml:space="preserve">Functionality is working as expected.
</t>
    </r>
    <r>
      <rPr>
        <b/>
        <sz val="11"/>
        <color theme="1"/>
        <rFont val="Calibri"/>
        <family val="2"/>
        <scheme val="minor"/>
      </rPr>
      <t>Note: Some of record is showing twice in the Item Template grid list.</t>
    </r>
  </si>
  <si>
    <t>1. When all mandatory fields are filled with valid data:
 -&gt; The record should be saved successfully.
 -&gt; A success validation message should be displayed.
2. The saved record should appear in the Item Template grid list.
3. The record should be searchable and selectable from the list.</t>
  </si>
  <si>
    <t>1. The record is not saved even when all mandatory fields (as per UI indication) are filled.
2. The system is additionally asking to fill the following fields:
 -&gt; Accessory[Y/N] 
 -&gt; Third Party[Y/N] 
 -&gt; Cess[Y/N] 
 -&gt; AR4[Y/N] 
 -&gt; Reward[Y/N] 
 -&gt; STR[Y/N] 
3. After filling these additional fields, the record is saved successfully.</t>
  </si>
  <si>
    <t>Item_Template_19</t>
  </si>
  <si>
    <r>
      <t xml:space="preserve">1. Record should not be saved </t>
    </r>
    <r>
      <rPr>
        <b/>
        <sz val="11"/>
        <color theme="1"/>
        <rFont val="Calibri"/>
        <family val="2"/>
        <scheme val="minor"/>
      </rPr>
      <t>if any mandatory fields are left blank.</t>
    </r>
    <r>
      <rPr>
        <sz val="11"/>
        <color theme="1"/>
        <rFont val="Calibri"/>
        <family val="2"/>
        <scheme val="minor"/>
      </rPr>
      <t xml:space="preserve">
2. Validation messages should be displayed for each mandatory field at the respective textbox level.
3. Validation messages should appear in the same sequence as the textbox order on the page.
4. After filling all mandatory fields with valid data:
 -&gt; Record should be saved successfully.
5. A success confirmation message should be displayed.
6. Saved record should appear in the Item Template grid list.
7. Saved record should be searchable and selectable from the list.</t>
    </r>
  </si>
  <si>
    <t>Item_Template_20</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</si>
  <si>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Item Template Master </t>
    </r>
    <r>
      <rPr>
        <sz val="11"/>
        <color theme="1"/>
        <rFont val="Calibri"/>
        <family val="2"/>
        <scheme val="minor"/>
      </rPr>
      <t>page.</t>
    </r>
  </si>
  <si>
    <r>
      <t xml:space="preserve">1. Navigate to </t>
    </r>
    <r>
      <rPr>
        <b/>
        <sz val="11"/>
        <color theme="1"/>
        <rFont val="Calibri"/>
        <family val="2"/>
        <scheme val="minor"/>
      </rPr>
      <t>Masters → EDI Master → Item Template Master</t>
    </r>
    <r>
      <rPr>
        <sz val="11"/>
        <color theme="1"/>
        <rFont val="Calibri"/>
        <family val="2"/>
        <scheme val="minor"/>
      </rPr>
      <t xml:space="preserve">
2. Select any record from the Item Template grid list.
3. Modify one or more fields with new valid data.
4. Click the Modify button.
5. Re-select the same record from the Item Template grid list and verify the updated values.</t>
    </r>
  </si>
  <si>
    <t>Select any record from the Item Template grid list</t>
  </si>
  <si>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t>
    </r>
    <r>
      <rPr>
        <b/>
        <sz val="11"/>
        <color theme="1"/>
        <rFont val="Calibri"/>
        <family val="2"/>
        <scheme val="minor"/>
      </rPr>
      <t>Modify button should be enabled only when a record is selected from the Item Templates grid list and its data is loaded into the textboxes.</t>
    </r>
    <r>
      <rPr>
        <sz val="11"/>
        <color theme="1"/>
        <rFont val="Calibri"/>
        <family val="2"/>
        <scheme val="minor"/>
      </rPr>
      <t xml:space="preserve">
3. On clicking </t>
    </r>
    <r>
      <rPr>
        <b/>
        <sz val="11"/>
        <color theme="1"/>
        <rFont val="Calibri"/>
        <family val="2"/>
        <scheme val="minor"/>
      </rPr>
      <t>Modify,</t>
    </r>
    <r>
      <rPr>
        <sz val="11"/>
        <color theme="1"/>
        <rFont val="Calibri"/>
        <family val="2"/>
        <scheme val="minor"/>
      </rPr>
      <t xml:space="preserve"> the record should be updated successfully with the new values.
4. The updated record should appear correctly in the Item Templates grid list.
5. The user should be able to modify the same record multiple times.</t>
    </r>
  </si>
  <si>
    <t>Item_Template_21</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</si>
  <si>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Item Template Master </t>
    </r>
    <r>
      <rPr>
        <sz val="11"/>
        <color theme="1"/>
        <rFont val="Calibri"/>
        <family val="2"/>
        <scheme val="minor"/>
      </rPr>
      <t>page.</t>
    </r>
  </si>
  <si>
    <r>
      <t xml:space="preserve">1. Navigate to </t>
    </r>
    <r>
      <rPr>
        <b/>
        <sz val="11"/>
        <color theme="1"/>
        <rFont val="Calibri"/>
        <family val="2"/>
        <scheme val="minor"/>
      </rPr>
      <t>Masters → EDI Master → Item Template Master</t>
    </r>
    <r>
      <rPr>
        <sz val="11"/>
        <color theme="1"/>
        <rFont val="Calibri"/>
        <family val="2"/>
        <scheme val="minor"/>
      </rPr>
      <t xml:space="preserve">
2. Select any record from the Item Templates grid list.
3. Click on </t>
    </r>
    <r>
      <rPr>
        <b/>
        <sz val="11"/>
        <color theme="1"/>
        <rFont val="Calibri"/>
        <family val="2"/>
        <scheme val="minor"/>
      </rPr>
      <t xml:space="preserve">Delete </t>
    </r>
    <r>
      <rPr>
        <sz val="11"/>
        <color theme="1"/>
        <rFont val="Calibri"/>
        <family val="2"/>
        <scheme val="minor"/>
      </rPr>
      <t>button and observe the system behaviour.</t>
    </r>
  </si>
  <si>
    <r>
      <t xml:space="preserve">1. When the page is in a new state, the </t>
    </r>
    <r>
      <rPr>
        <b/>
        <sz val="11"/>
        <color theme="1"/>
        <rFont val="Calibri"/>
        <family val="2"/>
        <scheme val="minor"/>
      </rPr>
      <t>Delete</t>
    </r>
    <r>
      <rPr>
        <sz val="11"/>
        <color theme="1"/>
        <rFont val="Calibri"/>
        <family val="2"/>
        <scheme val="minor"/>
      </rPr>
      <t xml:space="preserve"> button should be disabled.
2. The </t>
    </r>
    <r>
      <rPr>
        <b/>
        <sz val="11"/>
        <color theme="1"/>
        <rFont val="Calibri"/>
        <family val="2"/>
        <scheme val="minor"/>
      </rPr>
      <t>Delete</t>
    </r>
    <r>
      <rPr>
        <sz val="11"/>
        <color theme="1"/>
        <rFont val="Calibri"/>
        <family val="2"/>
        <scheme val="minor"/>
      </rPr>
      <t xml:space="preserve"> button should be enabled only when a record is selected from the Item Template grid list and its data is loaded into the textboxes.
2. On clicking Delete, a confirmation pop-up should be displayed with the message:
</t>
    </r>
    <r>
      <rPr>
        <b/>
        <sz val="11"/>
        <color theme="1"/>
        <rFont val="Calibri"/>
        <family val="2"/>
        <scheme val="minor"/>
      </rPr>
      <t>Are you sure you want to delete this record?</t>
    </r>
    <r>
      <rPr>
        <sz val="11"/>
        <color theme="1"/>
        <rFont val="Calibri"/>
        <family val="2"/>
        <scheme val="minor"/>
      </rPr>
      <t xml:space="preserve">
with OK / Cancel options.
</t>
    </r>
    <r>
      <rPr>
        <b/>
        <sz val="11"/>
        <color theme="1"/>
        <rFont val="Calibri"/>
        <family val="2"/>
        <scheme val="minor"/>
      </rPr>
      <t xml:space="preserve"> -&gt; If OK is selected:</t>
    </r>
    <r>
      <rPr>
        <sz val="11"/>
        <color theme="1"/>
        <rFont val="Calibri"/>
        <family val="2"/>
        <scheme val="minor"/>
      </rPr>
      <t xml:space="preserve">
 -&gt; Record should be deleted successfully.
 -&gt; Deleted record should no longer appear in the left-side list.
</t>
    </r>
    <r>
      <rPr>
        <b/>
        <sz val="11"/>
        <color theme="1"/>
        <rFont val="Calibri"/>
        <family val="2"/>
        <scheme val="minor"/>
      </rPr>
      <t xml:space="preserve"> -&gt; If Cancel is selected:</t>
    </r>
    <r>
      <rPr>
        <sz val="11"/>
        <color theme="1"/>
        <rFont val="Calibri"/>
        <family val="2"/>
        <scheme val="minor"/>
      </rPr>
      <t xml:space="preserve">
 -&gt; Deletion should be cancelled.
 -&gt; Record should remain unchanged.</t>
    </r>
  </si>
  <si>
    <t>1. Functionality is not working as expected.
2. Record is deleting directly without any confirmation.</t>
  </si>
  <si>
    <t>Item_Template_22</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</si>
  <si>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Item Template Master </t>
    </r>
    <r>
      <rPr>
        <sz val="11"/>
        <color theme="1"/>
        <rFont val="Calibri"/>
        <family val="2"/>
        <scheme val="minor"/>
      </rPr>
      <t>page.</t>
    </r>
  </si>
  <si>
    <r>
      <t xml:space="preserve">1. Navigate to </t>
    </r>
    <r>
      <rPr>
        <b/>
        <sz val="11"/>
        <color theme="1"/>
        <rFont val="Calibri"/>
        <family val="2"/>
        <scheme val="minor"/>
      </rPr>
      <t>Masters → EDI Master → Item Template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</si>
  <si>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Item_Template_23</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</si>
  <si>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</si>
  <si>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</si>
  <si>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</si>
  <si>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Item Template Master</t>
    </r>
    <r>
      <rPr>
        <sz val="11"/>
        <color theme="1"/>
        <rFont val="Calibri"/>
        <family val="2"/>
        <scheme val="minor"/>
      </rPr>
      <t xml:space="preserve"> Page.</t>
    </r>
  </si>
  <si>
    <r>
      <t xml:space="preserve">1. Navigate to </t>
    </r>
    <r>
      <rPr>
        <b/>
        <sz val="11"/>
        <color theme="1"/>
        <rFont val="Calibri"/>
        <family val="2"/>
        <scheme val="minor"/>
      </rPr>
      <t xml:space="preserve">Masters → EDI Master → Item Template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Item Templates grid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</si>
  <si>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r>
      <t xml:space="preserve">1. Navigate to </t>
    </r>
    <r>
      <rPr>
        <b/>
        <sz val="11"/>
        <color theme="1"/>
        <rFont val="Calibri"/>
        <family val="2"/>
        <scheme val="minor"/>
      </rPr>
      <t>Masters → EDI Master → Item Template Master
2</t>
    </r>
    <r>
      <rPr>
        <sz val="11"/>
        <color theme="1"/>
        <rFont val="Calibri"/>
        <family val="2"/>
        <scheme val="minor"/>
      </rPr>
      <t>. Enter valid data in all required input fields and click Save.
3. From the Item Templates grid list, select the recently saved record.
4. Observe the value displayed in the Entered By textbox.</t>
    </r>
  </si>
  <si>
    <r>
      <t xml:space="preserve">1. Navigate to </t>
    </r>
    <r>
      <rPr>
        <b/>
        <sz val="11"/>
        <color theme="1"/>
        <rFont val="Calibri"/>
        <family val="2"/>
        <scheme val="minor"/>
      </rPr>
      <t>Masters -&gt; EDI Master -&gt; Item Template Master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By</t>
    </r>
    <r>
      <rPr>
        <sz val="11"/>
        <color theme="1"/>
        <rFont val="Calibri"/>
        <family val="2"/>
        <scheme val="minor"/>
      </rPr>
      <t xml:space="preserve"> textbox.</t>
    </r>
  </si>
  <si>
    <r>
      <t xml:space="preserve">1. Navigate to </t>
    </r>
    <r>
      <rPr>
        <b/>
        <sz val="11"/>
        <color theme="1"/>
        <rFont val="Calibri"/>
        <family val="2"/>
        <scheme val="minor"/>
      </rPr>
      <t>Masters -&gt; EDI Master -&gt; Item Template Master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Date</t>
    </r>
    <r>
      <rPr>
        <sz val="11"/>
        <color theme="1"/>
        <rFont val="Calibri"/>
        <family val="2"/>
        <scheme val="minor"/>
      </rPr>
      <t xml:space="preserve"> textbox.</t>
    </r>
  </si>
  <si>
    <t>Item_Template_24</t>
  </si>
  <si>
    <t>Item_Template_25</t>
  </si>
  <si>
    <t>Item_Template_26</t>
  </si>
  <si>
    <t xml:space="preserve">EDI Master --&gt; ROSL DBK
</t>
  </si>
  <si>
    <t>ROSL_DBK_01</t>
  </si>
  <si>
    <t>EDI Master -&gt; ROSL DBK</t>
  </si>
  <si>
    <r>
      <t xml:space="preserve">Validate the functionality of </t>
    </r>
    <r>
      <rPr>
        <b/>
        <sz val="11"/>
        <color theme="1"/>
        <rFont val="Calibri"/>
        <family val="2"/>
        <scheme val="minor"/>
      </rPr>
      <t>ROSL DBK</t>
    </r>
    <r>
      <rPr>
        <sz val="11"/>
        <color theme="1"/>
        <rFont val="Calibri"/>
        <family val="2"/>
        <scheme val="minor"/>
      </rPr>
      <t xml:space="preserve"> 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</si>
  <si>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ROSL DBK</t>
    </r>
  </si>
  <si>
    <r>
      <t xml:space="preserve">1. On Mouse Hovering action on </t>
    </r>
    <r>
      <rPr>
        <b/>
        <sz val="11"/>
        <color theme="1"/>
        <rFont val="Calibri"/>
        <family val="2"/>
        <scheme val="minor"/>
      </rPr>
      <t xml:space="preserve">Masters -&gt; EDI Master -&gt; ROSL DBK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</si>
  <si>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ROSL DBK </t>
    </r>
    <r>
      <rPr>
        <sz val="11"/>
        <color theme="1"/>
        <rFont val="Calibri"/>
        <family val="2"/>
        <scheme val="minor"/>
      </rPr>
      <t>Page is opening properly.</t>
    </r>
  </si>
  <si>
    <t>ROSL_DBK_02</t>
  </si>
  <si>
    <r>
      <t>Validate the functionality of</t>
    </r>
    <r>
      <rPr>
        <b/>
        <sz val="11"/>
        <color theme="1"/>
        <rFont val="Calibri"/>
        <family val="2"/>
        <scheme val="minor"/>
      </rPr>
      <t xml:space="preserve"> Header Dropdown</t>
    </r>
    <r>
      <rPr>
        <sz val="11"/>
        <color theme="1"/>
        <rFont val="Calibri"/>
        <family val="2"/>
        <scheme val="minor"/>
      </rPr>
      <t xml:space="preserve"> in the left-side panel of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</si>
  <si>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Masters → EDI Master → ROSL DBK</t>
    </r>
    <r>
      <rPr>
        <sz val="11"/>
        <color theme="1"/>
        <rFont val="Calibri"/>
        <family val="2"/>
        <scheme val="minor"/>
      </rPr>
      <t xml:space="preserve">
2. Verify the </t>
    </r>
    <r>
      <rPr>
        <b/>
        <sz val="11"/>
        <color theme="1"/>
        <rFont val="Calibri"/>
        <family val="2"/>
        <scheme val="minor"/>
      </rPr>
      <t>Header dropdown</t>
    </r>
    <r>
      <rPr>
        <sz val="11"/>
        <color theme="1"/>
        <rFont val="Calibri"/>
        <family val="2"/>
        <scheme val="minor"/>
      </rPr>
      <t xml:space="preserve"> in the left-side search panel
3. Select a value from the </t>
    </r>
    <r>
      <rPr>
        <b/>
        <sz val="11"/>
        <color theme="1"/>
        <rFont val="Calibri"/>
        <family val="2"/>
        <scheme val="minor"/>
      </rPr>
      <t>Header</t>
    </r>
    <r>
      <rPr>
        <sz val="11"/>
        <color theme="1"/>
        <rFont val="Calibri"/>
        <family val="2"/>
        <scheme val="minor"/>
      </rPr>
      <t xml:space="preserve"> dropdown.
4. Observe the records displayed in the grid.
5. Change the Header dropdown value and observe whether the grid is refreshed based on the newly selected value.
6. Select any record from the grid.
7. Observe the data populated in the corresponding textboxes.</t>
    </r>
  </si>
  <si>
    <t>1. In the Header Dropdown value is coming but when we are selecting any header value from the dropdown, Selected Header related value is not coming in the Grid.
2. Not working as expected.</t>
  </si>
  <si>
    <t>ROSL_DBK_03</t>
  </si>
  <si>
    <r>
      <t>Validate the functionality of</t>
    </r>
    <r>
      <rPr>
        <b/>
        <sz val="11"/>
        <color theme="1"/>
        <rFont val="Calibri"/>
        <family val="2"/>
        <scheme val="minor"/>
      </rPr>
      <t xml:space="preserve"> Sr No. Dropdown</t>
    </r>
    <r>
      <rPr>
        <sz val="11"/>
        <color theme="1"/>
        <rFont val="Calibri"/>
        <family val="2"/>
        <scheme val="minor"/>
      </rPr>
      <t xml:space="preserve"> in the left-side panel of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</si>
  <si>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Masters → EDI Master → ROSL DBK</t>
    </r>
    <r>
      <rPr>
        <sz val="11"/>
        <color theme="1"/>
        <rFont val="Calibri"/>
        <family val="2"/>
        <scheme val="minor"/>
      </rPr>
      <t xml:space="preserve">
2. Verify the</t>
    </r>
    <r>
      <rPr>
        <b/>
        <sz val="11"/>
        <color theme="1"/>
        <rFont val="Calibri"/>
        <family val="2"/>
        <scheme val="minor"/>
      </rPr>
      <t xml:space="preserve"> Sr No. dropdown</t>
    </r>
    <r>
      <rPr>
        <sz val="11"/>
        <color theme="1"/>
        <rFont val="Calibri"/>
        <family val="2"/>
        <scheme val="minor"/>
      </rPr>
      <t xml:space="preserve"> in the left-side search panel.
3. Without selecting any value in the</t>
    </r>
    <r>
      <rPr>
        <b/>
        <sz val="11"/>
        <color theme="1"/>
        <rFont val="Calibri"/>
        <family val="2"/>
        <scheme val="minor"/>
      </rPr>
      <t xml:space="preserve"> Header dropdown</t>
    </r>
    <r>
      <rPr>
        <sz val="11"/>
        <color theme="1"/>
        <rFont val="Calibri"/>
        <family val="2"/>
        <scheme val="minor"/>
      </rPr>
      <t xml:space="preserve">, click on the </t>
    </r>
    <r>
      <rPr>
        <b/>
        <sz val="11"/>
        <color theme="1"/>
        <rFont val="Calibri"/>
        <family val="2"/>
        <scheme val="minor"/>
      </rPr>
      <t>Sr No. dropdown.</t>
    </r>
    <r>
      <rPr>
        <sz val="11"/>
        <color theme="1"/>
        <rFont val="Calibri"/>
        <family val="2"/>
        <scheme val="minor"/>
      </rPr>
      <t xml:space="preserve">
4. Observe the system behavior.
5. Select a value from the </t>
    </r>
    <r>
      <rPr>
        <b/>
        <sz val="11"/>
        <color theme="1"/>
        <rFont val="Calibri"/>
        <family val="2"/>
        <scheme val="minor"/>
      </rPr>
      <t xml:space="preserve">Header dropdown.
6. </t>
    </r>
    <r>
      <rPr>
        <sz val="11"/>
        <color theme="1"/>
        <rFont val="Calibri"/>
        <family val="2"/>
        <scheme val="minor"/>
      </rPr>
      <t xml:space="preserve">Observe the values populated in the </t>
    </r>
    <r>
      <rPr>
        <b/>
        <sz val="11"/>
        <color theme="1"/>
        <rFont val="Calibri"/>
        <family val="2"/>
        <scheme val="minor"/>
      </rPr>
      <t>Sr No. dropdown.</t>
    </r>
    <r>
      <rPr>
        <sz val="11"/>
        <color theme="1"/>
        <rFont val="Calibri"/>
        <family val="2"/>
        <scheme val="minor"/>
      </rPr>
      <t xml:space="preserve">
7. Select a value from the</t>
    </r>
    <r>
      <rPr>
        <b/>
        <sz val="11"/>
        <color theme="1"/>
        <rFont val="Calibri"/>
        <family val="2"/>
        <scheme val="minor"/>
      </rPr>
      <t xml:space="preserve"> Sr No. dropdown.</t>
    </r>
    <r>
      <rPr>
        <sz val="11"/>
        <color theme="1"/>
        <rFont val="Calibri"/>
        <family val="2"/>
        <scheme val="minor"/>
      </rPr>
      <t xml:space="preserve">
8. Observe the records displayed in the grid.
9. Select a record from the grid.
10. Change the Header dropdown value.
11. Observe the Sr No. dropdown and grid behavior.</t>
    </r>
  </si>
  <si>
    <r>
      <t xml:space="preserve">1. The </t>
    </r>
    <r>
      <rPr>
        <b/>
        <sz val="11"/>
        <color theme="1"/>
        <rFont val="Calibri"/>
        <family val="2"/>
        <scheme val="minor"/>
      </rPr>
      <t>Sr No. dropdown does not allow selection when no Header value is selected.</t>
    </r>
    <r>
      <rPr>
        <sz val="11"/>
        <color theme="1"/>
        <rFont val="Calibri"/>
        <family val="2"/>
        <scheme val="minor"/>
      </rPr>
      <t xml:space="preserve">
2. The user is</t>
    </r>
    <r>
      <rPr>
        <b/>
        <sz val="11"/>
        <color theme="1"/>
        <rFont val="Calibri"/>
        <family val="2"/>
        <scheme val="minor"/>
      </rPr>
      <t xml:space="preserve"> not able to select any Sr No. value without selecting a Header dropdown value.</t>
    </r>
    <r>
      <rPr>
        <sz val="11"/>
        <color theme="1"/>
        <rFont val="Calibri"/>
        <family val="2"/>
        <scheme val="minor"/>
      </rPr>
      <t xml:space="preserve">
3. The user is able to select a </t>
    </r>
    <r>
      <rPr>
        <b/>
        <sz val="11"/>
        <color theme="1"/>
        <rFont val="Calibri"/>
        <family val="2"/>
        <scheme val="minor"/>
      </rPr>
      <t>Sr No. value only after selecting a Header value.</t>
    </r>
    <r>
      <rPr>
        <sz val="11"/>
        <color theme="1"/>
        <rFont val="Calibri"/>
        <family val="2"/>
        <scheme val="minor"/>
      </rPr>
      <t xml:space="preserve">
4. Based on the selected </t>
    </r>
    <r>
      <rPr>
        <b/>
        <sz val="11"/>
        <color theme="1"/>
        <rFont val="Calibri"/>
        <family val="2"/>
        <scheme val="minor"/>
      </rPr>
      <t>Sr No., the relevant records are displayed correctly in the grid.</t>
    </r>
    <r>
      <rPr>
        <sz val="11"/>
        <color theme="1"/>
        <rFont val="Calibri"/>
        <family val="2"/>
        <scheme val="minor"/>
      </rPr>
      <t xml:space="preserve">
Note: On clicking the Clear button, the Header dropdown resets to the default state, but the previously selected Header’s Sr No. values are still visible in the Sr No. dropdown instead of being cleared.</t>
    </r>
  </si>
  <si>
    <t>ROSL_DBK_04</t>
  </si>
  <si>
    <r>
      <t>Validate the functionality of</t>
    </r>
    <r>
      <rPr>
        <b/>
        <sz val="11"/>
        <color theme="1"/>
        <rFont val="Calibri"/>
        <family val="2"/>
        <scheme val="minor"/>
      </rPr>
      <t xml:space="preserve"> Header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</si>
  <si>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Masters -&gt; EDI Master -&gt; ROSL DBK</t>
    </r>
    <r>
      <rPr>
        <sz val="11"/>
        <rFont val="Calibri"/>
        <family val="2"/>
        <scheme val="minor"/>
      </rPr>
      <t xml:space="preserve">
2. Enter Valid &amp; Invalid Data in </t>
    </r>
    <r>
      <rPr>
        <b/>
        <sz val="11"/>
        <rFont val="Calibri"/>
        <family val="2"/>
        <scheme val="minor"/>
      </rPr>
      <t>Header</t>
    </r>
    <r>
      <rPr>
        <sz val="11"/>
        <rFont val="Calibri"/>
        <family val="2"/>
        <scheme val="minor"/>
      </rPr>
      <t xml:space="preserve"> textbox.
3. Observe the system behaviour.</t>
    </r>
  </si>
  <si>
    <r>
      <t xml:space="preserve">1. </t>
    </r>
    <r>
      <rPr>
        <b/>
        <sz val="11"/>
        <color theme="1"/>
        <rFont val="Calibri"/>
        <family val="2"/>
        <scheme val="minor"/>
      </rPr>
      <t>Header</t>
    </r>
    <r>
      <rPr>
        <sz val="11"/>
        <color theme="1"/>
        <rFont val="Calibri"/>
        <family val="2"/>
        <scheme val="minor"/>
      </rPr>
      <t xml:space="preserve"> textbox accepting Numeric values
2. Alphabetic value is blocked and in special character it is accepting decimal (.) and rest all value is blocked.
3. 3-character limit is correctly implemented.
</t>
    </r>
  </si>
  <si>
    <t>ROSL_DBK_05</t>
  </si>
  <si>
    <r>
      <t>Validate the functionality of</t>
    </r>
    <r>
      <rPr>
        <b/>
        <sz val="11"/>
        <color theme="1"/>
        <rFont val="Calibri"/>
        <family val="2"/>
        <scheme val="minor"/>
      </rPr>
      <t xml:space="preserve"> Sr.No.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</si>
  <si>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Sr.No.</t>
    </r>
    <r>
      <rPr>
        <sz val="11"/>
        <rFont val="Calibri"/>
        <family val="2"/>
        <scheme val="minor"/>
      </rPr>
      <t xml:space="preserve"> textobx.
3. Enter Valid &amp; Invalid Data in </t>
    </r>
    <r>
      <rPr>
        <b/>
        <sz val="11"/>
        <rFont val="Calibri"/>
        <family val="2"/>
        <scheme val="minor"/>
      </rPr>
      <t>Sr.No.</t>
    </r>
    <r>
      <rPr>
        <sz val="11"/>
        <rFont val="Calibri"/>
        <family val="2"/>
        <scheme val="minor"/>
      </rPr>
      <t xml:space="preserve"> textbox.
4. Observe the system behaviour.</t>
    </r>
  </si>
  <si>
    <r>
      <t xml:space="preserve">1. Functionality is not working as expected.
2. </t>
    </r>
    <r>
      <rPr>
        <b/>
        <sz val="11"/>
        <color theme="1"/>
        <rFont val="Calibri"/>
        <family val="2"/>
        <scheme val="minor"/>
      </rPr>
      <t>Sr.No.</t>
    </r>
    <r>
      <rPr>
        <sz val="11"/>
        <color theme="1"/>
        <rFont val="Calibri"/>
        <family val="2"/>
        <scheme val="minor"/>
      </rPr>
      <t xml:space="preserve"> textbox accepts all types of values.
3. 10-character limit is correctly implemented.</t>
    </r>
  </si>
  <si>
    <t>ROSL_DBK_06</t>
  </si>
  <si>
    <r>
      <t>Validate the functionality of</t>
    </r>
    <r>
      <rPr>
        <b/>
        <sz val="11"/>
        <color theme="1"/>
        <rFont val="Calibri"/>
        <family val="2"/>
        <scheme val="minor"/>
      </rPr>
      <t xml:space="preserve"> Drawback Flag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</si>
  <si>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Drawback Flag</t>
    </r>
    <r>
      <rPr>
        <sz val="11"/>
        <rFont val="Calibri"/>
        <family val="2"/>
        <scheme val="minor"/>
      </rPr>
      <t xml:space="preserve"> textobx.
3. Enter Valid &amp; Invalid Data in </t>
    </r>
    <r>
      <rPr>
        <b/>
        <sz val="11"/>
        <rFont val="Calibri"/>
        <family val="2"/>
        <scheme val="minor"/>
      </rPr>
      <t>Drawback Flag</t>
    </r>
    <r>
      <rPr>
        <sz val="11"/>
        <rFont val="Calibri"/>
        <family val="2"/>
        <scheme val="minor"/>
      </rPr>
      <t xml:space="preserve"> textbox.
4. Observe the system behaviour.</t>
    </r>
  </si>
  <si>
    <r>
      <t xml:space="preserve">1. As per the Use Case, </t>
    </r>
    <r>
      <rPr>
        <b/>
        <sz val="11"/>
        <rFont val="Calibri"/>
        <family val="2"/>
        <scheme val="minor"/>
      </rPr>
      <t xml:space="preserve">Drawback Flag </t>
    </r>
    <r>
      <rPr>
        <sz val="11"/>
        <rFont val="Calibri"/>
        <family val="2"/>
        <scheme val="minor"/>
      </rPr>
      <t xml:space="preserve">textbox should accept:
 -&gt; Numeric values only
2. </t>
    </r>
    <r>
      <rPr>
        <b/>
        <sz val="11"/>
        <rFont val="Calibri"/>
        <family val="2"/>
        <scheme val="minor"/>
      </rPr>
      <t xml:space="preserve">Drawback Flag </t>
    </r>
    <r>
      <rPr>
        <sz val="11"/>
        <rFont val="Calibri"/>
        <family val="2"/>
        <scheme val="minor"/>
      </rPr>
      <t xml:space="preserve">should not accept Alphabetic &amp; Special character values.
2. </t>
    </r>
    <r>
      <rPr>
        <b/>
        <sz val="11"/>
        <rFont val="Calibri"/>
        <family val="2"/>
        <scheme val="minor"/>
      </rPr>
      <t>Drawback Flag</t>
    </r>
    <r>
      <rPr>
        <sz val="11"/>
        <rFont val="Calibri"/>
        <family val="2"/>
        <scheme val="minor"/>
      </rPr>
      <t xml:space="preserve"> textbox length should be limited to 5 characters.</t>
    </r>
  </si>
  <si>
    <r>
      <t xml:space="preserve">1. </t>
    </r>
    <r>
      <rPr>
        <b/>
        <sz val="11"/>
        <color theme="1"/>
        <rFont val="Calibri"/>
        <family val="2"/>
        <scheme val="minor"/>
      </rPr>
      <t>Drawback Flag</t>
    </r>
    <r>
      <rPr>
        <sz val="11"/>
        <color theme="1"/>
        <rFont val="Calibri"/>
        <family val="2"/>
        <scheme val="minor"/>
      </rPr>
      <t xml:space="preserve"> textbox accepting Numeric values
2. Alphabetic value is blocked and in special character it is accepting decimal (.) and rest all value is blocked.
3. 5-character limit is correctly implemented.
</t>
    </r>
  </si>
  <si>
    <t>ROSL_DBK_07</t>
  </si>
  <si>
    <t>ROSL_DBK_08</t>
  </si>
  <si>
    <r>
      <t>Validate the functionality of</t>
    </r>
    <r>
      <rPr>
        <b/>
        <sz val="11"/>
        <color theme="1"/>
        <rFont val="Calibri"/>
        <family val="2"/>
        <scheme val="minor"/>
      </rPr>
      <t xml:space="preserve"> Rate Adv.(%)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</si>
  <si>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Adv.(%)</t>
    </r>
    <r>
      <rPr>
        <sz val="11"/>
        <rFont val="Calibri"/>
        <family val="2"/>
        <scheme val="minor"/>
      </rPr>
      <t xml:space="preserve"> textobx.
3. Enter Valid &amp; Invalid Data in </t>
    </r>
    <r>
      <rPr>
        <b/>
        <sz val="11"/>
        <rFont val="Calibri"/>
        <family val="2"/>
        <scheme val="minor"/>
      </rPr>
      <t>Rate Adv.(%)</t>
    </r>
    <r>
      <rPr>
        <sz val="11"/>
        <rFont val="Calibri"/>
        <family val="2"/>
        <scheme val="minor"/>
      </rPr>
      <t xml:space="preserve"> textbox.
4. Observe the system behaviour.</t>
    </r>
  </si>
  <si>
    <r>
      <t>Validate the functionality of</t>
    </r>
    <r>
      <rPr>
        <b/>
        <sz val="11"/>
        <color theme="1"/>
        <rFont val="Calibri"/>
        <family val="2"/>
        <scheme val="minor"/>
      </rPr>
      <t xml:space="preserve"> Valid Upto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</si>
  <si>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1. Navigate to</t>
    </r>
    <r>
      <rPr>
        <b/>
        <sz val="11"/>
        <color theme="1"/>
        <rFont val="Calibri"/>
        <family val="2"/>
        <scheme val="minor"/>
      </rPr>
      <t xml:space="preserve"> Masters -&gt; EDI Master -&gt; ROSL DBK</t>
    </r>
    <r>
      <rPr>
        <sz val="11"/>
        <color theme="1"/>
        <rFont val="Calibri"/>
        <family val="2"/>
        <scheme val="minor"/>
      </rPr>
      <t xml:space="preserve">
2. Locate the </t>
    </r>
    <r>
      <rPr>
        <b/>
        <sz val="11"/>
        <color theme="1"/>
        <rFont val="Calibri"/>
        <family val="2"/>
        <scheme val="minor"/>
      </rPr>
      <t>Valid Upto</t>
    </r>
    <r>
      <rPr>
        <sz val="11"/>
        <color theme="1"/>
        <rFont val="Calibri"/>
        <family val="2"/>
        <scheme val="minor"/>
      </rPr>
      <t xml:space="preserve"> textobx.
3. In the </t>
    </r>
    <r>
      <rPr>
        <b/>
        <sz val="11"/>
        <color theme="1"/>
        <rFont val="Calibri"/>
        <family val="2"/>
        <scheme val="minor"/>
      </rPr>
      <t>Valid Upto</t>
    </r>
    <r>
      <rPr>
        <sz val="11"/>
        <color theme="1"/>
        <rFont val="Calibri"/>
        <family val="2"/>
        <scheme val="minor"/>
      </rPr>
      <t xml:space="preserve"> textbox, try entering manual inputs.
3. Select  </t>
    </r>
    <r>
      <rPr>
        <b/>
        <sz val="11"/>
        <color theme="1"/>
        <rFont val="Calibri"/>
        <family val="2"/>
        <scheme val="minor"/>
      </rPr>
      <t>Valid Upto</t>
    </r>
    <r>
      <rPr>
        <sz val="11"/>
        <color theme="1"/>
        <rFont val="Calibri"/>
        <family val="2"/>
        <scheme val="minor"/>
      </rPr>
      <t xml:space="preserve"> from the calendar autosuggest
4. Observe the System behaviour while saving the record.</t>
    </r>
  </si>
  <si>
    <r>
      <t xml:space="preserve">1. Wrong Manual input should not be allowed in the </t>
    </r>
    <r>
      <rPr>
        <b/>
        <sz val="11"/>
        <color theme="1"/>
        <rFont val="Calibri"/>
        <family val="2"/>
        <scheme val="minor"/>
      </rPr>
      <t>Valid Upto</t>
    </r>
    <r>
      <rPr>
        <sz val="11"/>
        <color theme="1"/>
        <rFont val="Calibri"/>
        <family val="2"/>
        <scheme val="minor"/>
      </rPr>
      <t xml:space="preserve"> field.
2. User should be able to select the </t>
    </r>
    <r>
      <rPr>
        <b/>
        <sz val="11"/>
        <color theme="1"/>
        <rFont val="Calibri"/>
        <family val="2"/>
        <scheme val="minor"/>
      </rPr>
      <t>Valid Upto</t>
    </r>
    <r>
      <rPr>
        <sz val="11"/>
        <color theme="1"/>
        <rFont val="Calibri"/>
        <family val="2"/>
        <scheme val="minor"/>
      </rPr>
      <t xml:space="preserve"> only via the calendar autosuggest.
3. If an invalid date format is typed, the textbox should automatically clear or show a validation message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Valid Upto</t>
    </r>
    <r>
      <rPr>
        <sz val="11"/>
        <color theme="1"/>
        <rFont val="Calibri"/>
        <family val="2"/>
        <scheme val="minor"/>
      </rPr>
      <t xml:space="preserve"> textbox character limit should be maximum 10 characters</t>
    </r>
  </si>
  <si>
    <r>
      <t xml:space="preserve">1. </t>
    </r>
    <r>
      <rPr>
        <b/>
        <sz val="11"/>
        <color theme="1"/>
        <rFont val="Calibri"/>
        <family val="2"/>
        <scheme val="minor"/>
      </rPr>
      <t>Rate Adv.(%)</t>
    </r>
    <r>
      <rPr>
        <sz val="11"/>
        <color theme="1"/>
        <rFont val="Calibri"/>
        <family val="2"/>
        <scheme val="minor"/>
      </rPr>
      <t xml:space="preserve"> textbox should accept valid </t>
    </r>
    <r>
      <rPr>
        <b/>
        <sz val="11"/>
        <color theme="1"/>
        <rFont val="Calibri"/>
        <family val="2"/>
        <scheme val="minor"/>
      </rPr>
      <t>numeric and decimal values only.
2. Rate Adv.(%)</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Rate Adv.(%) </t>
    </r>
    <r>
      <rPr>
        <sz val="11"/>
        <color theme="1"/>
        <rFont val="Calibri"/>
        <family val="2"/>
        <scheme val="minor"/>
      </rPr>
      <t>textbox character limit should be maximum 5 characters</t>
    </r>
  </si>
  <si>
    <r>
      <t xml:space="preserve">1. </t>
    </r>
    <r>
      <rPr>
        <b/>
        <sz val="11"/>
        <color theme="1"/>
        <rFont val="Calibri"/>
        <family val="2"/>
        <scheme val="minor"/>
      </rPr>
      <t xml:space="preserve">Rate Adv.(%) </t>
    </r>
    <r>
      <rPr>
        <sz val="11"/>
        <color theme="1"/>
        <rFont val="Calibri"/>
        <family val="2"/>
        <scheme val="minor"/>
      </rPr>
      <t xml:space="preserve">textbox accepts valid numeric and decimal values.
2. </t>
    </r>
    <r>
      <rPr>
        <b/>
        <sz val="11"/>
        <color theme="1"/>
        <rFont val="Calibri"/>
        <family val="2"/>
        <scheme val="minor"/>
      </rPr>
      <t>Rate Adv.(%) textbox accepts the hyphen (-) character, which is not expected.</t>
    </r>
    <r>
      <rPr>
        <sz val="11"/>
        <color theme="1"/>
        <rFont val="Calibri"/>
        <family val="2"/>
        <scheme val="minor"/>
      </rPr>
      <t xml:space="preserve">
3. </t>
    </r>
    <r>
      <rPr>
        <b/>
        <sz val="11"/>
        <color theme="1"/>
        <rFont val="Calibri"/>
        <family val="2"/>
        <scheme val="minor"/>
      </rPr>
      <t>Rate Adv.(%)</t>
    </r>
    <r>
      <rPr>
        <sz val="11"/>
        <color theme="1"/>
        <rFont val="Calibri"/>
        <family val="2"/>
        <scheme val="minor"/>
      </rPr>
      <t xml:space="preserve">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</si>
  <si>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t>ROSL_DBK_09</t>
  </si>
  <si>
    <r>
      <t>Validate the functionality of</t>
    </r>
    <r>
      <rPr>
        <b/>
        <sz val="11"/>
        <color theme="1"/>
        <rFont val="Calibri"/>
        <family val="2"/>
        <scheme val="minor"/>
      </rPr>
      <t xml:space="preserve"> Rate Spec.(CAP)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</si>
  <si>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Rate Spec.(CAP)</t>
    </r>
    <r>
      <rPr>
        <sz val="11"/>
        <rFont val="Calibri"/>
        <family val="2"/>
        <scheme val="minor"/>
      </rPr>
      <t xml:space="preserve"> textobx.
3. Enter Valid &amp; Invalid Data in </t>
    </r>
    <r>
      <rPr>
        <b/>
        <sz val="11"/>
        <rFont val="Calibri"/>
        <family val="2"/>
        <scheme val="minor"/>
      </rPr>
      <t>Rate Spec.(CAP)</t>
    </r>
    <r>
      <rPr>
        <sz val="11"/>
        <rFont val="Calibri"/>
        <family val="2"/>
        <scheme val="minor"/>
      </rPr>
      <t xml:space="preserve"> textbox.
4. Observe the system behaviour.</t>
    </r>
  </si>
  <si>
    <r>
      <t xml:space="preserve">1. </t>
    </r>
    <r>
      <rPr>
        <b/>
        <sz val="11"/>
        <color theme="1"/>
        <rFont val="Calibri"/>
        <family val="2"/>
        <scheme val="minor"/>
      </rPr>
      <t>Rate Spec.(CAP)</t>
    </r>
    <r>
      <rPr>
        <sz val="11"/>
        <color theme="1"/>
        <rFont val="Calibri"/>
        <family val="2"/>
        <scheme val="minor"/>
      </rPr>
      <t xml:space="preserve"> textbox should accept valid </t>
    </r>
    <r>
      <rPr>
        <b/>
        <sz val="11"/>
        <color theme="1"/>
        <rFont val="Calibri"/>
        <family val="2"/>
        <scheme val="minor"/>
      </rPr>
      <t>numeric and decimal values only.
2. Rate Spec.(CAP)</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Rate Spec.(CAP) </t>
    </r>
    <r>
      <rPr>
        <sz val="11"/>
        <color theme="1"/>
        <rFont val="Calibri"/>
        <family val="2"/>
        <scheme val="minor"/>
      </rPr>
      <t>textbox character limit should be maximum 6 characters</t>
    </r>
  </si>
  <si>
    <r>
      <t xml:space="preserve">1. </t>
    </r>
    <r>
      <rPr>
        <b/>
        <sz val="11"/>
        <color theme="1"/>
        <rFont val="Calibri"/>
        <family val="2"/>
        <scheme val="minor"/>
      </rPr>
      <t xml:space="preserve">Rate Spec.(CAP) </t>
    </r>
    <r>
      <rPr>
        <sz val="11"/>
        <color theme="1"/>
        <rFont val="Calibri"/>
        <family val="2"/>
        <scheme val="minor"/>
      </rPr>
      <t xml:space="preserve">textbox accepts valid numeric and decimal values.
2. </t>
    </r>
    <r>
      <rPr>
        <b/>
        <sz val="11"/>
        <color theme="1"/>
        <rFont val="Calibri"/>
        <family val="2"/>
        <scheme val="minor"/>
      </rPr>
      <t>Rate Spec.(CAP) textbox accepts the hyphen (-) character, which is not expected.</t>
    </r>
    <r>
      <rPr>
        <sz val="11"/>
        <color theme="1"/>
        <rFont val="Calibri"/>
        <family val="2"/>
        <scheme val="minor"/>
      </rPr>
      <t xml:space="preserve">
3. </t>
    </r>
    <r>
      <rPr>
        <b/>
        <sz val="11"/>
        <color theme="1"/>
        <rFont val="Calibri"/>
        <family val="2"/>
        <scheme val="minor"/>
      </rPr>
      <t>Rate Spec.(CAP)</t>
    </r>
    <r>
      <rPr>
        <sz val="11"/>
        <color theme="1"/>
        <rFont val="Calibri"/>
        <family val="2"/>
        <scheme val="minor"/>
      </rPr>
      <t xml:space="preserve">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</si>
  <si>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r>
      <t xml:space="preserve">Textbox - </t>
    </r>
    <r>
      <rPr>
        <b/>
        <sz val="11"/>
        <color theme="1"/>
        <rFont val="Calibri"/>
        <family val="2"/>
        <scheme val="minor"/>
      </rPr>
      <t>Valid Upto
Manual Inputs:</t>
    </r>
    <r>
      <rPr>
        <sz val="11"/>
        <color theme="1"/>
        <rFont val="Calibri"/>
        <family val="2"/>
        <scheme val="minor"/>
      </rPr>
      <t xml:space="preserve">
 -&gt; 1234567890
 -&gt; 6346374230
</t>
    </r>
    <r>
      <rPr>
        <b/>
        <sz val="11"/>
        <color theme="1"/>
        <rFont val="Calibri"/>
        <family val="2"/>
        <scheme val="minor"/>
      </rPr>
      <t>Autosuggest Value:</t>
    </r>
    <r>
      <rPr>
        <sz val="11"/>
        <color theme="1"/>
        <rFont val="Calibri"/>
        <family val="2"/>
        <scheme val="minor"/>
      </rPr>
      <t xml:space="preserve">
 -&gt; 12/02/2026</t>
    </r>
  </si>
  <si>
    <t>ROSL_DBK_10</t>
  </si>
  <si>
    <r>
      <t>Validate the functionality of</t>
    </r>
    <r>
      <rPr>
        <b/>
        <sz val="11"/>
        <color theme="1"/>
        <rFont val="Calibri"/>
        <family val="2"/>
        <scheme val="minor"/>
      </rPr>
      <t xml:space="preserve"> Effective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</si>
  <si>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1. Navigate to</t>
    </r>
    <r>
      <rPr>
        <b/>
        <sz val="11"/>
        <color theme="1"/>
        <rFont val="Calibri"/>
        <family val="2"/>
        <scheme val="minor"/>
      </rPr>
      <t xml:space="preserve"> Masters -&gt; EDI Master -&gt; ROSL DBK</t>
    </r>
    <r>
      <rPr>
        <sz val="11"/>
        <color theme="1"/>
        <rFont val="Calibri"/>
        <family val="2"/>
        <scheme val="minor"/>
      </rPr>
      <t xml:space="preserve">
2. Locate the </t>
    </r>
    <r>
      <rPr>
        <b/>
        <sz val="11"/>
        <color theme="1"/>
        <rFont val="Calibri"/>
        <family val="2"/>
        <scheme val="minor"/>
      </rPr>
      <t>Effective Date</t>
    </r>
    <r>
      <rPr>
        <sz val="11"/>
        <color theme="1"/>
        <rFont val="Calibri"/>
        <family val="2"/>
        <scheme val="minor"/>
      </rPr>
      <t xml:space="preserve"> textobx.
3. In the </t>
    </r>
    <r>
      <rPr>
        <b/>
        <sz val="11"/>
        <color theme="1"/>
        <rFont val="Calibri"/>
        <family val="2"/>
        <scheme val="minor"/>
      </rPr>
      <t>Effective Date</t>
    </r>
    <r>
      <rPr>
        <sz val="11"/>
        <color theme="1"/>
        <rFont val="Calibri"/>
        <family val="2"/>
        <scheme val="minor"/>
      </rPr>
      <t xml:space="preserve"> textbox, try entering manual inputs.
3. Select  </t>
    </r>
    <r>
      <rPr>
        <b/>
        <sz val="11"/>
        <color theme="1"/>
        <rFont val="Calibri"/>
        <family val="2"/>
        <scheme val="minor"/>
      </rPr>
      <t>Effective Date</t>
    </r>
    <r>
      <rPr>
        <sz val="11"/>
        <color theme="1"/>
        <rFont val="Calibri"/>
        <family val="2"/>
        <scheme val="minor"/>
      </rPr>
      <t xml:space="preserve"> from the calendar autosuggest
4. Observe the System behaviour while saving the record.</t>
    </r>
  </si>
  <si>
    <r>
      <t xml:space="preserve">Textbox - </t>
    </r>
    <r>
      <rPr>
        <b/>
        <sz val="11"/>
        <color theme="1"/>
        <rFont val="Calibri"/>
        <family val="2"/>
        <scheme val="minor"/>
      </rPr>
      <t>Effective Date
Manual Inputs:</t>
    </r>
    <r>
      <rPr>
        <sz val="11"/>
        <color theme="1"/>
        <rFont val="Calibri"/>
        <family val="2"/>
        <scheme val="minor"/>
      </rPr>
      <t xml:space="preserve">
 -&gt; 1234567890
 -&gt; 6346374230
</t>
    </r>
    <r>
      <rPr>
        <b/>
        <sz val="11"/>
        <color theme="1"/>
        <rFont val="Calibri"/>
        <family val="2"/>
        <scheme val="minor"/>
      </rPr>
      <t>Autosuggest Value:</t>
    </r>
    <r>
      <rPr>
        <sz val="11"/>
        <color theme="1"/>
        <rFont val="Calibri"/>
        <family val="2"/>
        <scheme val="minor"/>
      </rPr>
      <t xml:space="preserve">
 -&gt; 12/02/2026</t>
    </r>
  </si>
  <si>
    <r>
      <t xml:space="preserve">1. Wrong Manual input should not be allowed in the </t>
    </r>
    <r>
      <rPr>
        <b/>
        <sz val="11"/>
        <color theme="1"/>
        <rFont val="Calibri"/>
        <family val="2"/>
        <scheme val="minor"/>
      </rPr>
      <t>Effective Date</t>
    </r>
    <r>
      <rPr>
        <sz val="11"/>
        <color theme="1"/>
        <rFont val="Calibri"/>
        <family val="2"/>
        <scheme val="minor"/>
      </rPr>
      <t xml:space="preserve"> field.
2. User should be able to select the </t>
    </r>
    <r>
      <rPr>
        <b/>
        <sz val="11"/>
        <color theme="1"/>
        <rFont val="Calibri"/>
        <family val="2"/>
        <scheme val="minor"/>
      </rPr>
      <t>Effective Date</t>
    </r>
    <r>
      <rPr>
        <sz val="11"/>
        <color theme="1"/>
        <rFont val="Calibri"/>
        <family val="2"/>
        <scheme val="minor"/>
      </rPr>
      <t xml:space="preserve"> only via the calendar autosuggest.
3. If an invalid date format is typed, the textbox should automatically clear or show a validation message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Effective Date</t>
    </r>
    <r>
      <rPr>
        <sz val="11"/>
        <color theme="1"/>
        <rFont val="Calibri"/>
        <family val="2"/>
        <scheme val="minor"/>
      </rPr>
      <t xml:space="preserve"> textbox character limit should be maximum 10 characters</t>
    </r>
  </si>
  <si>
    <t>ROSL_DBK_11</t>
  </si>
  <si>
    <r>
      <t>Validate the functionality of</t>
    </r>
    <r>
      <rPr>
        <b/>
        <sz val="11"/>
        <color theme="1"/>
        <rFont val="Calibri"/>
        <family val="2"/>
        <scheme val="minor"/>
      </rPr>
      <t xml:space="preserve"> Unit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</si>
  <si>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 xml:space="preserve">Masters → EDI Master → ROSL DBK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Unit </t>
    </r>
    <r>
      <rPr>
        <sz val="11"/>
        <color theme="1"/>
        <rFont val="Calibri"/>
        <family val="2"/>
        <scheme val="minor"/>
      </rPr>
      <t xml:space="preserve">textbox.
3. Try entering manual inputs
4. Trigger the autosuggest list by entering the % symbol.
5. Select a valid </t>
    </r>
    <r>
      <rPr>
        <b/>
        <sz val="11"/>
        <color theme="1"/>
        <rFont val="Calibri"/>
        <family val="2"/>
        <scheme val="minor"/>
      </rPr>
      <t>Unit</t>
    </r>
    <r>
      <rPr>
        <sz val="11"/>
        <color theme="1"/>
        <rFont val="Calibri"/>
        <family val="2"/>
        <scheme val="minor"/>
      </rPr>
      <t xml:space="preserve"> value from the autosuggest list 
6.Observe the system behavior.</t>
    </r>
  </si>
  <si>
    <r>
      <t xml:space="preserve">Textbox - </t>
    </r>
    <r>
      <rPr>
        <b/>
        <sz val="11"/>
        <color theme="1"/>
        <rFont val="Calibri"/>
        <family val="2"/>
        <scheme val="minor"/>
      </rPr>
      <t>Unit
Manual Inputs:</t>
    </r>
    <r>
      <rPr>
        <sz val="11"/>
        <color theme="1"/>
        <rFont val="Calibri"/>
        <family val="2"/>
        <scheme val="minor"/>
      </rPr>
      <t xml:space="preserve">
Space, special characters, numeric values, alphabets
</t>
    </r>
    <r>
      <rPr>
        <b/>
        <sz val="11"/>
        <color theme="1"/>
        <rFont val="Calibri"/>
        <family val="2"/>
        <scheme val="minor"/>
      </rPr>
      <t>Autosuggest Inputs:</t>
    </r>
    <r>
      <rPr>
        <sz val="11"/>
        <color theme="1"/>
        <rFont val="Calibri"/>
        <family val="2"/>
        <scheme val="minor"/>
      </rPr>
      <t xml:space="preserve">
 -&gt; BLK, BLO UNT etc.</t>
    </r>
  </si>
  <si>
    <r>
      <t xml:space="preserve">1. The </t>
    </r>
    <r>
      <rPr>
        <b/>
        <sz val="11"/>
        <color theme="1"/>
        <rFont val="Calibri"/>
        <family val="2"/>
        <scheme val="minor"/>
      </rPr>
      <t>Unit</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</si>
  <si>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r>
      <t xml:space="preserve">The </t>
    </r>
    <r>
      <rPr>
        <b/>
        <sz val="11"/>
        <color theme="1"/>
        <rFont val="Calibri"/>
        <family val="2"/>
        <scheme val="minor"/>
      </rPr>
      <t>Unit</t>
    </r>
    <r>
      <rPr>
        <sz val="11"/>
        <color theme="1"/>
        <rFont val="Calibri"/>
        <family val="2"/>
        <scheme val="minor"/>
      </rPr>
      <t xml:space="preserve"> textbox is functioning as expected.</t>
    </r>
  </si>
  <si>
    <t>ROSL_DBK_12</t>
  </si>
  <si>
    <t>Created / Updated</t>
  </si>
  <si>
    <r>
      <t>Validate the functionality of</t>
    </r>
    <r>
      <rPr>
        <b/>
        <sz val="11"/>
        <color theme="1"/>
        <rFont val="Calibri"/>
        <family val="2"/>
        <scheme val="minor"/>
      </rPr>
      <t xml:space="preserve"> Qty.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</si>
  <si>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Qty.</t>
    </r>
    <r>
      <rPr>
        <sz val="11"/>
        <rFont val="Calibri"/>
        <family val="2"/>
        <scheme val="minor"/>
      </rPr>
      <t xml:space="preserve"> textobx.
3. Enter Valid &amp; Invalid Data in </t>
    </r>
    <r>
      <rPr>
        <b/>
        <sz val="11"/>
        <rFont val="Calibri"/>
        <family val="2"/>
        <scheme val="minor"/>
      </rPr>
      <t>Qty.</t>
    </r>
    <r>
      <rPr>
        <sz val="11"/>
        <rFont val="Calibri"/>
        <family val="2"/>
        <scheme val="minor"/>
      </rPr>
      <t xml:space="preserve"> textbox.
4. Observe the system behaviour.</t>
    </r>
  </si>
  <si>
    <r>
      <t xml:space="preserve">1. </t>
    </r>
    <r>
      <rPr>
        <b/>
        <sz val="11"/>
        <color theme="1"/>
        <rFont val="Calibri"/>
        <family val="2"/>
        <scheme val="minor"/>
      </rPr>
      <t>Qty.</t>
    </r>
    <r>
      <rPr>
        <sz val="11"/>
        <color theme="1"/>
        <rFont val="Calibri"/>
        <family val="2"/>
        <scheme val="minor"/>
      </rPr>
      <t xml:space="preserve"> textbox should accept valid </t>
    </r>
    <r>
      <rPr>
        <b/>
        <sz val="11"/>
        <color theme="1"/>
        <rFont val="Calibri"/>
        <family val="2"/>
        <scheme val="minor"/>
      </rPr>
      <t>numeric and decimal values only.
2. Qty.</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Qty. </t>
    </r>
    <r>
      <rPr>
        <sz val="11"/>
        <color theme="1"/>
        <rFont val="Calibri"/>
        <family val="2"/>
        <scheme val="minor"/>
      </rPr>
      <t>textbox character limit should be maximum 3 characters</t>
    </r>
  </si>
  <si>
    <r>
      <t xml:space="preserve">1. </t>
    </r>
    <r>
      <rPr>
        <b/>
        <sz val="11"/>
        <color theme="1"/>
        <rFont val="Calibri"/>
        <family val="2"/>
        <scheme val="minor"/>
      </rPr>
      <t xml:space="preserve">Qty. </t>
    </r>
    <r>
      <rPr>
        <sz val="11"/>
        <color theme="1"/>
        <rFont val="Calibri"/>
        <family val="2"/>
        <scheme val="minor"/>
      </rPr>
      <t>textbox accepts valid numeric and decimal values.
2. Qty. textbox is not accepts invalid values.
3. 3-character limit is correctly implemented</t>
    </r>
  </si>
  <si>
    <t>ROSL_DBK_13</t>
  </si>
  <si>
    <r>
      <t>Validate the functionality of</t>
    </r>
    <r>
      <rPr>
        <b/>
        <sz val="11"/>
        <color theme="1"/>
        <rFont val="Calibri"/>
        <family val="2"/>
        <scheme val="minor"/>
      </rPr>
      <t xml:space="preserve"> Max Rate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</si>
  <si>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Max Rate</t>
    </r>
    <r>
      <rPr>
        <sz val="11"/>
        <rFont val="Calibri"/>
        <family val="2"/>
        <scheme val="minor"/>
      </rPr>
      <t xml:space="preserve"> textobx.
3. Enter Valid &amp; Invalid Data in </t>
    </r>
    <r>
      <rPr>
        <b/>
        <sz val="11"/>
        <rFont val="Calibri"/>
        <family val="2"/>
        <scheme val="minor"/>
      </rPr>
      <t>Max Rate</t>
    </r>
    <r>
      <rPr>
        <sz val="11"/>
        <rFont val="Calibri"/>
        <family val="2"/>
        <scheme val="minor"/>
      </rPr>
      <t xml:space="preserve"> textbox.
4. Observe the system behaviour.</t>
    </r>
  </si>
  <si>
    <r>
      <t xml:space="preserve">1. </t>
    </r>
    <r>
      <rPr>
        <b/>
        <sz val="11"/>
        <color theme="1"/>
        <rFont val="Calibri"/>
        <family val="2"/>
        <scheme val="minor"/>
      </rPr>
      <t>Max Rate</t>
    </r>
    <r>
      <rPr>
        <sz val="11"/>
        <color theme="1"/>
        <rFont val="Calibri"/>
        <family val="2"/>
        <scheme val="minor"/>
      </rPr>
      <t xml:space="preserve"> textbox should accept valid </t>
    </r>
    <r>
      <rPr>
        <b/>
        <sz val="11"/>
        <color theme="1"/>
        <rFont val="Calibri"/>
        <family val="2"/>
        <scheme val="minor"/>
      </rPr>
      <t>numeric and decimal values only.
2. Max Rate</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Max Rate </t>
    </r>
    <r>
      <rPr>
        <sz val="11"/>
        <color theme="1"/>
        <rFont val="Calibri"/>
        <family val="2"/>
        <scheme val="minor"/>
      </rPr>
      <t>textbox character limit should be maximum 6 characters</t>
    </r>
  </si>
  <si>
    <r>
      <t xml:space="preserve">1. </t>
    </r>
    <r>
      <rPr>
        <b/>
        <sz val="11"/>
        <color theme="1"/>
        <rFont val="Calibri"/>
        <family val="2"/>
        <scheme val="minor"/>
      </rPr>
      <t xml:space="preserve">Max Rate </t>
    </r>
    <r>
      <rPr>
        <sz val="11"/>
        <color theme="1"/>
        <rFont val="Calibri"/>
        <family val="2"/>
        <scheme val="minor"/>
      </rPr>
      <t xml:space="preserve">textbox accepts valid numeric and decimal values.
2. </t>
    </r>
    <r>
      <rPr>
        <b/>
        <sz val="11"/>
        <color theme="1"/>
        <rFont val="Calibri"/>
        <family val="2"/>
        <scheme val="minor"/>
      </rPr>
      <t>Max Rate textbox accepts the hyphen (-) character, which is not expected.</t>
    </r>
    <r>
      <rPr>
        <sz val="11"/>
        <color theme="1"/>
        <rFont val="Calibri"/>
        <family val="2"/>
        <scheme val="minor"/>
      </rPr>
      <t xml:space="preserve">
3. </t>
    </r>
    <r>
      <rPr>
        <b/>
        <sz val="11"/>
        <color theme="1"/>
        <rFont val="Calibri"/>
        <family val="2"/>
        <scheme val="minor"/>
      </rPr>
      <t>Max Rate</t>
    </r>
    <r>
      <rPr>
        <sz val="11"/>
        <color theme="1"/>
        <rFont val="Calibri"/>
        <family val="2"/>
        <scheme val="minor"/>
      </rPr>
      <t xml:space="preserve">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</si>
  <si>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t>ROSL_DBK_14</t>
  </si>
  <si>
    <r>
      <t>Validate the functionality of</t>
    </r>
    <r>
      <rPr>
        <b/>
        <sz val="11"/>
        <color theme="1"/>
        <rFont val="Calibri"/>
        <family val="2"/>
        <scheme val="minor"/>
      </rPr>
      <t xml:space="preserve"> Excise Rate(CAP)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</si>
  <si>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Excise Rate(CAP)</t>
    </r>
    <r>
      <rPr>
        <sz val="11"/>
        <rFont val="Calibri"/>
        <family val="2"/>
        <scheme val="minor"/>
      </rPr>
      <t xml:space="preserve"> textobx.
3. Enter Valid &amp; Invalid Data in </t>
    </r>
    <r>
      <rPr>
        <b/>
        <sz val="11"/>
        <rFont val="Calibri"/>
        <family val="2"/>
        <scheme val="minor"/>
      </rPr>
      <t>Excise Rate(CAP)</t>
    </r>
    <r>
      <rPr>
        <sz val="11"/>
        <rFont val="Calibri"/>
        <family val="2"/>
        <scheme val="minor"/>
      </rPr>
      <t xml:space="preserve"> textbox.
4. Observe the system behaviour.</t>
    </r>
  </si>
  <si>
    <r>
      <t xml:space="preserve">1. </t>
    </r>
    <r>
      <rPr>
        <b/>
        <sz val="11"/>
        <color theme="1"/>
        <rFont val="Calibri"/>
        <family val="2"/>
        <scheme val="minor"/>
      </rPr>
      <t>Excise Rate(CAP)</t>
    </r>
    <r>
      <rPr>
        <sz val="11"/>
        <color theme="1"/>
        <rFont val="Calibri"/>
        <family val="2"/>
        <scheme val="minor"/>
      </rPr>
      <t xml:space="preserve"> textbox should accept valid </t>
    </r>
    <r>
      <rPr>
        <b/>
        <sz val="11"/>
        <color theme="1"/>
        <rFont val="Calibri"/>
        <family val="2"/>
        <scheme val="minor"/>
      </rPr>
      <t>numeric and decimal values only.
2. Excise Rate(CAP)</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Excise Rate(CAP) </t>
    </r>
    <r>
      <rPr>
        <sz val="11"/>
        <color theme="1"/>
        <rFont val="Calibri"/>
        <family val="2"/>
        <scheme val="minor"/>
      </rPr>
      <t>textbox character limit should be maximum 6 characters</t>
    </r>
  </si>
  <si>
    <r>
      <t xml:space="preserve">1. </t>
    </r>
    <r>
      <rPr>
        <b/>
        <sz val="11"/>
        <color theme="1"/>
        <rFont val="Calibri"/>
        <family val="2"/>
        <scheme val="minor"/>
      </rPr>
      <t xml:space="preserve">Excise Rate(CAP) </t>
    </r>
    <r>
      <rPr>
        <sz val="11"/>
        <color theme="1"/>
        <rFont val="Calibri"/>
        <family val="2"/>
        <scheme val="minor"/>
      </rPr>
      <t xml:space="preserve">textbox accepts valid numeric and decimal values.
2. </t>
    </r>
    <r>
      <rPr>
        <b/>
        <sz val="11"/>
        <color theme="1"/>
        <rFont val="Calibri"/>
        <family val="2"/>
        <scheme val="minor"/>
      </rPr>
      <t>Excise Rate(CAP) textbox accepts the hyphen (-) character, which is not expected.</t>
    </r>
    <r>
      <rPr>
        <sz val="11"/>
        <color theme="1"/>
        <rFont val="Calibri"/>
        <family val="2"/>
        <scheme val="minor"/>
      </rPr>
      <t xml:space="preserve">
3. </t>
    </r>
    <r>
      <rPr>
        <b/>
        <sz val="11"/>
        <color theme="1"/>
        <rFont val="Calibri"/>
        <family val="2"/>
        <scheme val="minor"/>
      </rPr>
      <t>Excise Rate(CAP)</t>
    </r>
    <r>
      <rPr>
        <sz val="11"/>
        <color theme="1"/>
        <rFont val="Calibri"/>
        <family val="2"/>
        <scheme val="minor"/>
      </rPr>
      <t xml:space="preserve">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</si>
  <si>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t>ROSL_DBK_15</t>
  </si>
  <si>
    <r>
      <t>Validate the functionality of</t>
    </r>
    <r>
      <rPr>
        <b/>
        <sz val="11"/>
        <color theme="1"/>
        <rFont val="Calibri"/>
        <family val="2"/>
        <scheme val="minor"/>
      </rPr>
      <t xml:space="preserve"> Custom Rate(%)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</si>
  <si>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Custom Rate(%)</t>
    </r>
    <r>
      <rPr>
        <sz val="11"/>
        <rFont val="Calibri"/>
        <family val="2"/>
        <scheme val="minor"/>
      </rPr>
      <t xml:space="preserve"> textobx.
3. Enter Valid &amp; Invalid Data in </t>
    </r>
    <r>
      <rPr>
        <b/>
        <sz val="11"/>
        <rFont val="Calibri"/>
        <family val="2"/>
        <scheme val="minor"/>
      </rPr>
      <t>Custom Rate(%)</t>
    </r>
    <r>
      <rPr>
        <sz val="11"/>
        <rFont val="Calibri"/>
        <family val="2"/>
        <scheme val="minor"/>
      </rPr>
      <t xml:space="preserve"> textbox.
4. Observe the system behaviour.</t>
    </r>
  </si>
  <si>
    <r>
      <t xml:space="preserve">1. </t>
    </r>
    <r>
      <rPr>
        <b/>
        <sz val="11"/>
        <color theme="1"/>
        <rFont val="Calibri"/>
        <family val="2"/>
        <scheme val="minor"/>
      </rPr>
      <t>Custom Rate(%)</t>
    </r>
    <r>
      <rPr>
        <sz val="11"/>
        <color theme="1"/>
        <rFont val="Calibri"/>
        <family val="2"/>
        <scheme val="minor"/>
      </rPr>
      <t xml:space="preserve"> textbox should accept valid </t>
    </r>
    <r>
      <rPr>
        <b/>
        <sz val="11"/>
        <color theme="1"/>
        <rFont val="Calibri"/>
        <family val="2"/>
        <scheme val="minor"/>
      </rPr>
      <t>numeric and decimal values only.
2. Custom Rate(%)</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Custom Rate(%) </t>
    </r>
    <r>
      <rPr>
        <sz val="11"/>
        <color theme="1"/>
        <rFont val="Calibri"/>
        <family val="2"/>
        <scheme val="minor"/>
      </rPr>
      <t>textbox character limit should be maximum 6 characters</t>
    </r>
  </si>
  <si>
    <r>
      <t xml:space="preserve">1. </t>
    </r>
    <r>
      <rPr>
        <b/>
        <sz val="11"/>
        <color theme="1"/>
        <rFont val="Calibri"/>
        <family val="2"/>
        <scheme val="minor"/>
      </rPr>
      <t xml:space="preserve">Custom Rate(%) </t>
    </r>
    <r>
      <rPr>
        <sz val="11"/>
        <color theme="1"/>
        <rFont val="Calibri"/>
        <family val="2"/>
        <scheme val="minor"/>
      </rPr>
      <t xml:space="preserve">textbox accepts valid numeric and decimal values.
2. </t>
    </r>
    <r>
      <rPr>
        <b/>
        <sz val="11"/>
        <color theme="1"/>
        <rFont val="Calibri"/>
        <family val="2"/>
        <scheme val="minor"/>
      </rPr>
      <t>Custom Rate(%) textbox accepts the hyphen (-) character, which is not expected.</t>
    </r>
    <r>
      <rPr>
        <sz val="11"/>
        <color theme="1"/>
        <rFont val="Calibri"/>
        <family val="2"/>
        <scheme val="minor"/>
      </rPr>
      <t xml:space="preserve">
3. </t>
    </r>
    <r>
      <rPr>
        <b/>
        <sz val="11"/>
        <color theme="1"/>
        <rFont val="Calibri"/>
        <family val="2"/>
        <scheme val="minor"/>
      </rPr>
      <t>Custom Rate(%)</t>
    </r>
    <r>
      <rPr>
        <sz val="11"/>
        <color theme="1"/>
        <rFont val="Calibri"/>
        <family val="2"/>
        <scheme val="minor"/>
      </rPr>
      <t xml:space="preserve"> textbox length validation:
 -&gt; Without Decimal: 6 character 
 -&gt; With decimal: Maximum 9 characters (after decimal: maximum 3 digits).
</t>
    </r>
    <r>
      <rPr>
        <b/>
        <sz val="11"/>
        <color theme="1"/>
        <rFont val="Calibri"/>
        <family val="2"/>
        <scheme val="minor"/>
      </rPr>
      <t xml:space="preserve">
Note: Hyphen(-) need to be blocked. It should not accepted.</t>
    </r>
  </si>
  <si>
    <t>ROSL_DBK_16</t>
  </si>
  <si>
    <r>
      <t>Validate the functionality of</t>
    </r>
    <r>
      <rPr>
        <b/>
        <sz val="11"/>
        <color theme="1"/>
        <rFont val="Calibri"/>
        <family val="2"/>
        <scheme val="minor"/>
      </rPr>
      <t xml:space="preserve"> Description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</si>
  <si>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Description</t>
    </r>
    <r>
      <rPr>
        <sz val="11"/>
        <rFont val="Calibri"/>
        <family val="2"/>
        <scheme val="minor"/>
      </rPr>
      <t xml:space="preserve"> textobx.
3. Enter Valid &amp; Invalid Data in </t>
    </r>
    <r>
      <rPr>
        <b/>
        <sz val="11"/>
        <rFont val="Calibri"/>
        <family val="2"/>
        <scheme val="minor"/>
      </rPr>
      <t>Description</t>
    </r>
    <r>
      <rPr>
        <sz val="11"/>
        <rFont val="Calibri"/>
        <family val="2"/>
        <scheme val="minor"/>
      </rPr>
      <t xml:space="preserve"> textbox.
4. Observe the system behaviour.</t>
    </r>
  </si>
  <si>
    <t>ROSL_DBK_17</t>
  </si>
  <si>
    <r>
      <t xml:space="preserve">Validate the functionality of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</si>
  <si>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Enter valid data in all fields (mandatory and non-mandatory).
3. Click on the Save button.
4. Observe the system behavior.
</t>
    </r>
  </si>
  <si>
    <r>
      <t xml:space="preserve">1. When all mandatory and non-mandatory fields are filled with valid data and the Save button is clicked, the record is not saving.
</t>
    </r>
    <r>
      <rPr>
        <b/>
        <sz val="11"/>
        <color theme="1"/>
        <rFont val="Calibri"/>
        <family val="2"/>
        <scheme val="minor"/>
      </rPr>
      <t>2. A generic validation message is displayed across all textboxes: - Please Enter a Valid Value!!!</t>
    </r>
    <r>
      <rPr>
        <sz val="11"/>
        <color theme="1"/>
        <rFont val="Calibri"/>
        <family val="2"/>
        <scheme val="minor"/>
      </rPr>
      <t xml:space="preserve">
 -&gt; Due to this generic message, the user is unable to identify which specific textbox has an invalid value.
 -&gt; Validation messages should be displayed at the respective textbox level to clearly indicate the incorrect field.</t>
    </r>
  </si>
  <si>
    <t>ROSL_DBK_18</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</si>
  <si>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ROSL DBK</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</si>
  <si>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</si>
  <si>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r>
      <t xml:space="preserve">1. When all mandatory fields are filled with valid data and the Save button is clicked, the record is not saving.
</t>
    </r>
    <r>
      <rPr>
        <b/>
        <sz val="11"/>
        <color theme="1"/>
        <rFont val="Calibri"/>
        <family val="2"/>
        <scheme val="minor"/>
      </rPr>
      <t>2. A generic validation message is displayed across all textboxes: - Please Enter a Valid Value!!!</t>
    </r>
    <r>
      <rPr>
        <sz val="11"/>
        <color theme="1"/>
        <rFont val="Calibri"/>
        <family val="2"/>
        <scheme val="minor"/>
      </rPr>
      <t xml:space="preserve">
 -&gt; Due to this generic message, the user is unable to identify which specific textbox has an invalid value.</t>
    </r>
  </si>
  <si>
    <t>ROSL_DBK_19</t>
  </si>
  <si>
    <r>
      <t xml:space="preserve">Validate the functionality of </t>
    </r>
    <r>
      <rPr>
        <b/>
        <sz val="11"/>
        <color theme="1"/>
        <rFont val="Calibri"/>
        <family val="2"/>
        <scheme val="minor"/>
      </rPr>
      <t>Save</t>
    </r>
    <r>
      <rPr>
        <sz val="11"/>
        <color theme="1"/>
        <rFont val="Calibri"/>
        <family val="2"/>
        <scheme val="minor"/>
      </rPr>
      <t xml:space="preserve"> button When only  Non-Mandatory are filled and Mandatory fields are left blank in the </t>
    </r>
    <r>
      <rPr>
        <b/>
        <sz val="11"/>
        <color theme="1"/>
        <rFont val="Calibri"/>
        <family val="2"/>
        <scheme val="minor"/>
      </rPr>
      <t>ROSL DBK</t>
    </r>
    <r>
      <rPr>
        <sz val="11"/>
        <color theme="1"/>
        <rFont val="Calibri"/>
        <family val="2"/>
        <scheme val="minor"/>
      </rPr>
      <t xml:space="preserve"> page.</t>
    </r>
  </si>
  <si>
    <r>
      <rPr>
        <b/>
        <sz val="11"/>
        <color theme="1"/>
        <rFont val="Calibri"/>
        <family val="2"/>
        <scheme val="minor"/>
      </rPr>
      <t>Non- Mandatory Fields As per the UI:</t>
    </r>
    <r>
      <rPr>
        <sz val="11"/>
        <color theme="1"/>
        <rFont val="Calibri"/>
        <family val="2"/>
        <scheme val="minor"/>
      </rPr>
      <t xml:space="preserve">
 -&gt; Drawback Flag
 -&gt; Valid Upto
 -&gt; Rate Adv.(%)
 -&gt; Rate Spec.(CAP)
 -&gt; Effective Date
 -&gt; Unit
 -&gt; Qty.
 -&gt; Max Rate
 -&gt; Excise Rate(CAP)
 -&gt; Custom Rate(%)
 -&gt; Description</t>
    </r>
  </si>
  <si>
    <r>
      <t xml:space="preserve">1. When </t>
    </r>
    <r>
      <rPr>
        <b/>
        <sz val="11"/>
        <color theme="1"/>
        <rFont val="Calibri"/>
        <family val="2"/>
        <scheme val="minor"/>
      </rPr>
      <t>Mandatory fields are left blank and the Save button is clicked, the record is not saved.</t>
    </r>
    <r>
      <rPr>
        <sz val="11"/>
        <color theme="1"/>
        <rFont val="Calibri"/>
        <family val="2"/>
        <scheme val="minor"/>
      </rPr>
      <t xml:space="preserve">
2. </t>
    </r>
    <r>
      <rPr>
        <b/>
        <sz val="11"/>
        <color theme="1"/>
        <rFont val="Calibri"/>
        <family val="2"/>
        <scheme val="minor"/>
      </rPr>
      <t>Validation messages are displayed for the mandatory fields.</t>
    </r>
    <r>
      <rPr>
        <sz val="11"/>
        <color theme="1"/>
        <rFont val="Calibri"/>
        <family val="2"/>
        <scheme val="minor"/>
      </rPr>
      <t xml:space="preserve">
3. After </t>
    </r>
    <r>
      <rPr>
        <b/>
        <sz val="11"/>
        <color theme="1"/>
        <rFont val="Calibri"/>
        <family val="2"/>
        <scheme val="minor"/>
      </rPr>
      <t>entering valid data in all mandatory fields and clicking the Save button, the record is not saved.
4. A generic validation message is displayed across all textboxes: - Please Enter a Valid Value!!!</t>
    </r>
  </si>
  <si>
    <t>ROSL_DBK_20</t>
  </si>
  <si>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ROSL DBK </t>
    </r>
    <r>
      <rPr>
        <sz val="11"/>
        <color theme="1"/>
        <rFont val="Calibri"/>
        <family val="2"/>
        <scheme val="minor"/>
      </rPr>
      <t>page.</t>
    </r>
  </si>
  <si>
    <r>
      <t xml:space="preserve">1. Navigate to </t>
    </r>
    <r>
      <rPr>
        <b/>
        <sz val="11"/>
        <color theme="1"/>
        <rFont val="Calibri"/>
        <family val="2"/>
        <scheme val="minor"/>
      </rPr>
      <t>Masters → EDI Master → ROSL DBK</t>
    </r>
    <r>
      <rPr>
        <sz val="11"/>
        <color theme="1"/>
        <rFont val="Calibri"/>
        <family val="2"/>
        <scheme val="minor"/>
      </rPr>
      <t xml:space="preserve">
2. Verify the state of the </t>
    </r>
    <r>
      <rPr>
        <b/>
        <sz val="11"/>
        <color theme="1"/>
        <rFont val="Calibri"/>
        <family val="2"/>
        <scheme val="minor"/>
      </rPr>
      <t>Modify</t>
    </r>
    <r>
      <rPr>
        <sz val="11"/>
        <color theme="1"/>
        <rFont val="Calibri"/>
        <family val="2"/>
        <scheme val="minor"/>
      </rPr>
      <t xml:space="preserve"> button when the page is in a new state.
3. Select any record from the left-side panel list.
4. Verify that the selected record details are loaded into the textboxes.
5. Modify one or more editable fields with new valid data.
5. Click on the Modify button.
6. Re-select the same record from the left-side panel and verify the updated values.</t>
    </r>
  </si>
  <si>
    <r>
      <t xml:space="preserve">1. When the page is in a new state, </t>
    </r>
    <r>
      <rPr>
        <b/>
        <sz val="11"/>
        <color theme="1"/>
        <rFont val="Calibri"/>
        <family val="2"/>
        <scheme val="minor"/>
      </rPr>
      <t>the Modify button should be disabled.</t>
    </r>
    <r>
      <rPr>
        <sz val="11"/>
        <color theme="1"/>
        <rFont val="Calibri"/>
        <family val="2"/>
        <scheme val="minor"/>
      </rPr>
      <t xml:space="preserve">
2. The Modify button should be enabled only after a record is selected and loaded into the textboxes.
3.</t>
    </r>
    <r>
      <rPr>
        <b/>
        <sz val="11"/>
        <color theme="1"/>
        <rFont val="Calibri"/>
        <family val="2"/>
        <scheme val="minor"/>
      </rPr>
      <t xml:space="preserve"> </t>
    </r>
    <r>
      <rPr>
        <sz val="11"/>
        <color theme="1"/>
        <rFont val="Calibri"/>
        <family val="2"/>
        <scheme val="minor"/>
      </rPr>
      <t>On clicking the Modify button, the record should be updated successfully with the new values.
4. The updated record should be displayed correctly in the left-side panel list.
5. The user should be able to modify the same record multiple times.</t>
    </r>
  </si>
  <si>
    <t>Record is not saving, So we can not check functionality of modify button.</t>
  </si>
  <si>
    <t>ROSL_DBK_21</t>
  </si>
  <si>
    <r>
      <t xml:space="preserve">Validate the functionality of </t>
    </r>
    <r>
      <rPr>
        <b/>
        <sz val="11"/>
        <color theme="1"/>
        <rFont val="Calibri"/>
        <family val="2"/>
        <scheme val="minor"/>
      </rPr>
      <t>Delete</t>
    </r>
    <r>
      <rPr>
        <sz val="11"/>
        <color theme="1"/>
        <rFont val="Calibri"/>
        <family val="2"/>
        <scheme val="minor"/>
      </rPr>
      <t xml:space="preserve"> button in the</t>
    </r>
    <r>
      <rPr>
        <b/>
        <sz val="11"/>
        <color theme="1"/>
        <rFont val="Calibri"/>
        <family val="2"/>
        <scheme val="minor"/>
      </rPr>
      <t xml:space="preserve"> ROSL DBK </t>
    </r>
    <r>
      <rPr>
        <sz val="11"/>
        <color theme="1"/>
        <rFont val="Calibri"/>
        <family val="2"/>
        <scheme val="minor"/>
      </rPr>
      <t>page.</t>
    </r>
  </si>
  <si>
    <r>
      <t xml:space="preserve">1. Navigate to </t>
    </r>
    <r>
      <rPr>
        <b/>
        <sz val="11"/>
        <color theme="1"/>
        <rFont val="Calibri"/>
        <family val="2"/>
        <scheme val="minor"/>
      </rPr>
      <t>Masters → EDI Master → ROSL DBK</t>
    </r>
    <r>
      <rPr>
        <sz val="11"/>
        <color theme="1"/>
        <rFont val="Calibri"/>
        <family val="2"/>
        <scheme val="minor"/>
      </rPr>
      <t xml:space="preserve">
2. Select any record from the left-side panel list.
3. Click on </t>
    </r>
    <r>
      <rPr>
        <b/>
        <sz val="11"/>
        <color theme="1"/>
        <rFont val="Calibri"/>
        <family val="2"/>
        <scheme val="minor"/>
      </rPr>
      <t xml:space="preserve">Delete </t>
    </r>
    <r>
      <rPr>
        <sz val="11"/>
        <color theme="1"/>
        <rFont val="Calibri"/>
        <family val="2"/>
        <scheme val="minor"/>
      </rPr>
      <t>button and observe the system behaviour.</t>
    </r>
  </si>
  <si>
    <t>No record is available and record is not saving. So unable to check delete button functionality.</t>
  </si>
  <si>
    <t>ROSL_DBK_22</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</si>
  <si>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ROSL DBK </t>
    </r>
    <r>
      <rPr>
        <sz val="11"/>
        <color theme="1"/>
        <rFont val="Calibri"/>
        <family val="2"/>
        <scheme val="minor"/>
      </rPr>
      <t>Page.</t>
    </r>
  </si>
  <si>
    <r>
      <t xml:space="preserve">1. Navigate to </t>
    </r>
    <r>
      <rPr>
        <b/>
        <sz val="11"/>
        <color theme="1"/>
        <rFont val="Calibri"/>
        <family val="2"/>
        <scheme val="minor"/>
      </rPr>
      <t>Masters → EDI Master → ROSL DBK</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</si>
  <si>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ROSL_DBK_23</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</si>
  <si>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</si>
  <si>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Masters → EDI Master → ROSL DBK
2</t>
    </r>
    <r>
      <rPr>
        <sz val="11"/>
        <color theme="1"/>
        <rFont val="Calibri"/>
        <family val="2"/>
        <scheme val="minor"/>
      </rPr>
      <t>. Enter valid data in all required input fields and click Save.
3. From the Item Templates grid list, select the recently saved record.
4. Observe the value displayed in the Entered By textbox.</t>
    </r>
  </si>
  <si>
    <r>
      <t xml:space="preserve">Record is not saving, So we can not check functionality of the </t>
    </r>
    <r>
      <rPr>
        <b/>
        <sz val="11"/>
        <color theme="1"/>
        <rFont val="Calibri"/>
        <family val="2"/>
        <scheme val="minor"/>
      </rPr>
      <t>Entered By</t>
    </r>
    <r>
      <rPr>
        <sz val="11"/>
        <color theme="1"/>
        <rFont val="Calibri"/>
        <family val="2"/>
        <scheme val="minor"/>
      </rPr>
      <t xml:space="preserve"> textbox.</t>
    </r>
  </si>
  <si>
    <t>ROSL_DBK_24</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</si>
  <si>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</si>
  <si>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 xml:space="preserve">Masters → EDI Master → ROSL DBK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Item Templates grid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</si>
  <si>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r>
      <t xml:space="preserve">Record is not saving, So we can not check functionality of the </t>
    </r>
    <r>
      <rPr>
        <b/>
        <sz val="11"/>
        <color theme="1"/>
        <rFont val="Calibri"/>
        <family val="2"/>
        <scheme val="minor"/>
      </rPr>
      <t>Entered Date</t>
    </r>
    <r>
      <rPr>
        <sz val="11"/>
        <color theme="1"/>
        <rFont val="Calibri"/>
        <family val="2"/>
        <scheme val="minor"/>
      </rPr>
      <t xml:space="preserve"> textbox.</t>
    </r>
  </si>
  <si>
    <t>ROSL_DBK_25</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</si>
  <si>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</si>
  <si>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Masters -&gt; EDI Master -&gt; ROSL DBK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By</t>
    </r>
    <r>
      <rPr>
        <sz val="11"/>
        <color theme="1"/>
        <rFont val="Calibri"/>
        <family val="2"/>
        <scheme val="minor"/>
      </rPr>
      <t xml:space="preserve"> textbox.</t>
    </r>
  </si>
  <si>
    <r>
      <t xml:space="preserve">Record is not saving, So we can not check functionality of the </t>
    </r>
    <r>
      <rPr>
        <b/>
        <sz val="11"/>
        <color theme="1"/>
        <rFont val="Calibri"/>
        <family val="2"/>
        <scheme val="minor"/>
      </rPr>
      <t>Modified BY</t>
    </r>
    <r>
      <rPr>
        <sz val="11"/>
        <color theme="1"/>
        <rFont val="Calibri"/>
        <family val="2"/>
        <scheme val="minor"/>
      </rPr>
      <t xml:space="preserve"> textbox.</t>
    </r>
  </si>
  <si>
    <r>
      <t xml:space="preserve">Record is not saving, So we can not check functionality of the </t>
    </r>
    <r>
      <rPr>
        <b/>
        <sz val="11"/>
        <color theme="1"/>
        <rFont val="Calibri"/>
        <family val="2"/>
        <scheme val="minor"/>
      </rPr>
      <t>Modified Date</t>
    </r>
    <r>
      <rPr>
        <sz val="11"/>
        <color theme="1"/>
        <rFont val="Calibri"/>
        <family val="2"/>
        <scheme val="minor"/>
      </rPr>
      <t xml:space="preserve"> textbox.</t>
    </r>
  </si>
  <si>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ROSL DBK</t>
    </r>
    <r>
      <rPr>
        <sz val="11"/>
        <color theme="1"/>
        <rFont val="Calibri"/>
        <family val="2"/>
        <scheme val="minor"/>
      </rPr>
      <t xml:space="preserve"> Page.</t>
    </r>
  </si>
  <si>
    <r>
      <t xml:space="preserve">1. Navigate to </t>
    </r>
    <r>
      <rPr>
        <b/>
        <sz val="11"/>
        <color theme="1"/>
        <rFont val="Calibri"/>
        <family val="2"/>
        <scheme val="minor"/>
      </rPr>
      <t>Masters -&gt; EDI Master -&gt; ROSL DBK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Date</t>
    </r>
    <r>
      <rPr>
        <sz val="11"/>
        <color theme="1"/>
        <rFont val="Calibri"/>
        <family val="2"/>
        <scheme val="minor"/>
      </rPr>
      <t xml:space="preserve"> textbox.</t>
    </r>
  </si>
  <si>
    <t>ROSL_DBK_26</t>
  </si>
  <si>
    <t xml:space="preserve">EDI Master --&gt; Licence Master
</t>
  </si>
  <si>
    <t>Licence_Master_01</t>
  </si>
  <si>
    <t>EDI Master -&gt; Licence Master</t>
  </si>
  <si>
    <r>
      <t xml:space="preserve">Validate the functionality of </t>
    </r>
    <r>
      <rPr>
        <b/>
        <sz val="11"/>
        <color theme="1"/>
        <rFont val="Calibri"/>
        <family val="2"/>
        <scheme val="minor"/>
      </rPr>
      <t xml:space="preserve">Licence Master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EDI Master</t>
    </r>
    <r>
      <rPr>
        <sz val="11"/>
        <color theme="1"/>
        <rFont val="Calibri"/>
        <family val="2"/>
        <scheme val="minor"/>
      </rPr>
      <t xml:space="preserve"> Sub module and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</si>
  <si>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EDI Master</t>
    </r>
    <r>
      <rPr>
        <sz val="11"/>
        <color theme="1"/>
        <rFont val="Calibri"/>
        <family val="2"/>
        <scheme val="minor"/>
      </rPr>
      <t xml:space="preserve"> -&gt; </t>
    </r>
    <r>
      <rPr>
        <b/>
        <sz val="11"/>
        <color theme="1"/>
        <rFont val="Calibri"/>
        <family val="2"/>
        <scheme val="minor"/>
      </rPr>
      <t>Licence Master</t>
    </r>
  </si>
  <si>
    <r>
      <t xml:space="preserve">1. On Mouse Hovering action on </t>
    </r>
    <r>
      <rPr>
        <b/>
        <sz val="11"/>
        <color theme="1"/>
        <rFont val="Calibri"/>
        <family val="2"/>
        <scheme val="minor"/>
      </rPr>
      <t xml:space="preserve">Masters -&gt; EDI Master -&gt; Licence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</si>
  <si>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Licence Master</t>
    </r>
    <r>
      <rPr>
        <sz val="11"/>
        <color theme="1"/>
        <rFont val="Calibri"/>
        <family val="2"/>
        <scheme val="minor"/>
      </rPr>
      <t xml:space="preserve"> Page is opening properly.</t>
    </r>
  </si>
  <si>
    <t>Licence_Master_02</t>
  </si>
  <si>
    <r>
      <t xml:space="preserve">Validate the functionality of </t>
    </r>
    <r>
      <rPr>
        <b/>
        <sz val="11"/>
        <color theme="1"/>
        <rFont val="Calibri"/>
        <family val="2"/>
        <scheme val="minor"/>
      </rPr>
      <t xml:space="preserve">Filter By dropdown and Autosuggest textbox </t>
    </r>
    <r>
      <rPr>
        <sz val="11"/>
        <color theme="1"/>
        <rFont val="Calibri"/>
        <family val="2"/>
        <scheme val="minor"/>
      </rPr>
      <t xml:space="preserve">in the </t>
    </r>
    <r>
      <rPr>
        <b/>
        <sz val="11"/>
        <color theme="1"/>
        <rFont val="Calibri"/>
        <family val="2"/>
        <scheme val="minor"/>
      </rPr>
      <t xml:space="preserve">Licence Master </t>
    </r>
    <r>
      <rPr>
        <sz val="11"/>
        <color theme="1"/>
        <rFont val="Calibri"/>
        <family val="2"/>
        <scheme val="minor"/>
      </rPr>
      <t>Page.</t>
    </r>
  </si>
  <si>
    <r>
      <t xml:space="preserve">1. Navigate to </t>
    </r>
    <r>
      <rPr>
        <b/>
        <sz val="11"/>
        <color theme="1"/>
        <rFont val="Calibri"/>
        <family val="2"/>
        <scheme val="minor"/>
      </rPr>
      <t>Masters → EDI Master → Licence Master</t>
    </r>
    <r>
      <rPr>
        <sz val="11"/>
        <color theme="1"/>
        <rFont val="Calibri"/>
        <family val="2"/>
        <scheme val="minor"/>
      </rPr>
      <t>.
2. Locate the Filter By dropdown and Autosuggest textbox.
3. Select IEC from the Filter By dropdown.
4. Enter (%) symbol in the Autosuggest textbox.
5. Verify the autosuggest values displayed.
6. Select any value from the autosuggest list.
7. Click on the Search button.
8. Change the Filter By dropdown value to Name.
9. Enter (%) symbol again in the Autosuggest textbox.
10. Verify the autosuggest values displayed.
11. Select any value from the autosuggest list.
12. Click on the Search button</t>
    </r>
  </si>
  <si>
    <r>
      <t xml:space="preserve">1. When </t>
    </r>
    <r>
      <rPr>
        <b/>
        <sz val="11"/>
        <color theme="1"/>
        <rFont val="Calibri"/>
        <family val="2"/>
        <scheme val="minor"/>
      </rPr>
      <t>Filter By = IEC:</t>
    </r>
    <r>
      <rPr>
        <sz val="11"/>
        <color theme="1"/>
        <rFont val="Calibri"/>
        <family val="2"/>
        <scheme val="minor"/>
      </rPr>
      <t xml:space="preserve">
 -&gt; Autosuggest textbox should display </t>
    </r>
    <r>
      <rPr>
        <b/>
        <sz val="11"/>
        <color theme="1"/>
        <rFont val="Calibri"/>
        <family val="2"/>
        <scheme val="minor"/>
      </rPr>
      <t>only IEC-related values</t>
    </r>
    <r>
      <rPr>
        <sz val="11"/>
        <color theme="1"/>
        <rFont val="Calibri"/>
        <family val="2"/>
        <scheme val="minor"/>
      </rPr>
      <t xml:space="preserve"> when triggered using (%).
2. When </t>
    </r>
    <r>
      <rPr>
        <b/>
        <sz val="11"/>
        <color theme="1"/>
        <rFont val="Calibri"/>
        <family val="2"/>
        <scheme val="minor"/>
      </rPr>
      <t>Filter By = Name:</t>
    </r>
    <r>
      <rPr>
        <sz val="11"/>
        <color theme="1"/>
        <rFont val="Calibri"/>
        <family val="2"/>
        <scheme val="minor"/>
      </rPr>
      <t xml:space="preserve">
 -&gt; Autosuggest textbox should display </t>
    </r>
    <r>
      <rPr>
        <b/>
        <sz val="11"/>
        <color theme="1"/>
        <rFont val="Calibri"/>
        <family val="2"/>
        <scheme val="minor"/>
      </rPr>
      <t xml:space="preserve">only Name-related values </t>
    </r>
    <r>
      <rPr>
        <sz val="11"/>
        <color theme="1"/>
        <rFont val="Calibri"/>
        <family val="2"/>
        <scheme val="minor"/>
      </rPr>
      <t xml:space="preserve">when triggered using (%).
3. User should be able to select any value from the autosuggest list.
4. On clicking Search:
 -&gt; If related data exists  -&gt; Corresponding record should load successfully.
 -&gt; If no data exists -&gt; System should display message:
</t>
    </r>
    <r>
      <rPr>
        <b/>
        <sz val="11"/>
        <color theme="1"/>
        <rFont val="Calibri"/>
        <family val="2"/>
        <scheme val="minor"/>
      </rPr>
      <t>“No Record found.!!”</t>
    </r>
    <r>
      <rPr>
        <sz val="11"/>
        <color theme="1"/>
        <rFont val="Calibri"/>
        <family val="2"/>
        <scheme val="minor"/>
      </rPr>
      <t xml:space="preserve">
5. When Filter By dropdown value is changed:
 -&gt; Autosuggest textbox should refresh and display values based on the newly selected filter.</t>
    </r>
  </si>
  <si>
    <r>
      <t xml:space="preserve">1. Filter By dropdown is displayed and functioning correctly.
2. When IEC is selected and (%) is entered:
 -&gt; Only IEC-related values are displayed.
3. When Name is selected and (%) is entered:
 -&gt; Only Name-related values are displayed.
4. User is able to select values successfully from the autosuggest list.
5. On clicking Search:
 -&gt; Selected value is auto-populating correctly.
 -&gt; If no data is available, system displays: “No Record found.!!”
6. Autosuggest updates correctly when Filter By dropdown value is changed.
</t>
    </r>
    <r>
      <rPr>
        <b/>
        <sz val="11"/>
        <color theme="1"/>
        <rFont val="Calibri"/>
        <family val="2"/>
        <scheme val="minor"/>
      </rPr>
      <t xml:space="preserve">Note: Placeholder value is default set IEC in Dropdown textbox, It should be dynamic based on value selection </t>
    </r>
  </si>
  <si>
    <t>Licence_Master_03</t>
  </si>
  <si>
    <t>Licence_Master_05</t>
  </si>
  <si>
    <t>Licence_Master_04</t>
  </si>
  <si>
    <r>
      <t>Validate the functionality of</t>
    </r>
    <r>
      <rPr>
        <b/>
        <sz val="11"/>
        <color theme="1"/>
        <rFont val="Calibri"/>
        <family val="2"/>
        <scheme val="minor"/>
      </rPr>
      <t xml:space="preserve"> File No/Regn No Autosuggest textbox</t>
    </r>
    <r>
      <rPr>
        <sz val="11"/>
        <color theme="1"/>
        <rFont val="Calibri"/>
        <family val="2"/>
        <scheme val="minor"/>
      </rPr>
      <t xml:space="preserve"> without using Filter By dropdown 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</si>
  <si>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 xml:space="preserve">Masters → EDI Master → Licence Master </t>
    </r>
    <r>
      <rPr>
        <sz val="11"/>
        <color theme="1"/>
        <rFont val="Calibri"/>
        <family val="2"/>
        <scheme val="minor"/>
      </rPr>
      <t xml:space="preserve">
2. Locate the </t>
    </r>
    <r>
      <rPr>
        <b/>
        <sz val="11"/>
        <color theme="1"/>
        <rFont val="Calibri"/>
        <family val="2"/>
        <scheme val="minor"/>
      </rPr>
      <t xml:space="preserve">File No/Regn No </t>
    </r>
    <r>
      <rPr>
        <sz val="11"/>
        <color theme="1"/>
        <rFont val="Calibri"/>
        <family val="2"/>
        <scheme val="minor"/>
      </rPr>
      <t>autosuggest textbox.
3. Enter</t>
    </r>
    <r>
      <rPr>
        <b/>
        <sz val="11"/>
        <color theme="1"/>
        <rFont val="Calibri"/>
        <family val="2"/>
        <scheme val="minor"/>
      </rPr>
      <t xml:space="preserve"> %</t>
    </r>
    <r>
      <rPr>
        <sz val="11"/>
        <color theme="1"/>
        <rFont val="Calibri"/>
        <family val="2"/>
        <scheme val="minor"/>
      </rPr>
      <t xml:space="preserve"> in the</t>
    </r>
    <r>
      <rPr>
        <b/>
        <sz val="11"/>
        <color theme="1"/>
        <rFont val="Calibri"/>
        <family val="2"/>
        <scheme val="minor"/>
      </rPr>
      <t xml:space="preserve"> File No/Regn No </t>
    </r>
    <r>
      <rPr>
        <sz val="11"/>
        <color theme="1"/>
        <rFont val="Calibri"/>
        <family val="2"/>
        <scheme val="minor"/>
      </rPr>
      <t xml:space="preserve">textbox.
4. Observe the autosuggest list.
5. Select any </t>
    </r>
    <r>
      <rPr>
        <b/>
        <sz val="11"/>
        <color theme="1"/>
        <rFont val="Calibri"/>
        <family val="2"/>
        <scheme val="minor"/>
      </rPr>
      <t xml:space="preserve">File No/Regn No </t>
    </r>
    <r>
      <rPr>
        <sz val="11"/>
        <color theme="1"/>
        <rFont val="Calibri"/>
        <family val="2"/>
        <scheme val="minor"/>
      </rPr>
      <t>value</t>
    </r>
    <r>
      <rPr>
        <b/>
        <sz val="11"/>
        <color theme="1"/>
        <rFont val="Calibri"/>
        <family val="2"/>
        <scheme val="minor"/>
      </rPr>
      <t xml:space="preserve"> </t>
    </r>
    <r>
      <rPr>
        <sz val="11"/>
        <color theme="1"/>
        <rFont val="Calibri"/>
        <family val="2"/>
        <scheme val="minor"/>
      </rPr>
      <t xml:space="preserve">from the autosuggest list.
6. Click on the </t>
    </r>
    <r>
      <rPr>
        <b/>
        <sz val="11"/>
        <color theme="1"/>
        <rFont val="Calibri"/>
        <family val="2"/>
        <scheme val="minor"/>
      </rPr>
      <t>Search</t>
    </r>
    <r>
      <rPr>
        <sz val="11"/>
        <color theme="1"/>
        <rFont val="Calibri"/>
        <family val="2"/>
        <scheme val="minor"/>
      </rPr>
      <t xml:space="preserve"> button.
7. Observe the system behaviour</t>
    </r>
  </si>
  <si>
    <r>
      <t xml:space="preserve">1. </t>
    </r>
    <r>
      <rPr>
        <b/>
        <sz val="11"/>
        <color theme="1"/>
        <rFont val="Calibri"/>
        <family val="2"/>
        <scheme val="minor"/>
      </rPr>
      <t>File No/Regn No</t>
    </r>
    <r>
      <rPr>
        <sz val="11"/>
        <color theme="1"/>
        <rFont val="Calibri"/>
        <family val="2"/>
        <scheme val="minor"/>
      </rPr>
      <t xml:space="preserve"> autosuggest list should be displayed when </t>
    </r>
    <r>
      <rPr>
        <b/>
        <sz val="11"/>
        <color theme="1"/>
        <rFont val="Calibri"/>
        <family val="2"/>
        <scheme val="minor"/>
      </rPr>
      <t>%</t>
    </r>
    <r>
      <rPr>
        <sz val="11"/>
        <color theme="1"/>
        <rFont val="Calibri"/>
        <family val="2"/>
        <scheme val="minor"/>
      </rPr>
      <t xml:space="preserve"> is entered in the textbox.
2. User should be able to select any </t>
    </r>
    <r>
      <rPr>
        <b/>
        <sz val="11"/>
        <color theme="1"/>
        <rFont val="Calibri"/>
        <family val="2"/>
        <scheme val="minor"/>
      </rPr>
      <t>File No/Regn No</t>
    </r>
    <r>
      <rPr>
        <sz val="11"/>
        <color theme="1"/>
        <rFont val="Calibri"/>
        <family val="2"/>
        <scheme val="minor"/>
      </rPr>
      <t xml:space="preserve"> value. 
3. On clicking Search, selected </t>
    </r>
    <r>
      <rPr>
        <b/>
        <sz val="11"/>
        <color theme="1"/>
        <rFont val="Calibri"/>
        <family val="2"/>
        <scheme val="minor"/>
      </rPr>
      <t>File No/Regn No</t>
    </r>
    <r>
      <rPr>
        <sz val="11"/>
        <color theme="1"/>
        <rFont val="Calibri"/>
        <family val="2"/>
        <scheme val="minor"/>
      </rPr>
      <t xml:space="preserve"> related data should be loaded into the co-responding textboxes</t>
    </r>
  </si>
  <si>
    <r>
      <t xml:space="preserve">1. </t>
    </r>
    <r>
      <rPr>
        <b/>
        <sz val="11"/>
        <color theme="1"/>
        <rFont val="Calibri"/>
        <family val="2"/>
        <scheme val="minor"/>
      </rPr>
      <t>File No/Regn No</t>
    </r>
    <r>
      <rPr>
        <sz val="11"/>
        <color theme="1"/>
        <rFont val="Calibri"/>
        <family val="2"/>
        <scheme val="minor"/>
      </rPr>
      <t xml:space="preserve"> autosuggest works correctly when % is entered without using Filter By.
2. On clicking Search, selected </t>
    </r>
    <r>
      <rPr>
        <b/>
        <sz val="11"/>
        <color theme="1"/>
        <rFont val="Calibri"/>
        <family val="2"/>
        <scheme val="minor"/>
      </rPr>
      <t>File No/Regn No</t>
    </r>
    <r>
      <rPr>
        <sz val="11"/>
        <color theme="1"/>
        <rFont val="Calibri"/>
        <family val="2"/>
        <scheme val="minor"/>
      </rPr>
      <t xml:space="preserve"> related data is populating into the textboxes.</t>
    </r>
  </si>
  <si>
    <r>
      <t xml:space="preserve">Validate the functionality of </t>
    </r>
    <r>
      <rPr>
        <b/>
        <sz val="11"/>
        <color theme="1"/>
        <rFont val="Calibri"/>
        <family val="2"/>
        <scheme val="minor"/>
      </rPr>
      <t>File No/Regn No Autosuggest textbox</t>
    </r>
    <r>
      <rPr>
        <sz val="11"/>
        <color theme="1"/>
        <rFont val="Calibri"/>
        <family val="2"/>
        <scheme val="minor"/>
      </rPr>
      <t xml:space="preserve"> with </t>
    </r>
    <r>
      <rPr>
        <b/>
        <sz val="11"/>
        <color theme="1"/>
        <rFont val="Calibri"/>
        <family val="2"/>
        <scheme val="minor"/>
      </rPr>
      <t>Filter By dropdown selection</t>
    </r>
    <r>
      <rPr>
        <sz val="11"/>
        <color theme="1"/>
        <rFont val="Calibri"/>
        <family val="2"/>
        <scheme val="minor"/>
      </rPr>
      <t xml:space="preserve"> in the</t>
    </r>
    <r>
      <rPr>
        <b/>
        <sz val="11"/>
        <color theme="1"/>
        <rFont val="Calibri"/>
        <family val="2"/>
        <scheme val="minor"/>
      </rPr>
      <t xml:space="preserve"> Licence Master </t>
    </r>
    <r>
      <rPr>
        <sz val="11"/>
        <color theme="1"/>
        <rFont val="Calibri"/>
        <family val="2"/>
        <scheme val="minor"/>
      </rPr>
      <t>Page.</t>
    </r>
  </si>
  <si>
    <r>
      <t xml:space="preserve">Scenario 1: </t>
    </r>
    <r>
      <rPr>
        <b/>
        <sz val="11"/>
        <color theme="1"/>
        <rFont val="Calibri"/>
        <family val="2"/>
        <scheme val="minor"/>
      </rPr>
      <t>Regn. No. Autosuggest with Filter By = IEC</t>
    </r>
    <r>
      <rPr>
        <sz val="11"/>
        <color theme="1"/>
        <rFont val="Calibri"/>
        <family val="2"/>
        <scheme val="minor"/>
      </rPr>
      <t xml:space="preserve">
1. Select</t>
    </r>
    <r>
      <rPr>
        <b/>
        <sz val="11"/>
        <color theme="1"/>
        <rFont val="Calibri"/>
        <family val="2"/>
        <scheme val="minor"/>
      </rPr>
      <t xml:space="preserve"> IEC</t>
    </r>
    <r>
      <rPr>
        <sz val="11"/>
        <color theme="1"/>
        <rFont val="Calibri"/>
        <family val="2"/>
        <scheme val="minor"/>
      </rPr>
      <t xml:space="preserve"> from the </t>
    </r>
    <r>
      <rPr>
        <b/>
        <sz val="11"/>
        <color theme="1"/>
        <rFont val="Calibri"/>
        <family val="2"/>
        <scheme val="minor"/>
      </rPr>
      <t>Filter By dropdown.</t>
    </r>
    <r>
      <rPr>
        <sz val="11"/>
        <color theme="1"/>
        <rFont val="Calibri"/>
        <family val="2"/>
        <scheme val="minor"/>
      </rPr>
      <t xml:space="preserve">
2. Enter</t>
    </r>
    <r>
      <rPr>
        <b/>
        <sz val="11"/>
        <color theme="1"/>
        <rFont val="Calibri"/>
        <family val="2"/>
        <scheme val="minor"/>
      </rPr>
      <t xml:space="preserve"> %</t>
    </r>
    <r>
      <rPr>
        <sz val="11"/>
        <color theme="1"/>
        <rFont val="Calibri"/>
        <family val="2"/>
        <scheme val="minor"/>
      </rPr>
      <t xml:space="preserve"> in the </t>
    </r>
    <r>
      <rPr>
        <b/>
        <sz val="11"/>
        <color theme="1"/>
        <rFont val="Calibri"/>
        <family val="2"/>
        <scheme val="minor"/>
      </rPr>
      <t>Filter By autosuggest textbox</t>
    </r>
    <r>
      <rPr>
        <sz val="11"/>
        <color theme="1"/>
        <rFont val="Calibri"/>
        <family val="2"/>
        <scheme val="minor"/>
      </rPr>
      <t>.
3. Select any</t>
    </r>
    <r>
      <rPr>
        <b/>
        <sz val="11"/>
        <color theme="1"/>
        <rFont val="Calibri"/>
        <family val="2"/>
        <scheme val="minor"/>
      </rPr>
      <t xml:space="preserve"> IEC value</t>
    </r>
    <r>
      <rPr>
        <sz val="11"/>
        <color theme="1"/>
        <rFont val="Calibri"/>
        <family val="2"/>
        <scheme val="minor"/>
      </rPr>
      <t xml:space="preserve"> from the autosuggest list.
4. Move to the </t>
    </r>
    <r>
      <rPr>
        <b/>
        <sz val="11"/>
        <color theme="1"/>
        <rFont val="Calibri"/>
        <family val="2"/>
        <scheme val="minor"/>
      </rPr>
      <t>File No/Regn No</t>
    </r>
    <r>
      <rPr>
        <sz val="11"/>
        <color theme="1"/>
        <rFont val="Calibri"/>
        <family val="2"/>
        <scheme val="minor"/>
      </rPr>
      <t xml:space="preserve"> autosuggest textbox.
5. Enter % in the </t>
    </r>
    <r>
      <rPr>
        <b/>
        <sz val="11"/>
        <color theme="1"/>
        <rFont val="Calibri"/>
        <family val="2"/>
        <scheme val="minor"/>
      </rPr>
      <t>File No/Regn No</t>
    </r>
    <r>
      <rPr>
        <sz val="11"/>
        <color theme="1"/>
        <rFont val="Calibri"/>
        <family val="2"/>
        <scheme val="minor"/>
      </rPr>
      <t xml:space="preserve"> textbox.
6. Observe the autosuggest list.
7. Select a </t>
    </r>
    <r>
      <rPr>
        <b/>
        <sz val="11"/>
        <color theme="1"/>
        <rFont val="Calibri"/>
        <family val="2"/>
        <scheme val="minor"/>
      </rPr>
      <t xml:space="preserve">File No/Regn No </t>
    </r>
    <r>
      <rPr>
        <sz val="11"/>
        <color theme="1"/>
        <rFont val="Calibri"/>
        <family val="2"/>
        <scheme val="minor"/>
      </rPr>
      <t xml:space="preserve">value.
8. Click on the </t>
    </r>
    <r>
      <rPr>
        <b/>
        <sz val="11"/>
        <color theme="1"/>
        <rFont val="Calibri"/>
        <family val="2"/>
        <scheme val="minor"/>
      </rPr>
      <t>Search</t>
    </r>
    <r>
      <rPr>
        <sz val="11"/>
        <color theme="1"/>
        <rFont val="Calibri"/>
        <family val="2"/>
        <scheme val="minor"/>
      </rPr>
      <t xml:space="preserve"> button.
=============================================
</t>
    </r>
    <r>
      <rPr>
        <b/>
        <sz val="11"/>
        <color theme="1"/>
        <rFont val="Calibri"/>
        <family val="2"/>
        <scheme val="minor"/>
      </rPr>
      <t>Scenario 2: Regn. No. Autosuggest with Filter By = Name</t>
    </r>
    <r>
      <rPr>
        <sz val="11"/>
        <color theme="1"/>
        <rFont val="Calibri"/>
        <family val="2"/>
        <scheme val="minor"/>
      </rPr>
      <t xml:space="preserve">
1. Select Name from the Filter By dropdown.
2. Enter % in the Filter By autosuggest textbox.
3. Select any </t>
    </r>
    <r>
      <rPr>
        <b/>
        <sz val="11"/>
        <color theme="1"/>
        <rFont val="Calibri"/>
        <family val="2"/>
        <scheme val="minor"/>
      </rPr>
      <t>Name</t>
    </r>
    <r>
      <rPr>
        <sz val="11"/>
        <color theme="1"/>
        <rFont val="Calibri"/>
        <family val="2"/>
        <scheme val="minor"/>
      </rPr>
      <t xml:space="preserve"> value from the autosuggest list.
4. Move to the </t>
    </r>
    <r>
      <rPr>
        <b/>
        <sz val="11"/>
        <color theme="1"/>
        <rFont val="Calibri"/>
        <family val="2"/>
        <scheme val="minor"/>
      </rPr>
      <t>File No/Regn No</t>
    </r>
    <r>
      <rPr>
        <sz val="11"/>
        <color theme="1"/>
        <rFont val="Calibri"/>
        <family val="2"/>
        <scheme val="minor"/>
      </rPr>
      <t xml:space="preserve"> autosuggest textbox.
5. Enter % in the </t>
    </r>
    <r>
      <rPr>
        <b/>
        <sz val="11"/>
        <color theme="1"/>
        <rFont val="Calibri"/>
        <family val="2"/>
        <scheme val="minor"/>
      </rPr>
      <t>File No/Regn No</t>
    </r>
    <r>
      <rPr>
        <sz val="11"/>
        <color theme="1"/>
        <rFont val="Calibri"/>
        <family val="2"/>
        <scheme val="minor"/>
      </rPr>
      <t xml:space="preserve"> textbox.
6. Observe the autosuggest list.</t>
    </r>
  </si>
  <si>
    <r>
      <rPr>
        <b/>
        <sz val="11"/>
        <color theme="1"/>
        <rFont val="Calibri"/>
        <family val="2"/>
        <scheme val="minor"/>
      </rPr>
      <t>Scenario1.</t>
    </r>
    <r>
      <rPr>
        <sz val="11"/>
        <color theme="1"/>
        <rFont val="Calibri"/>
        <family val="2"/>
        <scheme val="minor"/>
      </rPr>
      <t xml:space="preserve">
1. </t>
    </r>
    <r>
      <rPr>
        <b/>
        <sz val="11"/>
        <color theme="1"/>
        <rFont val="Calibri"/>
        <family val="2"/>
        <scheme val="minor"/>
      </rPr>
      <t>When Filter By = IEC:</t>
    </r>
    <r>
      <rPr>
        <sz val="11"/>
        <color theme="1"/>
        <rFont val="Calibri"/>
        <family val="2"/>
        <scheme val="minor"/>
      </rPr>
      <t xml:space="preserve">
 -&gt; Filter By autosuggest textbox works correctly.
 -&gt; </t>
    </r>
    <r>
      <rPr>
        <b/>
        <sz val="11"/>
        <color theme="1"/>
        <rFont val="Calibri"/>
        <family val="2"/>
        <scheme val="minor"/>
      </rPr>
      <t>File No/Regn No</t>
    </r>
    <r>
      <rPr>
        <sz val="11"/>
        <color theme="1"/>
        <rFont val="Calibri"/>
        <family val="2"/>
        <scheme val="minor"/>
      </rPr>
      <t xml:space="preserve"> textbox correctly suggests, selected IEC-related </t>
    </r>
    <r>
      <rPr>
        <b/>
        <sz val="11"/>
        <color theme="1"/>
        <rFont val="Calibri"/>
        <family val="2"/>
        <scheme val="minor"/>
      </rPr>
      <t>File No/Regn No</t>
    </r>
    <r>
      <rPr>
        <sz val="11"/>
        <color theme="1"/>
        <rFont val="Calibri"/>
        <family val="2"/>
        <scheme val="minor"/>
      </rPr>
      <t xml:space="preserve"> values only.
 -&gt; On Clicking on Search button, selected </t>
    </r>
    <r>
      <rPr>
        <b/>
        <sz val="11"/>
        <color theme="1"/>
        <rFont val="Calibri"/>
        <family val="2"/>
        <scheme val="minor"/>
      </rPr>
      <t xml:space="preserve">File No/Regn No </t>
    </r>
    <r>
      <rPr>
        <sz val="11"/>
        <color theme="1"/>
        <rFont val="Calibri"/>
        <family val="2"/>
        <scheme val="minor"/>
      </rPr>
      <t xml:space="preserve">data is loading into the textboxes.
=========================================
</t>
    </r>
    <r>
      <rPr>
        <b/>
        <sz val="11"/>
        <color theme="1"/>
        <rFont val="Calibri"/>
        <family val="2"/>
        <scheme val="minor"/>
      </rPr>
      <t>Scenario2.
2. When Filter By = Name:</t>
    </r>
    <r>
      <rPr>
        <sz val="11"/>
        <color theme="1"/>
        <rFont val="Calibri"/>
        <family val="2"/>
        <scheme val="minor"/>
      </rPr>
      <t xml:space="preserve">
 -&gt; Filter By autosuggest textbox works correctly.
 -&gt; </t>
    </r>
    <r>
      <rPr>
        <b/>
        <sz val="11"/>
        <color theme="1"/>
        <rFont val="Calibri"/>
        <family val="2"/>
        <scheme val="minor"/>
      </rPr>
      <t>File No/Regn No autosuggest textbox does NOT display any values after selecting a Name.</t>
    </r>
    <r>
      <rPr>
        <sz val="11"/>
        <color theme="1"/>
        <rFont val="Calibri"/>
        <family val="2"/>
        <scheme val="minor"/>
      </rPr>
      <t xml:space="preserve">
 -&gt; User is unable to select </t>
    </r>
    <r>
      <rPr>
        <b/>
        <sz val="11"/>
        <color theme="1"/>
        <rFont val="Calibri"/>
        <family val="2"/>
        <scheme val="minor"/>
      </rPr>
      <t>File No/Regn No</t>
    </r>
    <r>
      <rPr>
        <sz val="11"/>
        <color theme="1"/>
        <rFont val="Calibri"/>
        <family val="2"/>
        <scheme val="minor"/>
      </rPr>
      <t xml:space="preserve"> based on Name filter.</t>
    </r>
  </si>
  <si>
    <r>
      <t>Validate the functionality of</t>
    </r>
    <r>
      <rPr>
        <b/>
        <sz val="11"/>
        <color theme="1"/>
        <rFont val="Calibri"/>
        <family val="2"/>
        <scheme val="minor"/>
      </rPr>
      <t xml:space="preserve"> Importer Name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</si>
  <si>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Textbox - </t>
    </r>
    <r>
      <rPr>
        <b/>
        <sz val="11"/>
        <color theme="1"/>
        <rFont val="Calibri"/>
        <family val="2"/>
        <scheme val="minor"/>
      </rPr>
      <t>Importer Name</t>
    </r>
  </si>
  <si>
    <r>
      <t xml:space="preserve">1. Navigate to </t>
    </r>
    <r>
      <rPr>
        <b/>
        <sz val="11"/>
        <color theme="1"/>
        <rFont val="Calibri"/>
        <family val="2"/>
        <scheme val="minor"/>
      </rPr>
      <t xml:space="preserve">Masters → EDI Master → Licence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Importer Name</t>
    </r>
    <r>
      <rPr>
        <sz val="11"/>
        <color theme="1"/>
        <rFont val="Calibri"/>
        <family val="2"/>
        <scheme val="minor"/>
      </rPr>
      <t xml:space="preserve"> textbox.
3. Try entering manual inputs
4. Trigger the autosuggest list by entering the % symbol.
5. Select a valid </t>
    </r>
    <r>
      <rPr>
        <b/>
        <sz val="11"/>
        <color theme="1"/>
        <rFont val="Calibri"/>
        <family val="2"/>
        <scheme val="minor"/>
      </rPr>
      <t>Importer Name</t>
    </r>
    <r>
      <rPr>
        <sz val="11"/>
        <color theme="1"/>
        <rFont val="Calibri"/>
        <family val="2"/>
        <scheme val="minor"/>
      </rPr>
      <t xml:space="preserve"> value from the autosuggest list 
6. Observe the system behavior</t>
    </r>
  </si>
  <si>
    <r>
      <rPr>
        <b/>
        <sz val="11"/>
        <color theme="1"/>
        <rFont val="Calibri"/>
        <family val="2"/>
        <scheme val="minor"/>
      </rPr>
      <t>Scenario 1. (Filter By = IEC)</t>
    </r>
    <r>
      <rPr>
        <sz val="11"/>
        <color theme="1"/>
        <rFont val="Calibri"/>
        <family val="2"/>
        <scheme val="minor"/>
      </rPr>
      <t xml:space="preserve">
1. Filter By autosuggest textbox should display IEC values only.
2. After selecting an IEC value in the Filter By Autosuggest textbox, </t>
    </r>
    <r>
      <rPr>
        <b/>
        <sz val="11"/>
        <color theme="1"/>
        <rFont val="Calibri"/>
        <family val="2"/>
        <scheme val="minor"/>
      </rPr>
      <t xml:space="preserve">File No/Regn No </t>
    </r>
    <r>
      <rPr>
        <sz val="11"/>
        <color theme="1"/>
        <rFont val="Calibri"/>
        <family val="2"/>
        <scheme val="minor"/>
      </rPr>
      <t xml:space="preserve">textbox should autosuggest selected IEC related value only.
3. On clicking Search, IEC-related selected </t>
    </r>
    <r>
      <rPr>
        <b/>
        <sz val="11"/>
        <color theme="1"/>
        <rFont val="Calibri"/>
        <family val="2"/>
        <scheme val="minor"/>
      </rPr>
      <t>File No/Regn No</t>
    </r>
    <r>
      <rPr>
        <sz val="11"/>
        <color theme="1"/>
        <rFont val="Calibri"/>
        <family val="2"/>
        <scheme val="minor"/>
      </rPr>
      <t xml:space="preserve"> data should be displayed correctly into the textboxes
==================================================
</t>
    </r>
    <r>
      <rPr>
        <b/>
        <sz val="11"/>
        <color theme="1"/>
        <rFont val="Calibri"/>
        <family val="2"/>
        <scheme val="minor"/>
      </rPr>
      <t>Scenario 2 (Filter By = Name)</t>
    </r>
    <r>
      <rPr>
        <sz val="11"/>
        <color theme="1"/>
        <rFont val="Calibri"/>
        <family val="2"/>
        <scheme val="minor"/>
      </rPr>
      <t xml:space="preserve">
1. Filter By autosuggest textbox should display </t>
    </r>
    <r>
      <rPr>
        <b/>
        <sz val="11"/>
        <color theme="1"/>
        <rFont val="Calibri"/>
        <family val="2"/>
        <scheme val="minor"/>
      </rPr>
      <t>Name</t>
    </r>
    <r>
      <rPr>
        <sz val="11"/>
        <color theme="1"/>
        <rFont val="Calibri"/>
        <family val="2"/>
        <scheme val="minor"/>
      </rPr>
      <t xml:space="preserve"> values only.
2. After selecting a</t>
    </r>
    <r>
      <rPr>
        <b/>
        <sz val="11"/>
        <color theme="1"/>
        <rFont val="Calibri"/>
        <family val="2"/>
        <scheme val="minor"/>
      </rPr>
      <t xml:space="preserve"> Name</t>
    </r>
    <r>
      <rPr>
        <sz val="11"/>
        <color theme="1"/>
        <rFont val="Calibri"/>
        <family val="2"/>
        <scheme val="minor"/>
      </rPr>
      <t xml:space="preserve"> value in the Filter By autosuuggest textbox , </t>
    </r>
    <r>
      <rPr>
        <b/>
        <sz val="11"/>
        <color theme="1"/>
        <rFont val="Calibri"/>
        <family val="2"/>
        <scheme val="minor"/>
      </rPr>
      <t>File No/Regn No</t>
    </r>
    <r>
      <rPr>
        <sz val="11"/>
        <color theme="1"/>
        <rFont val="Calibri"/>
        <family val="2"/>
        <scheme val="minor"/>
      </rPr>
      <t xml:space="preserve"> textbox should autosuggest selected Name related value only.
3. User should be able to select a </t>
    </r>
    <r>
      <rPr>
        <b/>
        <sz val="11"/>
        <color theme="1"/>
        <rFont val="Calibri"/>
        <family val="2"/>
        <scheme val="minor"/>
      </rPr>
      <t>File No/Regn No</t>
    </r>
    <r>
      <rPr>
        <sz val="11"/>
        <color theme="1"/>
        <rFont val="Calibri"/>
        <family val="2"/>
        <scheme val="minor"/>
      </rPr>
      <t xml:space="preserve">
4. On clicking Search, Name-related selected </t>
    </r>
    <r>
      <rPr>
        <b/>
        <sz val="11"/>
        <color theme="1"/>
        <rFont val="Calibri"/>
        <family val="2"/>
        <scheme val="minor"/>
      </rPr>
      <t>File No/Regn No</t>
    </r>
    <r>
      <rPr>
        <sz val="11"/>
        <color theme="1"/>
        <rFont val="Calibri"/>
        <family val="2"/>
        <scheme val="minor"/>
      </rPr>
      <t xml:space="preserve"> data should be displayed correctly into the textboxes</t>
    </r>
  </si>
  <si>
    <r>
      <t xml:space="preserve">1. The </t>
    </r>
    <r>
      <rPr>
        <b/>
        <sz val="11"/>
        <color theme="1"/>
        <rFont val="Calibri"/>
        <family val="2"/>
        <scheme val="minor"/>
      </rPr>
      <t>Importer Name</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</si>
  <si>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r>
      <t xml:space="preserve">The </t>
    </r>
    <r>
      <rPr>
        <b/>
        <sz val="11"/>
        <color theme="1"/>
        <rFont val="Calibri"/>
        <family val="2"/>
        <scheme val="minor"/>
      </rPr>
      <t>Importer Name</t>
    </r>
    <r>
      <rPr>
        <sz val="11"/>
        <color theme="1"/>
        <rFont val="Calibri"/>
        <family val="2"/>
        <scheme val="minor"/>
      </rPr>
      <t xml:space="preserve"> textbox is functioning as expected.</t>
    </r>
  </si>
  <si>
    <t>Licence_Master_06</t>
  </si>
  <si>
    <r>
      <t>Validate the functionality of</t>
    </r>
    <r>
      <rPr>
        <b/>
        <sz val="11"/>
        <color theme="1"/>
        <rFont val="Calibri"/>
        <family val="2"/>
        <scheme val="minor"/>
      </rPr>
      <t xml:space="preserve"> IEC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</si>
  <si>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IEC No</t>
    </r>
    <r>
      <rPr>
        <sz val="11"/>
        <rFont val="Calibri"/>
        <family val="2"/>
        <scheme val="minor"/>
      </rPr>
      <t xml:space="preserve"> textobx.
3. Enter Valid &amp; Invalid Data in </t>
    </r>
    <r>
      <rPr>
        <b/>
        <sz val="11"/>
        <rFont val="Calibri"/>
        <family val="2"/>
        <scheme val="minor"/>
      </rPr>
      <t>IEC No</t>
    </r>
    <r>
      <rPr>
        <sz val="11"/>
        <rFont val="Calibri"/>
        <family val="2"/>
        <scheme val="minor"/>
      </rPr>
      <t xml:space="preserve"> textbox.
4. Observe the system behaviour.</t>
    </r>
  </si>
  <si>
    <r>
      <t xml:space="preserve">1. </t>
    </r>
    <r>
      <rPr>
        <b/>
        <sz val="11"/>
        <rFont val="Calibri"/>
        <family val="2"/>
        <scheme val="minor"/>
      </rPr>
      <t xml:space="preserve">IEC No </t>
    </r>
    <r>
      <rPr>
        <sz val="11"/>
        <rFont val="Calibri"/>
        <family val="2"/>
        <scheme val="minor"/>
      </rPr>
      <t xml:space="preserve">textbox should accept:
 -&gt; Alphanumeric values only
2. </t>
    </r>
    <r>
      <rPr>
        <b/>
        <sz val="11"/>
        <rFont val="Calibri"/>
        <family val="2"/>
        <scheme val="minor"/>
      </rPr>
      <t xml:space="preserve">IEC No </t>
    </r>
    <r>
      <rPr>
        <sz val="11"/>
        <rFont val="Calibri"/>
        <family val="2"/>
        <scheme val="minor"/>
      </rPr>
      <t xml:space="preserve">should not accept Special character values.
2. </t>
    </r>
    <r>
      <rPr>
        <b/>
        <sz val="11"/>
        <rFont val="Calibri"/>
        <family val="2"/>
        <scheme val="minor"/>
      </rPr>
      <t>IEC No</t>
    </r>
    <r>
      <rPr>
        <sz val="11"/>
        <rFont val="Calibri"/>
        <family val="2"/>
        <scheme val="minor"/>
      </rPr>
      <t xml:space="preserve"> textbox length should be limited to 10 characters.</t>
    </r>
  </si>
  <si>
    <r>
      <t xml:space="preserve">1. </t>
    </r>
    <r>
      <rPr>
        <b/>
        <sz val="11"/>
        <color theme="1"/>
        <rFont val="Calibri"/>
        <family val="2"/>
        <scheme val="minor"/>
      </rPr>
      <t>IEC No</t>
    </r>
    <r>
      <rPr>
        <sz val="11"/>
        <color theme="1"/>
        <rFont val="Calibri"/>
        <family val="2"/>
        <scheme val="minor"/>
      </rPr>
      <t xml:space="preserve"> text is accepting all types of values.
3. 10-character limit is correctly implemented.
Note: </t>
    </r>
    <r>
      <rPr>
        <b/>
        <sz val="11"/>
        <color theme="1"/>
        <rFont val="Calibri"/>
        <family val="2"/>
        <scheme val="minor"/>
      </rPr>
      <t>IEC No</t>
    </r>
    <r>
      <rPr>
        <sz val="11"/>
        <color theme="1"/>
        <rFont val="Calibri"/>
        <family val="2"/>
        <scheme val="minor"/>
      </rPr>
      <t xml:space="preserve"> textbox should be accept only alphanumeric values only.</t>
    </r>
  </si>
  <si>
    <t>Licence_Master_07</t>
  </si>
  <si>
    <r>
      <t>Validate the functionality of</t>
    </r>
    <r>
      <rPr>
        <b/>
        <sz val="11"/>
        <color theme="1"/>
        <rFont val="Calibri"/>
        <family val="2"/>
        <scheme val="minor"/>
      </rPr>
      <t xml:space="preserve"> Licence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</si>
  <si>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Licence No</t>
    </r>
    <r>
      <rPr>
        <sz val="11"/>
        <rFont val="Calibri"/>
        <family val="2"/>
        <scheme val="minor"/>
      </rPr>
      <t xml:space="preserve"> textobx.
3. Enter Valid &amp; Invalid Data in </t>
    </r>
    <r>
      <rPr>
        <b/>
        <sz val="11"/>
        <rFont val="Calibri"/>
        <family val="2"/>
        <scheme val="minor"/>
      </rPr>
      <t>Licence No</t>
    </r>
    <r>
      <rPr>
        <sz val="11"/>
        <rFont val="Calibri"/>
        <family val="2"/>
        <scheme val="minor"/>
      </rPr>
      <t xml:space="preserve"> textbox.
4. Observe the system behaviour.</t>
    </r>
  </si>
  <si>
    <r>
      <t xml:space="preserve">1. </t>
    </r>
    <r>
      <rPr>
        <b/>
        <sz val="11"/>
        <rFont val="Calibri"/>
        <family val="2"/>
        <scheme val="minor"/>
      </rPr>
      <t xml:space="preserve">Licence No </t>
    </r>
    <r>
      <rPr>
        <sz val="11"/>
        <rFont val="Calibri"/>
        <family val="2"/>
        <scheme val="minor"/>
      </rPr>
      <t xml:space="preserve">textbox should accept:
 -&gt; Alphanumeric values only
2. </t>
    </r>
    <r>
      <rPr>
        <b/>
        <sz val="11"/>
        <rFont val="Calibri"/>
        <family val="2"/>
        <scheme val="minor"/>
      </rPr>
      <t xml:space="preserve">Licence No </t>
    </r>
    <r>
      <rPr>
        <sz val="11"/>
        <rFont val="Calibri"/>
        <family val="2"/>
        <scheme val="minor"/>
      </rPr>
      <t xml:space="preserve">should not accept Special character values.
2. </t>
    </r>
    <r>
      <rPr>
        <b/>
        <sz val="11"/>
        <rFont val="Calibri"/>
        <family val="2"/>
        <scheme val="minor"/>
      </rPr>
      <t>Licence No</t>
    </r>
    <r>
      <rPr>
        <sz val="11"/>
        <rFont val="Calibri"/>
        <family val="2"/>
        <scheme val="minor"/>
      </rPr>
      <t xml:space="preserve"> textbox length should be limited to 20 characters.</t>
    </r>
  </si>
  <si>
    <r>
      <t xml:space="preserve">1. </t>
    </r>
    <r>
      <rPr>
        <b/>
        <sz val="11"/>
        <color theme="1"/>
        <rFont val="Calibri"/>
        <family val="2"/>
        <scheme val="minor"/>
      </rPr>
      <t>Licence No</t>
    </r>
    <r>
      <rPr>
        <sz val="11"/>
        <color theme="1"/>
        <rFont val="Calibri"/>
        <family val="2"/>
        <scheme val="minor"/>
      </rPr>
      <t xml:space="preserve"> text is accepting all types of values.
3. 20-character limit is correctly implemented.
Note: </t>
    </r>
    <r>
      <rPr>
        <b/>
        <sz val="11"/>
        <color theme="1"/>
        <rFont val="Calibri"/>
        <family val="2"/>
        <scheme val="minor"/>
      </rPr>
      <t>Licence No</t>
    </r>
    <r>
      <rPr>
        <sz val="11"/>
        <color theme="1"/>
        <rFont val="Calibri"/>
        <family val="2"/>
        <scheme val="minor"/>
      </rPr>
      <t xml:space="preserve"> textbox should be accept only alphanumeric values only.</t>
    </r>
  </si>
  <si>
    <t>Licence_Master_08</t>
  </si>
  <si>
    <r>
      <t>Validate the functionality of</t>
    </r>
    <r>
      <rPr>
        <b/>
        <sz val="11"/>
        <color theme="1"/>
        <rFont val="Calibri"/>
        <family val="2"/>
        <scheme val="minor"/>
      </rPr>
      <t xml:space="preserve"> Licence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</si>
  <si>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1. Navigate to</t>
    </r>
    <r>
      <rPr>
        <b/>
        <sz val="11"/>
        <color theme="1"/>
        <rFont val="Calibri"/>
        <family val="2"/>
        <scheme val="minor"/>
      </rPr>
      <t xml:space="preserve"> Masters -&gt; EDI Master -&gt; Licence Master</t>
    </r>
    <r>
      <rPr>
        <sz val="11"/>
        <color theme="1"/>
        <rFont val="Calibri"/>
        <family val="2"/>
        <scheme val="minor"/>
      </rPr>
      <t xml:space="preserve">
2. Locate the </t>
    </r>
    <r>
      <rPr>
        <b/>
        <sz val="11"/>
        <color theme="1"/>
        <rFont val="Calibri"/>
        <family val="2"/>
        <scheme val="minor"/>
      </rPr>
      <t>Licence Date</t>
    </r>
    <r>
      <rPr>
        <sz val="11"/>
        <color theme="1"/>
        <rFont val="Calibri"/>
        <family val="2"/>
        <scheme val="minor"/>
      </rPr>
      <t xml:space="preserve"> textobx.
3. In the </t>
    </r>
    <r>
      <rPr>
        <b/>
        <sz val="11"/>
        <color theme="1"/>
        <rFont val="Calibri"/>
        <family val="2"/>
        <scheme val="minor"/>
      </rPr>
      <t>Licence Date</t>
    </r>
    <r>
      <rPr>
        <sz val="11"/>
        <color theme="1"/>
        <rFont val="Calibri"/>
        <family val="2"/>
        <scheme val="minor"/>
      </rPr>
      <t xml:space="preserve"> textbox, try entering manual inputs.
3. Select  </t>
    </r>
    <r>
      <rPr>
        <b/>
        <sz val="11"/>
        <color theme="1"/>
        <rFont val="Calibri"/>
        <family val="2"/>
        <scheme val="minor"/>
      </rPr>
      <t>Licence Date</t>
    </r>
    <r>
      <rPr>
        <sz val="11"/>
        <color theme="1"/>
        <rFont val="Calibri"/>
        <family val="2"/>
        <scheme val="minor"/>
      </rPr>
      <t xml:space="preserve"> from the calendar autosuggest
4. Observe the System behaviour </t>
    </r>
  </si>
  <si>
    <r>
      <t xml:space="preserve">Textbox - </t>
    </r>
    <r>
      <rPr>
        <b/>
        <sz val="11"/>
        <color theme="1"/>
        <rFont val="Calibri"/>
        <family val="2"/>
        <scheme val="minor"/>
      </rPr>
      <t>Licence Date
Manual Inputs:</t>
    </r>
    <r>
      <rPr>
        <sz val="11"/>
        <color theme="1"/>
        <rFont val="Calibri"/>
        <family val="2"/>
        <scheme val="minor"/>
      </rPr>
      <t xml:space="preserve">
 -&gt; 1234567890
 -&gt; 6346374230
</t>
    </r>
    <r>
      <rPr>
        <b/>
        <sz val="11"/>
        <color theme="1"/>
        <rFont val="Calibri"/>
        <family val="2"/>
        <scheme val="minor"/>
      </rPr>
      <t>Autosuggest Value:</t>
    </r>
    <r>
      <rPr>
        <sz val="11"/>
        <color theme="1"/>
        <rFont val="Calibri"/>
        <family val="2"/>
        <scheme val="minor"/>
      </rPr>
      <t xml:space="preserve">
 -&gt; 13/02/2026</t>
    </r>
  </si>
  <si>
    <r>
      <t xml:space="preserve">1. Wrong Manual input should not be allowed in the </t>
    </r>
    <r>
      <rPr>
        <b/>
        <sz val="11"/>
        <color theme="1"/>
        <rFont val="Calibri"/>
        <family val="2"/>
        <scheme val="minor"/>
      </rPr>
      <t>Licence Date</t>
    </r>
    <r>
      <rPr>
        <sz val="11"/>
        <color theme="1"/>
        <rFont val="Calibri"/>
        <family val="2"/>
        <scheme val="minor"/>
      </rPr>
      <t xml:space="preserve"> field.
2. User should be able to select the </t>
    </r>
    <r>
      <rPr>
        <b/>
        <sz val="11"/>
        <color theme="1"/>
        <rFont val="Calibri"/>
        <family val="2"/>
        <scheme val="minor"/>
      </rPr>
      <t>Licence Date</t>
    </r>
    <r>
      <rPr>
        <sz val="11"/>
        <color theme="1"/>
        <rFont val="Calibri"/>
        <family val="2"/>
        <scheme val="minor"/>
      </rPr>
      <t xml:space="preserve"> only via the calendar autosuggest.
3. If an invalid date format is typed, the textbox should automatically clear or show a validation message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Licence Date</t>
    </r>
    <r>
      <rPr>
        <sz val="11"/>
        <color theme="1"/>
        <rFont val="Calibri"/>
        <family val="2"/>
        <scheme val="minor"/>
      </rPr>
      <t xml:space="preserve"> textbox character limit should be maximum 10 characters</t>
    </r>
  </si>
  <si>
    <t>Licence_Master_09</t>
  </si>
  <si>
    <t xml:space="preserve">1. Functionality is working as expected
2. Record is not saving with invalid data format
Note: Validation message is coming while saving the record with but as per the textbox level message is not coming 
</t>
  </si>
  <si>
    <r>
      <t>Validate the functionality of</t>
    </r>
    <r>
      <rPr>
        <b/>
        <sz val="11"/>
        <color theme="1"/>
        <rFont val="Calibri"/>
        <family val="2"/>
        <scheme val="minor"/>
      </rPr>
      <t xml:space="preserve"> Validity(in Months)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</si>
  <si>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Validity(in Months)</t>
    </r>
    <r>
      <rPr>
        <sz val="11"/>
        <rFont val="Calibri"/>
        <family val="2"/>
        <scheme val="minor"/>
      </rPr>
      <t xml:space="preserve"> textobx.
3. Enter Valid &amp; Invalid Data in </t>
    </r>
    <r>
      <rPr>
        <b/>
        <sz val="11"/>
        <rFont val="Calibri"/>
        <family val="2"/>
        <scheme val="minor"/>
      </rPr>
      <t>Validity(in Months)</t>
    </r>
    <r>
      <rPr>
        <sz val="11"/>
        <rFont val="Calibri"/>
        <family val="2"/>
        <scheme val="minor"/>
      </rPr>
      <t xml:space="preserve"> textbox.
4. Observe the system behaviour.</t>
    </r>
  </si>
  <si>
    <r>
      <t xml:space="preserve">1. </t>
    </r>
    <r>
      <rPr>
        <b/>
        <sz val="11"/>
        <rFont val="Calibri"/>
        <family val="2"/>
        <scheme val="minor"/>
      </rPr>
      <t xml:space="preserve">Validity(in Months) </t>
    </r>
    <r>
      <rPr>
        <sz val="11"/>
        <rFont val="Calibri"/>
        <family val="2"/>
        <scheme val="minor"/>
      </rPr>
      <t xml:space="preserve">textbox should accept:
 -&gt; Numeric values only
2. </t>
    </r>
    <r>
      <rPr>
        <b/>
        <sz val="11"/>
        <rFont val="Calibri"/>
        <family val="2"/>
        <scheme val="minor"/>
      </rPr>
      <t xml:space="preserve">Validity(in Months) </t>
    </r>
    <r>
      <rPr>
        <sz val="11"/>
        <rFont val="Calibri"/>
        <family val="2"/>
        <scheme val="minor"/>
      </rPr>
      <t xml:space="preserve">should not accept Alphabetic values &amp; Special character values.
2. </t>
    </r>
    <r>
      <rPr>
        <b/>
        <sz val="11"/>
        <rFont val="Calibri"/>
        <family val="2"/>
        <scheme val="minor"/>
      </rPr>
      <t>Validity(in Months)</t>
    </r>
    <r>
      <rPr>
        <sz val="11"/>
        <rFont val="Calibri"/>
        <family val="2"/>
        <scheme val="minor"/>
      </rPr>
      <t xml:space="preserve"> textbox length should be limited to 5 characters.</t>
    </r>
  </si>
  <si>
    <r>
      <t xml:space="preserve">1. </t>
    </r>
    <r>
      <rPr>
        <b/>
        <sz val="11"/>
        <color theme="1"/>
        <rFont val="Calibri"/>
        <family val="2"/>
        <scheme val="minor"/>
      </rPr>
      <t>Validity(in Months)</t>
    </r>
    <r>
      <rPr>
        <sz val="11"/>
        <color theme="1"/>
        <rFont val="Calibri"/>
        <family val="2"/>
        <scheme val="minor"/>
      </rPr>
      <t xml:space="preserve"> text is accepting all types of values.
3. 5-character limit is correctly implemented.
Note: </t>
    </r>
    <r>
      <rPr>
        <b/>
        <sz val="11"/>
        <color theme="1"/>
        <rFont val="Calibri"/>
        <family val="2"/>
        <scheme val="minor"/>
      </rPr>
      <t>Validity(in Months)</t>
    </r>
    <r>
      <rPr>
        <sz val="11"/>
        <color theme="1"/>
        <rFont val="Calibri"/>
        <family val="2"/>
        <scheme val="minor"/>
      </rPr>
      <t xml:space="preserve"> is saved with invalid value such as a speical character</t>
    </r>
  </si>
  <si>
    <t>Licence_Master_10</t>
  </si>
  <si>
    <r>
      <t>Validate the functionality of</t>
    </r>
    <r>
      <rPr>
        <b/>
        <sz val="11"/>
        <color theme="1"/>
        <rFont val="Calibri"/>
        <family val="2"/>
        <scheme val="minor"/>
      </rPr>
      <t xml:space="preserve"> Validity upto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</si>
  <si>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Textbox - </t>
    </r>
    <r>
      <rPr>
        <b/>
        <sz val="11"/>
        <color theme="1"/>
        <rFont val="Calibri"/>
        <family val="2"/>
        <scheme val="minor"/>
      </rPr>
      <t>Licence Date</t>
    </r>
    <r>
      <rPr>
        <sz val="11"/>
        <color theme="1"/>
        <rFont val="Calibri"/>
        <family val="2"/>
        <scheme val="minor"/>
      </rPr>
      <t xml:space="preserve">
</t>
    </r>
    <r>
      <rPr>
        <b/>
        <sz val="11"/>
        <color theme="1"/>
        <rFont val="Calibri"/>
        <family val="2"/>
        <scheme val="minor"/>
      </rPr>
      <t>Autosuggest Value:</t>
    </r>
    <r>
      <rPr>
        <sz val="11"/>
        <color theme="1"/>
        <rFont val="Calibri"/>
        <family val="2"/>
        <scheme val="minor"/>
      </rPr>
      <t xml:space="preserve">
 -&gt; 13/02/2026
</t>
    </r>
    <r>
      <rPr>
        <b/>
        <sz val="11"/>
        <color theme="1"/>
        <rFont val="Calibri"/>
        <family val="2"/>
        <scheme val="minor"/>
      </rPr>
      <t>Validity (in Months):</t>
    </r>
    <r>
      <rPr>
        <sz val="11"/>
        <color theme="1"/>
        <rFont val="Calibri"/>
        <family val="2"/>
        <scheme val="minor"/>
      </rPr>
      <t xml:space="preserve">
 -&gt; 5</t>
    </r>
  </si>
  <si>
    <r>
      <t>1.</t>
    </r>
    <r>
      <rPr>
        <b/>
        <sz val="11"/>
        <color theme="1"/>
        <rFont val="Calibri"/>
        <family val="2"/>
        <scheme val="minor"/>
      </rPr>
      <t xml:space="preserve"> Licence Date </t>
    </r>
    <r>
      <rPr>
        <sz val="11"/>
        <color theme="1"/>
        <rFont val="Calibri"/>
        <family val="2"/>
        <scheme val="minor"/>
      </rPr>
      <t xml:space="preserve">should accept only valid date format </t>
    </r>
    <r>
      <rPr>
        <b/>
        <sz val="11"/>
        <color theme="1"/>
        <rFont val="Calibri"/>
        <family val="2"/>
        <scheme val="minor"/>
      </rPr>
      <t>(DD/MM/YYYY)</t>
    </r>
    <r>
      <rPr>
        <sz val="11"/>
        <color theme="1"/>
        <rFont val="Calibri"/>
        <family val="2"/>
        <scheme val="minor"/>
      </rPr>
      <t xml:space="preserve">.
2. </t>
    </r>
    <r>
      <rPr>
        <b/>
        <sz val="11"/>
        <color theme="1"/>
        <rFont val="Calibri"/>
        <family val="2"/>
        <scheme val="minor"/>
      </rPr>
      <t>Validity (in Months)</t>
    </r>
    <r>
      <rPr>
        <sz val="11"/>
        <color theme="1"/>
        <rFont val="Calibri"/>
        <family val="2"/>
        <scheme val="minor"/>
      </rPr>
      <t xml:space="preserve"> should accept only numeric values
 - &gt; Negative values and zero should not be allowed
3. </t>
    </r>
    <r>
      <rPr>
        <b/>
        <sz val="11"/>
        <color theme="1"/>
        <rFont val="Calibri"/>
        <family val="2"/>
        <scheme val="minor"/>
      </rPr>
      <t>Validity Upto</t>
    </r>
    <r>
      <rPr>
        <sz val="11"/>
        <color theme="1"/>
        <rFont val="Calibri"/>
        <family val="2"/>
        <scheme val="minor"/>
      </rPr>
      <t xml:space="preserve"> Field should be auto-calculated. Based on:
</t>
    </r>
    <r>
      <rPr>
        <b/>
        <sz val="11"/>
        <color theme="1"/>
        <rFont val="Calibri"/>
        <family val="2"/>
        <scheme val="minor"/>
      </rPr>
      <t xml:space="preserve">Validity Upto = Licence Date + Entered Months
</t>
    </r>
    <r>
      <rPr>
        <sz val="11"/>
        <color theme="1"/>
        <rFont val="Calibri"/>
        <family val="2"/>
        <scheme val="minor"/>
      </rPr>
      <t xml:space="preserve">Example: 
 -&gt; Licence Date: 13/02/2026
 -&gt; Validity (in Months): 12
 -&gt; </t>
    </r>
    <r>
      <rPr>
        <b/>
        <sz val="11"/>
        <color theme="1"/>
        <rFont val="Calibri"/>
        <family val="2"/>
        <scheme val="minor"/>
      </rPr>
      <t xml:space="preserve">Validity Upto should be: 13/02/2027
</t>
    </r>
    <r>
      <rPr>
        <sz val="11"/>
        <color theme="1"/>
        <rFont val="Calibri"/>
        <family val="2"/>
        <scheme val="minor"/>
      </rPr>
      <t>4. User should be able to change the</t>
    </r>
    <r>
      <rPr>
        <b/>
        <sz val="11"/>
        <color theme="1"/>
        <rFont val="Calibri"/>
        <family val="2"/>
        <scheme val="minor"/>
      </rPr>
      <t xml:space="preserve"> Validity Upto </t>
    </r>
    <r>
      <rPr>
        <sz val="11"/>
        <color theme="1"/>
        <rFont val="Calibri"/>
        <family val="2"/>
        <scheme val="minor"/>
      </rPr>
      <t>date by using autosuggest calander as per requirement.</t>
    </r>
  </si>
  <si>
    <r>
      <t xml:space="preserve">1. Navigate to </t>
    </r>
    <r>
      <rPr>
        <b/>
        <sz val="11"/>
        <color theme="1"/>
        <rFont val="Calibri"/>
        <family val="2"/>
        <scheme val="minor"/>
      </rPr>
      <t>Masters → EDI Master → Licence Master</t>
    </r>
    <r>
      <rPr>
        <sz val="11"/>
        <color theme="1"/>
        <rFont val="Calibri"/>
        <family val="2"/>
        <scheme val="minor"/>
      </rPr>
      <t xml:space="preserve">
2. Locate the following fields:
 -&gt; </t>
    </r>
    <r>
      <rPr>
        <b/>
        <sz val="11"/>
        <color theme="1"/>
        <rFont val="Calibri"/>
        <family val="2"/>
        <scheme val="minor"/>
      </rPr>
      <t xml:space="preserve">Licence Date </t>
    </r>
    <r>
      <rPr>
        <sz val="11"/>
        <color theme="1"/>
        <rFont val="Calibri"/>
        <family val="2"/>
        <scheme val="minor"/>
      </rPr>
      <t xml:space="preserve">
 -&gt; </t>
    </r>
    <r>
      <rPr>
        <b/>
        <sz val="11"/>
        <color theme="1"/>
        <rFont val="Calibri"/>
        <family val="2"/>
        <scheme val="minor"/>
      </rPr>
      <t>Validity (in Months)</t>
    </r>
    <r>
      <rPr>
        <sz val="11"/>
        <color theme="1"/>
        <rFont val="Calibri"/>
        <family val="2"/>
        <scheme val="minor"/>
      </rPr>
      <t xml:space="preserve"> 
 -&gt; </t>
    </r>
    <r>
      <rPr>
        <b/>
        <sz val="11"/>
        <color theme="1"/>
        <rFont val="Calibri"/>
        <family val="2"/>
        <scheme val="minor"/>
      </rPr>
      <t xml:space="preserve">Validity Upto </t>
    </r>
    <r>
      <rPr>
        <sz val="11"/>
        <color theme="1"/>
        <rFont val="Calibri"/>
        <family val="2"/>
        <scheme val="minor"/>
      </rPr>
      <t xml:space="preserve">
3. Select a valid date in the </t>
    </r>
    <r>
      <rPr>
        <b/>
        <sz val="11"/>
        <color theme="1"/>
        <rFont val="Calibri"/>
        <family val="2"/>
        <scheme val="minor"/>
      </rPr>
      <t>Licence Date</t>
    </r>
    <r>
      <rPr>
        <sz val="11"/>
        <color theme="1"/>
        <rFont val="Calibri"/>
        <family val="2"/>
        <scheme val="minor"/>
      </rPr>
      <t xml:space="preserve"> field using the calendar control.
4. Enter a valid value in the </t>
    </r>
    <r>
      <rPr>
        <b/>
        <sz val="11"/>
        <color theme="1"/>
        <rFont val="Calibri"/>
        <family val="2"/>
        <scheme val="minor"/>
      </rPr>
      <t>Validity (in Months)</t>
    </r>
    <r>
      <rPr>
        <sz val="11"/>
        <color theme="1"/>
        <rFont val="Calibri"/>
        <family val="2"/>
        <scheme val="minor"/>
      </rPr>
      <t xml:space="preserve"> textbox.
5. Observe the auto-populated value in the </t>
    </r>
    <r>
      <rPr>
        <b/>
        <sz val="11"/>
        <color theme="1"/>
        <rFont val="Calibri"/>
        <family val="2"/>
        <scheme val="minor"/>
      </rPr>
      <t xml:space="preserve">Validity Upto </t>
    </r>
    <r>
      <rPr>
        <sz val="11"/>
        <color theme="1"/>
        <rFont val="Calibri"/>
        <family val="2"/>
        <scheme val="minor"/>
      </rPr>
      <t>textbox.</t>
    </r>
  </si>
  <si>
    <t>Licence_Master_11</t>
  </si>
  <si>
    <r>
      <t>Validate the functionality of</t>
    </r>
    <r>
      <rPr>
        <b/>
        <sz val="11"/>
        <color theme="1"/>
        <rFont val="Calibri"/>
        <family val="2"/>
        <scheme val="minor"/>
      </rPr>
      <t xml:space="preserve"> Total CIF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</si>
  <si>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Total CIF</t>
    </r>
    <r>
      <rPr>
        <sz val="11"/>
        <rFont val="Calibri"/>
        <family val="2"/>
        <scheme val="minor"/>
      </rPr>
      <t xml:space="preserve"> textobx.
3. Enter Valid &amp; Invalid Data in </t>
    </r>
    <r>
      <rPr>
        <b/>
        <sz val="11"/>
        <rFont val="Calibri"/>
        <family val="2"/>
        <scheme val="minor"/>
      </rPr>
      <t>Total CIF</t>
    </r>
    <r>
      <rPr>
        <sz val="11"/>
        <rFont val="Calibri"/>
        <family val="2"/>
        <scheme val="minor"/>
      </rPr>
      <t xml:space="preserve"> textbox.
4. Observe the system behaviour.</t>
    </r>
  </si>
  <si>
    <r>
      <t xml:space="preserve">1. </t>
    </r>
    <r>
      <rPr>
        <b/>
        <sz val="11"/>
        <color theme="1"/>
        <rFont val="Calibri"/>
        <family val="2"/>
        <scheme val="minor"/>
      </rPr>
      <t>Total CIF</t>
    </r>
    <r>
      <rPr>
        <sz val="11"/>
        <color theme="1"/>
        <rFont val="Calibri"/>
        <family val="2"/>
        <scheme val="minor"/>
      </rPr>
      <t xml:space="preserve"> textbox should accept valid </t>
    </r>
    <r>
      <rPr>
        <b/>
        <sz val="11"/>
        <color theme="1"/>
        <rFont val="Calibri"/>
        <family val="2"/>
        <scheme val="minor"/>
      </rPr>
      <t>numeric and decimal values only.
2. Total CIF</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Total CIF </t>
    </r>
    <r>
      <rPr>
        <sz val="11"/>
        <color theme="1"/>
        <rFont val="Calibri"/>
        <family val="2"/>
        <scheme val="minor"/>
      </rPr>
      <t>textbox character limit should be maximum 12 characters</t>
    </r>
  </si>
  <si>
    <t>Licence_Master_12</t>
  </si>
  <si>
    <r>
      <t>Validate the functionality of</t>
    </r>
    <r>
      <rPr>
        <b/>
        <sz val="11"/>
        <color theme="1"/>
        <rFont val="Calibri"/>
        <family val="2"/>
        <scheme val="minor"/>
      </rPr>
      <t xml:space="preserve"> Total CIF Curr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</si>
  <si>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 xml:space="preserve">Masters → EDI Master → Licence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Total CIF Curr </t>
    </r>
    <r>
      <rPr>
        <sz val="11"/>
        <color theme="1"/>
        <rFont val="Calibri"/>
        <family val="2"/>
        <scheme val="minor"/>
      </rPr>
      <t xml:space="preserve">textbox.
3. Try entering manual inputs
4. Trigger the autosuggest list by entering the % symbol.
5. Select a valid </t>
    </r>
    <r>
      <rPr>
        <b/>
        <sz val="11"/>
        <color theme="1"/>
        <rFont val="Calibri"/>
        <family val="2"/>
        <scheme val="minor"/>
      </rPr>
      <t>Total CIF Curr</t>
    </r>
    <r>
      <rPr>
        <sz val="11"/>
        <color theme="1"/>
        <rFont val="Calibri"/>
        <family val="2"/>
        <scheme val="minor"/>
      </rPr>
      <t xml:space="preserve"> value from the autosuggest list 
6.Observe the system behavior.</t>
    </r>
  </si>
  <si>
    <r>
      <t xml:space="preserve">Textbox - </t>
    </r>
    <r>
      <rPr>
        <b/>
        <sz val="11"/>
        <color theme="1"/>
        <rFont val="Calibri"/>
        <family val="2"/>
        <scheme val="minor"/>
      </rPr>
      <t xml:space="preserve">Total CIF Curr
</t>
    </r>
  </si>
  <si>
    <r>
      <t xml:space="preserve">1. The </t>
    </r>
    <r>
      <rPr>
        <b/>
        <sz val="11"/>
        <color theme="1"/>
        <rFont val="Calibri"/>
        <family val="2"/>
        <scheme val="minor"/>
      </rPr>
      <t>Total CIF Curr</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</si>
  <si>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r>
      <t xml:space="preserve">The </t>
    </r>
    <r>
      <rPr>
        <b/>
        <sz val="11"/>
        <color theme="1"/>
        <rFont val="Calibri"/>
        <family val="2"/>
        <scheme val="minor"/>
      </rPr>
      <t>Total CIF Curr</t>
    </r>
    <r>
      <rPr>
        <sz val="11"/>
        <color theme="1"/>
        <rFont val="Calibri"/>
        <family val="2"/>
        <scheme val="minor"/>
      </rPr>
      <t xml:space="preserve"> textbox is functioning as expected.</t>
    </r>
  </si>
  <si>
    <t>Licence_Master_13</t>
  </si>
  <si>
    <r>
      <t>Validate the functionality of</t>
    </r>
    <r>
      <rPr>
        <b/>
        <sz val="11"/>
        <color theme="1"/>
        <rFont val="Calibri"/>
        <family val="2"/>
        <scheme val="minor"/>
      </rPr>
      <t xml:space="preserve"> File No/Regn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</si>
  <si>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File No/Regn No</t>
    </r>
    <r>
      <rPr>
        <sz val="11"/>
        <rFont val="Calibri"/>
        <family val="2"/>
        <scheme val="minor"/>
      </rPr>
      <t xml:space="preserve"> textobx.
3. Enter Valid &amp; Invalid Data in </t>
    </r>
    <r>
      <rPr>
        <b/>
        <sz val="11"/>
        <rFont val="Calibri"/>
        <family val="2"/>
        <scheme val="minor"/>
      </rPr>
      <t>File No/Regn No</t>
    </r>
    <r>
      <rPr>
        <sz val="11"/>
        <rFont val="Calibri"/>
        <family val="2"/>
        <scheme val="minor"/>
      </rPr>
      <t xml:space="preserve"> textbox.
4. Observe the system behaviour.</t>
    </r>
  </si>
  <si>
    <r>
      <t xml:space="preserve">1. </t>
    </r>
    <r>
      <rPr>
        <b/>
        <sz val="11"/>
        <rFont val="Calibri"/>
        <family val="2"/>
        <scheme val="minor"/>
      </rPr>
      <t xml:space="preserve">File No/Regn No </t>
    </r>
    <r>
      <rPr>
        <sz val="11"/>
        <rFont val="Calibri"/>
        <family val="2"/>
        <scheme val="minor"/>
      </rPr>
      <t xml:space="preserve">textbox should accept:
 -&gt; Alphanumeric values only
2. </t>
    </r>
    <r>
      <rPr>
        <b/>
        <sz val="11"/>
        <rFont val="Calibri"/>
        <family val="2"/>
        <scheme val="minor"/>
      </rPr>
      <t xml:space="preserve">File No/Regn No </t>
    </r>
    <r>
      <rPr>
        <sz val="11"/>
        <rFont val="Calibri"/>
        <family val="2"/>
        <scheme val="minor"/>
      </rPr>
      <t xml:space="preserve">should not accept Special character values.
2. </t>
    </r>
    <r>
      <rPr>
        <b/>
        <sz val="11"/>
        <rFont val="Calibri"/>
        <family val="2"/>
        <scheme val="minor"/>
      </rPr>
      <t>File No/Regn No</t>
    </r>
    <r>
      <rPr>
        <sz val="11"/>
        <rFont val="Calibri"/>
        <family val="2"/>
        <scheme val="minor"/>
      </rPr>
      <t xml:space="preserve"> textbox length should be limited to 25 characters.</t>
    </r>
  </si>
  <si>
    <r>
      <t xml:space="preserve">1. </t>
    </r>
    <r>
      <rPr>
        <b/>
        <sz val="11"/>
        <color theme="1"/>
        <rFont val="Calibri"/>
        <family val="2"/>
        <scheme val="minor"/>
      </rPr>
      <t>File No/Regn No</t>
    </r>
    <r>
      <rPr>
        <sz val="11"/>
        <color theme="1"/>
        <rFont val="Calibri"/>
        <family val="2"/>
        <scheme val="minor"/>
      </rPr>
      <t xml:space="preserve"> text is accepting all types of values.
3. 25-character limit is correctly implemented.
</t>
    </r>
  </si>
  <si>
    <t>Licence_Master_14</t>
  </si>
  <si>
    <r>
      <t xml:space="preserve">Functionality is working as expected
</t>
    </r>
    <r>
      <rPr>
        <b/>
        <sz val="11"/>
        <color theme="1"/>
        <rFont val="Calibri"/>
        <family val="2"/>
        <scheme val="minor"/>
      </rPr>
      <t xml:space="preserve">
Note: If invalid data is entered in this textbox, invalid data validation message is coming but on clicking on ok button, it is not removing.
(Need to refresh the page to remove this pop-up)</t>
    </r>
  </si>
  <si>
    <r>
      <t>Validate the functionality of</t>
    </r>
    <r>
      <rPr>
        <b/>
        <sz val="11"/>
        <color theme="1"/>
        <rFont val="Calibri"/>
        <family val="2"/>
        <scheme val="minor"/>
      </rPr>
      <t xml:space="preserve"> File Dt/Regn Dt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</si>
  <si>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1. Navigate to</t>
    </r>
    <r>
      <rPr>
        <b/>
        <sz val="11"/>
        <color theme="1"/>
        <rFont val="Calibri"/>
        <family val="2"/>
        <scheme val="minor"/>
      </rPr>
      <t xml:space="preserve"> Masters -&gt; EDI Master -&gt; Licence Master</t>
    </r>
    <r>
      <rPr>
        <sz val="11"/>
        <color theme="1"/>
        <rFont val="Calibri"/>
        <family val="2"/>
        <scheme val="minor"/>
      </rPr>
      <t xml:space="preserve">
2. Locate the </t>
    </r>
    <r>
      <rPr>
        <b/>
        <sz val="11"/>
        <color theme="1"/>
        <rFont val="Calibri"/>
        <family val="2"/>
        <scheme val="minor"/>
      </rPr>
      <t>File Dt/Regn Dt</t>
    </r>
    <r>
      <rPr>
        <sz val="11"/>
        <color theme="1"/>
        <rFont val="Calibri"/>
        <family val="2"/>
        <scheme val="minor"/>
      </rPr>
      <t xml:space="preserve"> textobx.
3. In the </t>
    </r>
    <r>
      <rPr>
        <b/>
        <sz val="11"/>
        <color theme="1"/>
        <rFont val="Calibri"/>
        <family val="2"/>
        <scheme val="minor"/>
      </rPr>
      <t>File Dt/Regn Dt</t>
    </r>
    <r>
      <rPr>
        <sz val="11"/>
        <color theme="1"/>
        <rFont val="Calibri"/>
        <family val="2"/>
        <scheme val="minor"/>
      </rPr>
      <t xml:space="preserve"> textbox, try entering manual inputs.
3. Select </t>
    </r>
    <r>
      <rPr>
        <b/>
        <sz val="11"/>
        <color theme="1"/>
        <rFont val="Calibri"/>
        <family val="2"/>
        <scheme val="minor"/>
      </rPr>
      <t>File Dt/Regn Dt</t>
    </r>
    <r>
      <rPr>
        <sz val="11"/>
        <color theme="1"/>
        <rFont val="Calibri"/>
        <family val="2"/>
        <scheme val="minor"/>
      </rPr>
      <t xml:space="preserve"> from the calendar autosuggest
4. Observe the System behaviour </t>
    </r>
  </si>
  <si>
    <r>
      <t xml:space="preserve">Textbox - </t>
    </r>
    <r>
      <rPr>
        <b/>
        <sz val="11"/>
        <color theme="1"/>
        <rFont val="Calibri"/>
        <family val="2"/>
        <scheme val="minor"/>
      </rPr>
      <t>File Dt/Regn Dt
Manual Inputs:</t>
    </r>
    <r>
      <rPr>
        <sz val="11"/>
        <color theme="1"/>
        <rFont val="Calibri"/>
        <family val="2"/>
        <scheme val="minor"/>
      </rPr>
      <t xml:space="preserve">
 -&gt; 1234567890
 -&gt; 6346374230
</t>
    </r>
    <r>
      <rPr>
        <b/>
        <sz val="11"/>
        <color theme="1"/>
        <rFont val="Calibri"/>
        <family val="2"/>
        <scheme val="minor"/>
      </rPr>
      <t>Autosuggest Value:</t>
    </r>
    <r>
      <rPr>
        <sz val="11"/>
        <color theme="1"/>
        <rFont val="Calibri"/>
        <family val="2"/>
        <scheme val="minor"/>
      </rPr>
      <t xml:space="preserve">
 -&gt; 13/02/2026</t>
    </r>
  </si>
  <si>
    <r>
      <t xml:space="preserve">1. Wrong Manual input should not be allowed in the </t>
    </r>
    <r>
      <rPr>
        <b/>
        <sz val="11"/>
        <color theme="1"/>
        <rFont val="Calibri"/>
        <family val="2"/>
        <scheme val="minor"/>
      </rPr>
      <t>File Dt/Regn Dt</t>
    </r>
    <r>
      <rPr>
        <sz val="11"/>
        <color theme="1"/>
        <rFont val="Calibri"/>
        <family val="2"/>
        <scheme val="minor"/>
      </rPr>
      <t xml:space="preserve"> field.
2. User should be able to select the </t>
    </r>
    <r>
      <rPr>
        <b/>
        <sz val="11"/>
        <color theme="1"/>
        <rFont val="Calibri"/>
        <family val="2"/>
        <scheme val="minor"/>
      </rPr>
      <t>File Dt/Regn Dt</t>
    </r>
    <r>
      <rPr>
        <sz val="11"/>
        <color theme="1"/>
        <rFont val="Calibri"/>
        <family val="2"/>
        <scheme val="minor"/>
      </rPr>
      <t xml:space="preserve"> only via the calendar autosuggest.
3. If an invalid date format is typed, the textbox should automatically clear or show a validation message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File Dt/Regn Dt</t>
    </r>
    <r>
      <rPr>
        <sz val="11"/>
        <color theme="1"/>
        <rFont val="Calibri"/>
        <family val="2"/>
        <scheme val="minor"/>
      </rPr>
      <t xml:space="preserve"> textbox character limit should be maximum 10 characters</t>
    </r>
  </si>
  <si>
    <r>
      <t xml:space="preserve">1. Functionality is working as expected
2. Record is not saving with invalid data format
</t>
    </r>
    <r>
      <rPr>
        <b/>
        <sz val="11"/>
        <color theme="1"/>
        <rFont val="Calibri"/>
        <family val="2"/>
        <scheme val="minor"/>
      </rPr>
      <t>Note: If invalid data is entered in this textbox, invalid data validation message is coming but on clicking on ok button, it is not removing.
(Need to refresh the page to remove this pop-up)</t>
    </r>
  </si>
  <si>
    <t>Licence_Master_15</t>
  </si>
  <si>
    <r>
      <t>Validate the functionality of</t>
    </r>
    <r>
      <rPr>
        <b/>
        <sz val="11"/>
        <color theme="1"/>
        <rFont val="Calibri"/>
        <family val="2"/>
        <scheme val="minor"/>
      </rPr>
      <t xml:space="preserve"> Scheme Code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</si>
  <si>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 xml:space="preserve">Masters → EDI Master → Licence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Scheme Code </t>
    </r>
    <r>
      <rPr>
        <sz val="11"/>
        <color theme="1"/>
        <rFont val="Calibri"/>
        <family val="2"/>
        <scheme val="minor"/>
      </rPr>
      <t xml:space="preserve">textbox.
3. Try entering manual inputs
4. Trigger the autosuggest list by entering the % symbol.
5. Select a valid </t>
    </r>
    <r>
      <rPr>
        <b/>
        <sz val="11"/>
        <color theme="1"/>
        <rFont val="Calibri"/>
        <family val="2"/>
        <scheme val="minor"/>
      </rPr>
      <t>Scheme Code</t>
    </r>
    <r>
      <rPr>
        <sz val="11"/>
        <color theme="1"/>
        <rFont val="Calibri"/>
        <family val="2"/>
        <scheme val="minor"/>
      </rPr>
      <t xml:space="preserve"> value from the autosuggest list 
6.Observe the system behavior.</t>
    </r>
  </si>
  <si>
    <r>
      <t>Textbox - Scheme Code</t>
    </r>
    <r>
      <rPr>
        <b/>
        <sz val="11"/>
        <color theme="1"/>
        <rFont val="Calibri"/>
        <family val="2"/>
        <scheme val="minor"/>
      </rPr>
      <t xml:space="preserve">
</t>
    </r>
  </si>
  <si>
    <t>1. Functionality is not working as expected.
2. It is not accepting % to trigger out the autosuggest list.
3. It is accepting only numeric value, based on entered numeric value, autosuggest value is coming in the list</t>
  </si>
  <si>
    <t>Licence_Master_16</t>
  </si>
  <si>
    <r>
      <t xml:space="preserve">Validate the functionality of </t>
    </r>
    <r>
      <rPr>
        <b/>
        <sz val="11"/>
        <color theme="1"/>
        <rFont val="Calibri"/>
        <family val="2"/>
        <scheme val="minor"/>
      </rPr>
      <t>Licence Type</t>
    </r>
    <r>
      <rPr>
        <sz val="11"/>
        <color theme="1"/>
        <rFont val="Calibri"/>
        <family val="2"/>
        <scheme val="minor"/>
      </rPr>
      <t xml:space="preserve"> dropdown 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</si>
  <si>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Masters → EDI Master → Licence Master</t>
    </r>
    <r>
      <rPr>
        <sz val="11"/>
        <color theme="1"/>
        <rFont val="Calibri"/>
        <family val="2"/>
        <scheme val="minor"/>
      </rPr>
      <t xml:space="preserve">
2. Locate the </t>
    </r>
    <r>
      <rPr>
        <b/>
        <sz val="11"/>
        <color theme="1"/>
        <rFont val="Calibri"/>
        <family val="2"/>
        <scheme val="minor"/>
      </rPr>
      <t>Licence Type</t>
    </r>
    <r>
      <rPr>
        <sz val="11"/>
        <color theme="1"/>
        <rFont val="Calibri"/>
        <family val="2"/>
        <scheme val="minor"/>
      </rPr>
      <t xml:space="preserve"> textbox.
3.  select a value from the dropdown list
4. Oberve the system behaviour.</t>
    </r>
  </si>
  <si>
    <r>
      <t xml:space="preserve">Textbox - </t>
    </r>
    <r>
      <rPr>
        <b/>
        <sz val="11"/>
        <color theme="1"/>
        <rFont val="Calibri"/>
        <family val="2"/>
        <scheme val="minor"/>
      </rPr>
      <t>Licence Type
Manual Inputs:</t>
    </r>
    <r>
      <rPr>
        <sz val="11"/>
        <color theme="1"/>
        <rFont val="Calibri"/>
        <family val="2"/>
        <scheme val="minor"/>
      </rPr>
      <t xml:space="preserve">
Space, special characters, numeric values, alphabets
</t>
    </r>
    <r>
      <rPr>
        <b/>
        <sz val="11"/>
        <color theme="1"/>
        <rFont val="Calibri"/>
        <family val="2"/>
        <scheme val="minor"/>
      </rPr>
      <t>Dropdown Inputs:</t>
    </r>
    <r>
      <rPr>
        <sz val="11"/>
        <color theme="1"/>
        <rFont val="Calibri"/>
        <family val="2"/>
        <scheme val="minor"/>
      </rPr>
      <t xml:space="preserve">
DEEC , EPCG, DFIA etc.</t>
    </r>
  </si>
  <si>
    <r>
      <t xml:space="preserve">1. </t>
    </r>
    <r>
      <rPr>
        <b/>
        <sz val="11"/>
        <color theme="1"/>
        <rFont val="Calibri"/>
        <family val="2"/>
        <scheme val="minor"/>
      </rPr>
      <t xml:space="preserve">Licence Type </t>
    </r>
    <r>
      <rPr>
        <sz val="11"/>
        <color theme="1"/>
        <rFont val="Calibri"/>
        <family val="2"/>
        <scheme val="minor"/>
      </rPr>
      <t>must be able to select values only from the dropdown list.
3. Dropdown value should be changeable.</t>
    </r>
  </si>
  <si>
    <t>Licence_Master_17</t>
  </si>
  <si>
    <r>
      <t>Validate the functionality of</t>
    </r>
    <r>
      <rPr>
        <b/>
        <sz val="11"/>
        <color theme="1"/>
        <rFont val="Calibri"/>
        <family val="2"/>
        <scheme val="minor"/>
      </rPr>
      <t xml:space="preserve"> Exp Sr No(E)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</si>
  <si>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Exp Sr No(E)</t>
    </r>
    <r>
      <rPr>
        <sz val="11"/>
        <rFont val="Calibri"/>
        <family val="2"/>
        <scheme val="minor"/>
      </rPr>
      <t xml:space="preserve"> textobx.
3. Enter Valid &amp; Invalid Data in </t>
    </r>
    <r>
      <rPr>
        <b/>
        <sz val="11"/>
        <rFont val="Calibri"/>
        <family val="2"/>
        <scheme val="minor"/>
      </rPr>
      <t>Exp Sr No(E)</t>
    </r>
    <r>
      <rPr>
        <sz val="11"/>
        <rFont val="Calibri"/>
        <family val="2"/>
        <scheme val="minor"/>
      </rPr>
      <t xml:space="preserve"> textbox.
4. Observe the system behaviour.</t>
    </r>
  </si>
  <si>
    <r>
      <t xml:space="preserve">1. </t>
    </r>
    <r>
      <rPr>
        <b/>
        <sz val="11"/>
        <rFont val="Calibri"/>
        <family val="2"/>
        <scheme val="minor"/>
      </rPr>
      <t xml:space="preserve">Exp Sr No(E) </t>
    </r>
    <r>
      <rPr>
        <sz val="11"/>
        <rFont val="Calibri"/>
        <family val="2"/>
        <scheme val="minor"/>
      </rPr>
      <t xml:space="preserve">textbox should accept:
 -&gt; Numeric values only
2. </t>
    </r>
    <r>
      <rPr>
        <b/>
        <sz val="11"/>
        <rFont val="Calibri"/>
        <family val="2"/>
        <scheme val="minor"/>
      </rPr>
      <t xml:space="preserve">Exp Sr No(E) </t>
    </r>
    <r>
      <rPr>
        <sz val="11"/>
        <rFont val="Calibri"/>
        <family val="2"/>
        <scheme val="minor"/>
      </rPr>
      <t xml:space="preserve">should not accept Alphabetic &amp; Special character values.
2. </t>
    </r>
    <r>
      <rPr>
        <b/>
        <sz val="11"/>
        <rFont val="Calibri"/>
        <family val="2"/>
        <scheme val="minor"/>
      </rPr>
      <t>Exp Sr No(E)</t>
    </r>
    <r>
      <rPr>
        <sz val="11"/>
        <rFont val="Calibri"/>
        <family val="2"/>
        <scheme val="minor"/>
      </rPr>
      <t xml:space="preserve"> textbox length should be limited to 4 characters.</t>
    </r>
  </si>
  <si>
    <r>
      <rPr>
        <b/>
        <sz val="11"/>
        <color theme="1"/>
        <rFont val="Calibri"/>
        <family val="2"/>
        <scheme val="minor"/>
      </rPr>
      <t>1. Exp Sr No(E) text is accepting all types of values. It is accepting alphabetic value with Shift.</t>
    </r>
    <r>
      <rPr>
        <sz val="11"/>
        <color theme="1"/>
        <rFont val="Calibri"/>
        <family val="2"/>
        <scheme val="minor"/>
      </rPr>
      <t xml:space="preserve">
3. 4-character limit is correctly implemented.
</t>
    </r>
  </si>
  <si>
    <t>Licence_Master_18</t>
  </si>
  <si>
    <r>
      <t>Validate the functionality of</t>
    </r>
    <r>
      <rPr>
        <b/>
        <sz val="11"/>
        <color theme="1"/>
        <rFont val="Calibri"/>
        <family val="2"/>
        <scheme val="minor"/>
      </rPr>
      <t xml:space="preserve"> Item Desc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</si>
  <si>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Item Desc</t>
    </r>
    <r>
      <rPr>
        <sz val="11"/>
        <rFont val="Calibri"/>
        <family val="2"/>
        <scheme val="minor"/>
      </rPr>
      <t xml:space="preserve"> textobx.
3. Enter Valid &amp; Invalid Data in </t>
    </r>
    <r>
      <rPr>
        <b/>
        <sz val="11"/>
        <rFont val="Calibri"/>
        <family val="2"/>
        <scheme val="minor"/>
      </rPr>
      <t>Item Desc</t>
    </r>
    <r>
      <rPr>
        <sz val="11"/>
        <rFont val="Calibri"/>
        <family val="2"/>
        <scheme val="minor"/>
      </rPr>
      <t xml:space="preserve"> textbox.
4. Observe the system behaviour.</t>
    </r>
  </si>
  <si>
    <r>
      <t xml:space="preserve">1. </t>
    </r>
    <r>
      <rPr>
        <b/>
        <sz val="11"/>
        <rFont val="Calibri"/>
        <family val="2"/>
        <scheme val="minor"/>
      </rPr>
      <t xml:space="preserve">Item Desc </t>
    </r>
    <r>
      <rPr>
        <sz val="11"/>
        <rFont val="Calibri"/>
        <family val="2"/>
        <scheme val="minor"/>
      </rPr>
      <t xml:space="preserve">textbox should accept:
 -&gt; Alphanumeric values only
2. </t>
    </r>
    <r>
      <rPr>
        <b/>
        <sz val="11"/>
        <rFont val="Calibri"/>
        <family val="2"/>
        <scheme val="minor"/>
      </rPr>
      <t xml:space="preserve">Item Desc </t>
    </r>
    <r>
      <rPr>
        <sz val="11"/>
        <rFont val="Calibri"/>
        <family val="2"/>
        <scheme val="minor"/>
      </rPr>
      <t xml:space="preserve">should not accept Alphabetic &amp; Special character values.
2. </t>
    </r>
    <r>
      <rPr>
        <b/>
        <sz val="11"/>
        <rFont val="Calibri"/>
        <family val="2"/>
        <scheme val="minor"/>
      </rPr>
      <t>Item Desc</t>
    </r>
    <r>
      <rPr>
        <sz val="11"/>
        <rFont val="Calibri"/>
        <family val="2"/>
        <scheme val="minor"/>
      </rPr>
      <t xml:space="preserve"> textbox length should be limited to 250 characters.</t>
    </r>
  </si>
  <si>
    <r>
      <t xml:space="preserve">1. </t>
    </r>
    <r>
      <rPr>
        <b/>
        <sz val="11"/>
        <color theme="1"/>
        <rFont val="Calibri"/>
        <family val="2"/>
        <scheme val="minor"/>
      </rPr>
      <t>Item Desc</t>
    </r>
    <r>
      <rPr>
        <sz val="11"/>
        <color theme="1"/>
        <rFont val="Calibri"/>
        <family val="2"/>
        <scheme val="minor"/>
      </rPr>
      <t xml:space="preserve"> text is accepting all types of values.
3. 250-character limit is correctly implemented.
Note: </t>
    </r>
    <r>
      <rPr>
        <b/>
        <sz val="11"/>
        <color theme="1"/>
        <rFont val="Calibri"/>
        <family val="2"/>
        <scheme val="minor"/>
      </rPr>
      <t>Item Desc</t>
    </r>
    <r>
      <rPr>
        <sz val="11"/>
        <color theme="1"/>
        <rFont val="Calibri"/>
        <family val="2"/>
        <scheme val="minor"/>
      </rPr>
      <t xml:space="preserve"> textbox can be accept all types of values. </t>
    </r>
  </si>
  <si>
    <t>Licence_Master_19</t>
  </si>
  <si>
    <r>
      <t>Validate the functionality of</t>
    </r>
    <r>
      <rPr>
        <b/>
        <sz val="11"/>
        <color theme="1"/>
        <rFont val="Calibri"/>
        <family val="2"/>
        <scheme val="minor"/>
      </rPr>
      <t xml:space="preserve"> Quantity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</si>
  <si>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Locate the </t>
    </r>
    <r>
      <rPr>
        <b/>
        <sz val="11"/>
        <rFont val="Calibri"/>
        <family val="2"/>
        <scheme val="minor"/>
      </rPr>
      <t>Quantity</t>
    </r>
    <r>
      <rPr>
        <sz val="11"/>
        <rFont val="Calibri"/>
        <family val="2"/>
        <scheme val="minor"/>
      </rPr>
      <t xml:space="preserve"> textobx.
3. Enter Valid &amp; Invalid Data in </t>
    </r>
    <r>
      <rPr>
        <b/>
        <sz val="11"/>
        <rFont val="Calibri"/>
        <family val="2"/>
        <scheme val="minor"/>
      </rPr>
      <t>Quantity</t>
    </r>
    <r>
      <rPr>
        <sz val="11"/>
        <rFont val="Calibri"/>
        <family val="2"/>
        <scheme val="minor"/>
      </rPr>
      <t xml:space="preserve"> textbox.
4. Observe the system behaviour.</t>
    </r>
  </si>
  <si>
    <r>
      <t xml:space="preserve">1. </t>
    </r>
    <r>
      <rPr>
        <b/>
        <sz val="11"/>
        <color theme="1"/>
        <rFont val="Calibri"/>
        <family val="2"/>
        <scheme val="minor"/>
      </rPr>
      <t>Quantity</t>
    </r>
    <r>
      <rPr>
        <sz val="11"/>
        <color theme="1"/>
        <rFont val="Calibri"/>
        <family val="2"/>
        <scheme val="minor"/>
      </rPr>
      <t xml:space="preserve"> textbox should accept valid </t>
    </r>
    <r>
      <rPr>
        <b/>
        <sz val="11"/>
        <color theme="1"/>
        <rFont val="Calibri"/>
        <family val="2"/>
        <scheme val="minor"/>
      </rPr>
      <t>numeric and decimal values only.
2. Quantity</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t>
    </r>
    <r>
      <rPr>
        <b/>
        <sz val="11"/>
        <color theme="1"/>
        <rFont val="Calibri"/>
        <family val="2"/>
        <scheme val="minor"/>
      </rPr>
      <t xml:space="preserve"> Quantity </t>
    </r>
    <r>
      <rPr>
        <sz val="11"/>
        <color theme="1"/>
        <rFont val="Calibri"/>
        <family val="2"/>
        <scheme val="minor"/>
      </rPr>
      <t>textbox character limit should be maximum 7 characters</t>
    </r>
  </si>
  <si>
    <r>
      <t xml:space="preserve">1. </t>
    </r>
    <r>
      <rPr>
        <b/>
        <sz val="11"/>
        <color theme="1"/>
        <rFont val="Calibri"/>
        <family val="2"/>
        <scheme val="minor"/>
      </rPr>
      <t xml:space="preserve">Quantity </t>
    </r>
    <r>
      <rPr>
        <sz val="11"/>
        <color theme="1"/>
        <rFont val="Calibri"/>
        <family val="2"/>
        <scheme val="minor"/>
      </rPr>
      <t xml:space="preserve">textbox accepts valid numeric and decimal values.
2. </t>
    </r>
    <r>
      <rPr>
        <b/>
        <sz val="11"/>
        <color theme="1"/>
        <rFont val="Calibri"/>
        <family val="2"/>
        <scheme val="minor"/>
      </rPr>
      <t>Quantity textbox accepts the hyphen (-) character, which is not expected.</t>
    </r>
    <r>
      <rPr>
        <sz val="11"/>
        <color theme="1"/>
        <rFont val="Calibri"/>
        <family val="2"/>
        <scheme val="minor"/>
      </rPr>
      <t xml:space="preserve">
3. </t>
    </r>
    <r>
      <rPr>
        <b/>
        <sz val="11"/>
        <color theme="1"/>
        <rFont val="Calibri"/>
        <family val="2"/>
        <scheme val="minor"/>
      </rPr>
      <t>Quantity</t>
    </r>
    <r>
      <rPr>
        <sz val="11"/>
        <color theme="1"/>
        <rFont val="Calibri"/>
        <family val="2"/>
        <scheme val="minor"/>
      </rPr>
      <t xml:space="preserve"> textbox length validation:
 -&gt; Without Decimal: 7 character 
 -&gt; With decimal: Maximum 10 characters (after decimal: maximum 3 digits).
</t>
    </r>
    <r>
      <rPr>
        <b/>
        <sz val="11"/>
        <color theme="1"/>
        <rFont val="Calibri"/>
        <family val="2"/>
        <scheme val="minor"/>
      </rPr>
      <t xml:space="preserve">
Note: Hyphen(-) need to be blocked. It should not accepted.</t>
    </r>
  </si>
  <si>
    <r>
      <t>Validate the functionality of</t>
    </r>
    <r>
      <rPr>
        <b/>
        <sz val="11"/>
        <color theme="1"/>
        <rFont val="Calibri"/>
        <family val="2"/>
        <scheme val="minor"/>
      </rPr>
      <t xml:space="preserve"> UQC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</si>
  <si>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t>Licence_Master_20</t>
  </si>
  <si>
    <r>
      <t xml:space="preserve">1. Navigate to </t>
    </r>
    <r>
      <rPr>
        <b/>
        <sz val="11"/>
        <color theme="1"/>
        <rFont val="Calibri"/>
        <family val="2"/>
        <scheme val="minor"/>
      </rPr>
      <t xml:space="preserve">Masters → EDI Master → Licence Master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Locate the </t>
    </r>
    <r>
      <rPr>
        <b/>
        <sz val="11"/>
        <color theme="1"/>
        <rFont val="Calibri"/>
        <family val="2"/>
        <scheme val="minor"/>
      </rPr>
      <t xml:space="preserve">UQC </t>
    </r>
    <r>
      <rPr>
        <sz val="11"/>
        <color theme="1"/>
        <rFont val="Calibri"/>
        <family val="2"/>
        <scheme val="minor"/>
      </rPr>
      <t xml:space="preserve">textbox.
3. Try entering manual inputs
4. Trigger the autosuggest list by entering the % symbol.
5. Select a valid </t>
    </r>
    <r>
      <rPr>
        <b/>
        <sz val="11"/>
        <color theme="1"/>
        <rFont val="Calibri"/>
        <family val="2"/>
        <scheme val="minor"/>
      </rPr>
      <t>UQC</t>
    </r>
    <r>
      <rPr>
        <sz val="11"/>
        <color theme="1"/>
        <rFont val="Calibri"/>
        <family val="2"/>
        <scheme val="minor"/>
      </rPr>
      <t xml:space="preserve"> value from the autosuggest list 
6. Observe the system behavior.</t>
    </r>
  </si>
  <si>
    <r>
      <t xml:space="preserve">Textbox - </t>
    </r>
    <r>
      <rPr>
        <b/>
        <sz val="11"/>
        <color theme="1"/>
        <rFont val="Calibri"/>
        <family val="2"/>
        <scheme val="minor"/>
      </rPr>
      <t xml:space="preserve">UQC
Autosuggest value:
 -&gt; </t>
    </r>
    <r>
      <rPr>
        <sz val="11"/>
        <color theme="1"/>
        <rFont val="Calibri"/>
        <family val="2"/>
        <scheme val="minor"/>
      </rPr>
      <t>77, CBM, DOZ etc.</t>
    </r>
    <r>
      <rPr>
        <b/>
        <sz val="11"/>
        <color theme="1"/>
        <rFont val="Calibri"/>
        <family val="2"/>
        <scheme val="minor"/>
      </rPr>
      <t xml:space="preserve">
</t>
    </r>
  </si>
  <si>
    <r>
      <t xml:space="preserve">1. The </t>
    </r>
    <r>
      <rPr>
        <b/>
        <sz val="11"/>
        <color theme="1"/>
        <rFont val="Calibri"/>
        <family val="2"/>
        <scheme val="minor"/>
      </rPr>
      <t>UQC</t>
    </r>
    <r>
      <rPr>
        <sz val="11"/>
        <color theme="1"/>
        <rFont val="Calibri"/>
        <family val="2"/>
        <scheme val="minor"/>
      </rPr>
      <t xml:space="preserve"> textbox should not accept any manual input.
2. Users should be able to select values only from the autosuggest list.
3.If the user enters any invalid value or characters:
 -&gt; The textbox should automatically clear the input.</t>
    </r>
  </si>
  <si>
    <r>
      <t xml:space="preserve">The </t>
    </r>
    <r>
      <rPr>
        <b/>
        <sz val="11"/>
        <color theme="1"/>
        <rFont val="Calibri"/>
        <family val="2"/>
        <scheme val="minor"/>
      </rPr>
      <t>UQC</t>
    </r>
    <r>
      <rPr>
        <sz val="11"/>
        <color theme="1"/>
        <rFont val="Calibri"/>
        <family val="2"/>
        <scheme val="minor"/>
      </rPr>
      <t xml:space="preserve"> textbox is functioning as expected.</t>
    </r>
  </si>
  <si>
    <t>Licence_Master_21</t>
  </si>
  <si>
    <r>
      <t xml:space="preserve">1. </t>
    </r>
    <r>
      <rPr>
        <b/>
        <sz val="11"/>
        <color theme="1"/>
        <rFont val="Calibri"/>
        <family val="2"/>
        <scheme val="minor"/>
      </rPr>
      <t xml:space="preserve">Total CIF </t>
    </r>
    <r>
      <rPr>
        <sz val="11"/>
        <color theme="1"/>
        <rFont val="Calibri"/>
        <family val="2"/>
        <scheme val="minor"/>
      </rPr>
      <t xml:space="preserve">textbox accepts valid numeric and decimal values.
2. </t>
    </r>
    <r>
      <rPr>
        <b/>
        <sz val="11"/>
        <color theme="1"/>
        <rFont val="Calibri"/>
        <family val="2"/>
        <scheme val="minor"/>
      </rPr>
      <t>Total CIF textbox accepts the hyphen (-) character, which is not expected.</t>
    </r>
    <r>
      <rPr>
        <sz val="11"/>
        <color theme="1"/>
        <rFont val="Calibri"/>
        <family val="2"/>
        <scheme val="minor"/>
      </rPr>
      <t xml:space="preserve">
3. </t>
    </r>
    <r>
      <rPr>
        <b/>
        <sz val="11"/>
        <color theme="1"/>
        <rFont val="Calibri"/>
        <family val="2"/>
        <scheme val="minor"/>
      </rPr>
      <t>Total CIF</t>
    </r>
    <r>
      <rPr>
        <sz val="11"/>
        <color theme="1"/>
        <rFont val="Calibri"/>
        <family val="2"/>
        <scheme val="minor"/>
      </rPr>
      <t xml:space="preserve"> textbox length validation:
 -&gt; Without Decimal: 12 character 
 -&gt; With decimal: Maximum 16 characters (after decimal: maximum 3 digits).
</t>
    </r>
    <r>
      <rPr>
        <b/>
        <sz val="11"/>
        <color theme="1"/>
        <rFont val="Calibri"/>
        <family val="2"/>
        <scheme val="minor"/>
      </rPr>
      <t xml:space="preserve">
Note: Hyphen(-) need to be blocked. It should not accepted. User can paste, alphanumeric value but not saving with alphanumeric value</t>
    </r>
  </si>
  <si>
    <r>
      <t xml:space="preserve">Validate the functionality of </t>
    </r>
    <r>
      <rPr>
        <b/>
        <sz val="11"/>
        <color theme="1"/>
        <rFont val="Calibri"/>
        <family val="2"/>
        <scheme val="minor"/>
      </rPr>
      <t>Save</t>
    </r>
    <r>
      <rPr>
        <sz val="11"/>
        <color theme="1"/>
        <rFont val="Calibri"/>
        <family val="2"/>
        <scheme val="minor"/>
      </rPr>
      <t xml:space="preserve"> button When all Fields (Mandatory &amp; Non-Mandatory) are filled 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</si>
  <si>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Enter valid data in all fields (mandatory and non-mandatory).
3. Click on the Save button.
4. Observe the system behavior.
</t>
    </r>
  </si>
  <si>
    <t>1. When all fields are filled with valid data and the Save button is clicked:
 -&gt; The record should be saved successfully.
 -&gt; A success validation message should be displayed.
 -&gt; The user should be able to search and select newly saved record.
2. On selecting the saved record:
 -&gt; The record details should be populated correctly in the corresponding textboxes.</t>
  </si>
  <si>
    <t>Licence_Master_22</t>
  </si>
  <si>
    <r>
      <t xml:space="preserve">Validate the functionality of </t>
    </r>
    <r>
      <rPr>
        <b/>
        <sz val="11"/>
        <color theme="1"/>
        <rFont val="Calibri"/>
        <family val="2"/>
        <scheme val="minor"/>
      </rPr>
      <t>Save</t>
    </r>
    <r>
      <rPr>
        <sz val="11"/>
        <color theme="1"/>
        <rFont val="Calibri"/>
        <family val="2"/>
        <scheme val="minor"/>
      </rPr>
      <t xml:space="preserve"> button When only  Mandatory are filled 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</si>
  <si>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mandatory fields.</t>
    </r>
    <r>
      <rPr>
        <sz val="11"/>
        <rFont val="Calibri"/>
        <family val="2"/>
        <scheme val="minor"/>
      </rPr>
      <t xml:space="preserve">
3. Leave all Non-Mandatory fields blank.
4. Click on the </t>
    </r>
    <r>
      <rPr>
        <b/>
        <sz val="11"/>
        <rFont val="Calibri"/>
        <family val="2"/>
        <scheme val="minor"/>
      </rPr>
      <t>Save</t>
    </r>
    <r>
      <rPr>
        <sz val="11"/>
        <rFont val="Calibri"/>
        <family val="2"/>
        <scheme val="minor"/>
      </rPr>
      <t xml:space="preserve"> button.
5. Observe the system behavior.
</t>
    </r>
  </si>
  <si>
    <t>Mandatory Fields As per the Page UI:
 -&gt; Importer Name
 -&gt; IEC No
 -&gt; File No/Regn No
 -&gt; Scheme Code
 -&gt; Licence Type
 -&gt; Exp Sr No(E)
 -&gt; Item Desc
 -&gt; Quantity
 -&gt; UQC</t>
  </si>
  <si>
    <t>1. When all mandatory fields are filled with valid data and the Save button is clicked:
 -&gt; The record should be saved successfully.
 -&gt; A success validation message should be displayed. 
 -&gt; The user should be able to search and select the newly saved record.
 -&gt; The record details should be populated correctly in the corresponding textboxes.</t>
  </si>
  <si>
    <r>
      <t xml:space="preserve">1. When all mandatory and non-mandatory fields are filled with valid data and the Save button is clicked, the record is saved successfully.
</t>
    </r>
    <r>
      <rPr>
        <b/>
        <sz val="11"/>
        <color theme="1"/>
        <rFont val="Calibri"/>
        <family val="2"/>
        <scheme val="minor"/>
      </rPr>
      <t xml:space="preserve">2. </t>
    </r>
    <r>
      <rPr>
        <sz val="11"/>
        <color theme="1"/>
        <rFont val="Calibri"/>
        <family val="2"/>
        <scheme val="minor"/>
      </rPr>
      <t xml:space="preserve">Newly saved record is searchable and selectable
</t>
    </r>
    <r>
      <rPr>
        <b/>
        <sz val="11"/>
        <color theme="1"/>
        <rFont val="Calibri"/>
        <family val="2"/>
        <scheme val="minor"/>
      </rPr>
      <t>Note: After saving a record a success pop-up is coming and also one extra pop-up is coming, "Please enter Licenece No. or IEC " which is wrong.</t>
    </r>
  </si>
  <si>
    <r>
      <t xml:space="preserve">1. When all mandatory fields are filled with valid data and the Save button is clicked, the record is saved successfully and a success validation message is coming along with one extra pop-up is also coming </t>
    </r>
    <r>
      <rPr>
        <b/>
        <sz val="11"/>
        <color theme="1"/>
        <rFont val="Calibri"/>
        <family val="2"/>
        <scheme val="minor"/>
      </rPr>
      <t>"Please enter Licenece No. or IEC "</t>
    </r>
    <r>
      <rPr>
        <sz val="11"/>
        <color theme="1"/>
        <rFont val="Calibri"/>
        <family val="2"/>
        <scheme val="minor"/>
      </rPr>
      <t xml:space="preserve"> which is wrong.
</t>
    </r>
  </si>
  <si>
    <t>Licence_Master_23</t>
  </si>
  <si>
    <r>
      <t xml:space="preserve">Validate the functionality of </t>
    </r>
    <r>
      <rPr>
        <b/>
        <sz val="11"/>
        <color theme="1"/>
        <rFont val="Calibri"/>
        <family val="2"/>
        <scheme val="minor"/>
      </rPr>
      <t>Save</t>
    </r>
    <r>
      <rPr>
        <sz val="11"/>
        <color theme="1"/>
        <rFont val="Calibri"/>
        <family val="2"/>
        <scheme val="minor"/>
      </rPr>
      <t xml:space="preserve"> button When only  Non-Mandatory are filled and Mandatory fields are left blank in the </t>
    </r>
    <r>
      <rPr>
        <b/>
        <sz val="11"/>
        <color theme="1"/>
        <rFont val="Calibri"/>
        <family val="2"/>
        <scheme val="minor"/>
      </rPr>
      <t>Licence Master</t>
    </r>
    <r>
      <rPr>
        <sz val="11"/>
        <color theme="1"/>
        <rFont val="Calibri"/>
        <family val="2"/>
        <scheme val="minor"/>
      </rPr>
      <t xml:space="preserve"> page.</t>
    </r>
  </si>
  <si>
    <r>
      <t xml:space="preserve">1. Navigate to </t>
    </r>
    <r>
      <rPr>
        <b/>
        <sz val="11"/>
        <rFont val="Calibri"/>
        <family val="2"/>
        <scheme val="minor"/>
      </rPr>
      <t xml:space="preserve">Masters -&gt; EDI Master -&gt; ROSL DBK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Non -mandatory fields.</t>
    </r>
    <r>
      <rPr>
        <sz val="11"/>
        <rFont val="Calibri"/>
        <family val="2"/>
        <scheme val="minor"/>
      </rPr>
      <t xml:space="preserve">
3. Leave all Mandatory fields blank.
4. Click on the </t>
    </r>
    <r>
      <rPr>
        <b/>
        <sz val="11"/>
        <rFont val="Calibri"/>
        <family val="2"/>
        <scheme val="minor"/>
      </rPr>
      <t>Save</t>
    </r>
    <r>
      <rPr>
        <sz val="11"/>
        <rFont val="Calibri"/>
        <family val="2"/>
        <scheme val="minor"/>
      </rPr>
      <t xml:space="preserve"> button.
5. Observe the system behavior.
</t>
    </r>
  </si>
  <si>
    <r>
      <t xml:space="preserve">1. Navigate to </t>
    </r>
    <r>
      <rPr>
        <b/>
        <sz val="11"/>
        <rFont val="Calibri"/>
        <family val="2"/>
        <scheme val="minor"/>
      </rPr>
      <t xml:space="preserve">Masters -&gt; EDI Master -&gt; Licence Master
</t>
    </r>
    <r>
      <rPr>
        <sz val="11"/>
        <rFont val="Calibri"/>
        <family val="2"/>
        <scheme val="minor"/>
      </rPr>
      <t>2.</t>
    </r>
    <r>
      <rPr>
        <b/>
        <sz val="11"/>
        <rFont val="Calibri"/>
        <family val="2"/>
        <scheme val="minor"/>
      </rPr>
      <t xml:space="preserve"> </t>
    </r>
    <r>
      <rPr>
        <sz val="11"/>
        <rFont val="Calibri"/>
        <family val="2"/>
        <scheme val="minor"/>
      </rPr>
      <t xml:space="preserve">Enter </t>
    </r>
    <r>
      <rPr>
        <b/>
        <sz val="11"/>
        <rFont val="Calibri"/>
        <family val="2"/>
        <scheme val="minor"/>
      </rPr>
      <t>valid data in all Non - Mandatory fields.</t>
    </r>
    <r>
      <rPr>
        <sz val="11"/>
        <rFont val="Calibri"/>
        <family val="2"/>
        <scheme val="minor"/>
      </rPr>
      <t xml:space="preserve">
3. Leave all Mandatory fields blank.
4. Click on the </t>
    </r>
    <r>
      <rPr>
        <b/>
        <sz val="11"/>
        <rFont val="Calibri"/>
        <family val="2"/>
        <scheme val="minor"/>
      </rPr>
      <t>Save</t>
    </r>
    <r>
      <rPr>
        <sz val="11"/>
        <rFont val="Calibri"/>
        <family val="2"/>
        <scheme val="minor"/>
      </rPr>
      <t xml:space="preserve"> button.
5. Observe the system behavior.
</t>
    </r>
  </si>
  <si>
    <r>
      <rPr>
        <b/>
        <sz val="11"/>
        <color theme="1"/>
        <rFont val="Calibri"/>
        <family val="2"/>
        <scheme val="minor"/>
      </rPr>
      <t>Non- Mandatory Fields As per the UI:</t>
    </r>
    <r>
      <rPr>
        <sz val="11"/>
        <color theme="1"/>
        <rFont val="Calibri"/>
        <family val="2"/>
        <scheme val="minor"/>
      </rPr>
      <t xml:space="preserve">
 -&gt; Licence No
 -&gt; Licence Date
 -&gt; Validity(in Months)
 -&gt; Validity upto
 -&gt; Total CIF
 -&gt; Total CIF Curr
 -&gt; File Dt/Regn Dt</t>
    </r>
  </si>
  <si>
    <r>
      <t xml:space="preserve">1. </t>
    </r>
    <r>
      <rPr>
        <b/>
        <sz val="11"/>
        <color theme="1"/>
        <rFont val="Calibri"/>
        <family val="2"/>
        <scheme val="minor"/>
      </rPr>
      <t xml:space="preserve">When only Non-Mandatory fields are filled and Mandatory fields are left blank:
 -&gt; </t>
    </r>
    <r>
      <rPr>
        <sz val="11"/>
        <color theme="1"/>
        <rFont val="Calibri"/>
        <family val="2"/>
        <scheme val="minor"/>
      </rPr>
      <t xml:space="preserve">The record should not be saved.
 -&gt; Validation messages should be displayed for all mandatory fields at the textbox level.
2. </t>
    </r>
    <r>
      <rPr>
        <b/>
        <sz val="11"/>
        <color theme="1"/>
        <rFont val="Calibri"/>
        <family val="2"/>
        <scheme val="minor"/>
      </rPr>
      <t>Once all mandatory fields are filled with valid data and the Save button is clicked:</t>
    </r>
    <r>
      <rPr>
        <sz val="11"/>
        <color theme="1"/>
        <rFont val="Calibri"/>
        <family val="2"/>
        <scheme val="minor"/>
      </rPr>
      <t xml:space="preserve">
 -&gt; The record should be saved successfully.
 -&gt; The record should be searchable and selectable.</t>
    </r>
  </si>
  <si>
    <t>Licence_Master_24</t>
  </si>
  <si>
    <r>
      <t xml:space="preserve">1. When </t>
    </r>
    <r>
      <rPr>
        <b/>
        <sz val="11"/>
        <color theme="1"/>
        <rFont val="Calibri"/>
        <family val="2"/>
        <scheme val="minor"/>
      </rPr>
      <t>Mandatory fields are left blank and the Save button is clicked, the record is not saved.</t>
    </r>
    <r>
      <rPr>
        <sz val="11"/>
        <color theme="1"/>
        <rFont val="Calibri"/>
        <family val="2"/>
        <scheme val="minor"/>
      </rPr>
      <t xml:space="preserve">
2. Validation message is not coming for Exp Sr No€, Item Desc, Quantity and UQC textbox.
3. Undefined pop-up is coming and save button is blocked. (save button will be enable only after refreshing the page or click on clear button)</t>
    </r>
  </si>
  <si>
    <r>
      <t xml:space="preserve">Validate the functionality of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Licence Master </t>
    </r>
    <r>
      <rPr>
        <sz val="11"/>
        <color theme="1"/>
        <rFont val="Calibri"/>
        <family val="2"/>
        <scheme val="minor"/>
      </rPr>
      <t>page.</t>
    </r>
  </si>
  <si>
    <r>
      <t xml:space="preserve">1. Navigate to </t>
    </r>
    <r>
      <rPr>
        <b/>
        <sz val="11"/>
        <color theme="1"/>
        <rFont val="Calibri"/>
        <family val="2"/>
        <scheme val="minor"/>
      </rPr>
      <t>Masters → EDI Master → Licence Master</t>
    </r>
    <r>
      <rPr>
        <sz val="11"/>
        <color theme="1"/>
        <rFont val="Calibri"/>
        <family val="2"/>
        <scheme val="minor"/>
      </rPr>
      <t xml:space="preserve">
2. Verify the state of the </t>
    </r>
    <r>
      <rPr>
        <b/>
        <sz val="11"/>
        <color theme="1"/>
        <rFont val="Calibri"/>
        <family val="2"/>
        <scheme val="minor"/>
      </rPr>
      <t>Modify</t>
    </r>
    <r>
      <rPr>
        <sz val="11"/>
        <color theme="1"/>
        <rFont val="Calibri"/>
        <family val="2"/>
        <scheme val="minor"/>
      </rPr>
      <t xml:space="preserve"> button when the page is in a new state.
3. Select any record from the left-side panel list.
4. Verify that the selected record details are loaded into the textboxes.
5. Modify one or more editable fields with new valid data.
5. Click on the Modify button.
6. Re-select the same record from the left-side panel and verify the updated values.</t>
    </r>
  </si>
  <si>
    <t>1. When the page is in new state, modify button is disalbled.
2. After selecting and record, it is still disabled.
3. Modify button is not enable</t>
  </si>
  <si>
    <t>Licence_Master_25</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</si>
  <si>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Licence Master </t>
    </r>
    <r>
      <rPr>
        <sz val="11"/>
        <color theme="1"/>
        <rFont val="Calibri"/>
        <family val="2"/>
        <scheme val="minor"/>
      </rPr>
      <t>Page.</t>
    </r>
  </si>
  <si>
    <r>
      <t xml:space="preserve">1. Navigate to </t>
    </r>
    <r>
      <rPr>
        <b/>
        <sz val="11"/>
        <color theme="1"/>
        <rFont val="Calibri"/>
        <family val="2"/>
        <scheme val="minor"/>
      </rPr>
      <t>Masters → EDI Master → Licence Master</t>
    </r>
    <r>
      <rPr>
        <sz val="11"/>
        <color theme="1"/>
        <rFont val="Calibri"/>
        <family val="2"/>
        <scheme val="minor"/>
      </rPr>
      <t xml:space="preserve">
2. Enter values in all or few input fields.
3. Click the </t>
    </r>
    <r>
      <rPr>
        <b/>
        <sz val="11"/>
        <color theme="1"/>
        <rFont val="Calibri"/>
        <family val="2"/>
        <scheme val="minor"/>
      </rPr>
      <t>Clear</t>
    </r>
    <r>
      <rPr>
        <sz val="11"/>
        <color theme="1"/>
        <rFont val="Calibri"/>
        <family val="2"/>
        <scheme val="minor"/>
      </rPr>
      <t xml:space="preserve"> button and observe the system behaviour. </t>
    </r>
  </si>
  <si>
    <t>Functionality is working as expected.
Note: When page is in new state or after clicking on clear button, it should be move on select, currently it is coming blank.</t>
  </si>
  <si>
    <t>Licence_Master_26</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</si>
  <si>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</si>
  <si>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Masters → EDI Master → Licence Master
2</t>
    </r>
    <r>
      <rPr>
        <sz val="11"/>
        <color theme="1"/>
        <rFont val="Calibri"/>
        <family val="2"/>
        <scheme val="minor"/>
      </rPr>
      <t>. Enter valid data in all required input fields and click Save.
3. From the Item Templates grid list, select the recently saved record.
4. Observe the value displayed in the Entered By textbox.</t>
    </r>
  </si>
  <si>
    <t>Licence_Master_27</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</si>
  <si>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</si>
  <si>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 xml:space="preserve">Masters → EDI Master → Licence Master
</t>
    </r>
    <r>
      <rPr>
        <sz val="11"/>
        <color theme="1"/>
        <rFont val="Calibri"/>
        <family val="2"/>
        <scheme val="minor"/>
      </rPr>
      <t xml:space="preserve">2. Enter valid data in all required input fields and click </t>
    </r>
    <r>
      <rPr>
        <b/>
        <sz val="11"/>
        <color theme="1"/>
        <rFont val="Calibri"/>
        <family val="2"/>
        <scheme val="minor"/>
      </rPr>
      <t>Save</t>
    </r>
    <r>
      <rPr>
        <sz val="11"/>
        <color theme="1"/>
        <rFont val="Calibri"/>
        <family val="2"/>
        <scheme val="minor"/>
      </rPr>
      <t xml:space="preserve">.
3. From the Item Templates grid list, select the recently saved record.
4. Observe the value displayed in the </t>
    </r>
    <r>
      <rPr>
        <b/>
        <sz val="11"/>
        <color theme="1"/>
        <rFont val="Calibri"/>
        <family val="2"/>
        <scheme val="minor"/>
      </rPr>
      <t>Entered Date</t>
    </r>
    <r>
      <rPr>
        <sz val="11"/>
        <color theme="1"/>
        <rFont val="Calibri"/>
        <family val="2"/>
        <scheme val="minor"/>
      </rPr>
      <t xml:space="preserve"> textbox.</t>
    </r>
  </si>
  <si>
    <t>Licence_Master_28</t>
  </si>
  <si>
    <r>
      <t xml:space="preserve">Validate the functionality of </t>
    </r>
    <r>
      <rPr>
        <b/>
        <sz val="11"/>
        <color theme="1"/>
        <rFont val="Calibri"/>
        <family val="2"/>
        <scheme val="minor"/>
      </rPr>
      <t xml:space="preserve">Modified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</si>
  <si>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Masters -&gt; EDI Master -&gt; Licence Master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By</t>
    </r>
    <r>
      <rPr>
        <sz val="11"/>
        <color theme="1"/>
        <rFont val="Calibri"/>
        <family val="2"/>
        <scheme val="minor"/>
      </rPr>
      <t xml:space="preserve"> textbox.</t>
    </r>
  </si>
  <si>
    <t>Modify button is disabled, we are not able to modify any record, so not able to check Modified By textbox functionality.</t>
  </si>
  <si>
    <t>Modify button is disabled, we are not able to modify any record, so not able to check Modified Date textbox functionality.</t>
  </si>
  <si>
    <t>Licence_Master_29</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</si>
  <si>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Licence Master</t>
    </r>
    <r>
      <rPr>
        <sz val="11"/>
        <color theme="1"/>
        <rFont val="Calibri"/>
        <family val="2"/>
        <scheme val="minor"/>
      </rPr>
      <t xml:space="preserve"> Page.</t>
    </r>
  </si>
  <si>
    <r>
      <t xml:space="preserve">1. Navigate to </t>
    </r>
    <r>
      <rPr>
        <b/>
        <sz val="11"/>
        <color theme="1"/>
        <rFont val="Calibri"/>
        <family val="2"/>
        <scheme val="minor"/>
      </rPr>
      <t>Masters -&gt; EDI Master -&gt; Licence Master
2</t>
    </r>
    <r>
      <rPr>
        <sz val="11"/>
        <color theme="1"/>
        <rFont val="Calibri"/>
        <family val="2"/>
        <scheme val="minor"/>
      </rPr>
      <t xml:space="preserve">. From the Item Templates grid list, select the recently saved record.
3. Modify any field value and Click the modify button.
4. Re-select the same record from the list and observe the value displayed in the </t>
    </r>
    <r>
      <rPr>
        <b/>
        <sz val="11"/>
        <color theme="1"/>
        <rFont val="Calibri"/>
        <family val="2"/>
        <scheme val="minor"/>
      </rPr>
      <t>Modified Date</t>
    </r>
    <r>
      <rPr>
        <sz val="11"/>
        <color theme="1"/>
        <rFont val="Calibri"/>
        <family val="2"/>
        <scheme val="minor"/>
      </rPr>
      <t xml:space="preserve"> textbox.</t>
    </r>
  </si>
  <si>
    <r>
      <t xml:space="preserve">1. Functionality not working as expected.
2. All fields except </t>
    </r>
    <r>
      <rPr>
        <b/>
        <sz val="11"/>
        <color theme="1"/>
        <rFont val="Calibri"/>
        <family val="2"/>
        <scheme val="minor"/>
      </rPr>
      <t>Segment</t>
    </r>
    <r>
      <rPr>
        <sz val="11"/>
        <color theme="1"/>
        <rFont val="Calibri"/>
        <family val="2"/>
        <scheme val="minor"/>
      </rPr>
      <t xml:space="preserve"> are cleared when pressing the Clear button.
</t>
    </r>
    <r>
      <rPr>
        <b/>
        <sz val="11"/>
        <color theme="1"/>
        <rFont val="Calibri"/>
        <family val="2"/>
        <scheme val="minor"/>
      </rPr>
      <t xml:space="preserve"> -&gt; Segment dropdown retains its value.</t>
    </r>
    <r>
      <rPr>
        <sz val="11"/>
        <color theme="1"/>
        <rFont val="Calibri"/>
        <family val="2"/>
        <scheme val="minor"/>
      </rPr>
      <t xml:space="preserve">
</t>
    </r>
  </si>
  <si>
    <r>
      <t xml:space="preserve">1. The Sea Days textbox accepts only numeric values.
2. Alphabetic values, special characters (except .), spaces, and alphanumeric values are not accepted.
3. The textbox allows input of up to 7 characters.
4. More than one decimal point is not allowed.
Note: If no value is entered after the decimal point, it is not cleared automatically or should ask a validation message that please enter valid value
</t>
    </r>
    <r>
      <rPr>
        <b/>
        <sz val="11"/>
        <color theme="1"/>
        <rFont val="Calibri"/>
        <family val="2"/>
        <scheme val="minor"/>
      </rPr>
      <t>Not worked on that issue</t>
    </r>
  </si>
  <si>
    <r>
      <t xml:space="preserve">1. The Air Days textbox accepts only numeric values.
2. Alphabetic values, special characters (except .), spaces, and alphanumeric values are not accepted.
3. The textbox allows input of up to 7 characters.
4. More than one decimal point is not allowed.
Note: If no value is entered after the decimal point, it is not cleared automatically or should ask a validation message that please enter valid value - 
</t>
    </r>
    <r>
      <rPr>
        <b/>
        <sz val="11"/>
        <color theme="1"/>
        <rFont val="Calibri"/>
        <family val="2"/>
        <scheme val="minor"/>
      </rPr>
      <t>Not worked on that issue</t>
    </r>
  </si>
  <si>
    <r>
      <t xml:space="preserve">1. The Land Days textbox accepts only numeric values.
2. Alphabetic values, special characters (except .), spaces, and alphanumeric values are not accepted.
3. The textbox allows input of up to 7 characters.
4. More than one decimal point is not allowed.
Note: If no value is entered after the decimal point, it is not cleared automatically or should ask a validation message that please enter valid value
</t>
    </r>
    <r>
      <rPr>
        <b/>
        <sz val="11"/>
        <color theme="1"/>
        <rFont val="Calibri"/>
        <family val="2"/>
        <scheme val="minor"/>
      </rPr>
      <t>Not worked on that issue</t>
    </r>
  </si>
  <si>
    <r>
      <t xml:space="preserve">The session timeout functionality is not working properly.
The user remains logged in after being idle on Currency Page.
</t>
    </r>
    <r>
      <rPr>
        <b/>
        <sz val="11"/>
        <color theme="1"/>
        <rFont val="Calibri"/>
        <family val="2"/>
        <scheme val="minor"/>
      </rPr>
      <t>No need to work on this issue for now.</t>
    </r>
  </si>
  <si>
    <r>
      <t xml:space="preserve">Page is not responsive properly on different screen sizes.
</t>
    </r>
    <r>
      <rPr>
        <b/>
        <sz val="11"/>
        <color theme="1"/>
        <rFont val="Calibri"/>
        <family val="2"/>
        <scheme val="minor"/>
      </rPr>
      <t xml:space="preserve">
No need to work on this issue for now.</t>
    </r>
  </si>
  <si>
    <r>
      <t xml:space="preserve">The session timeout functionality is not working properly.
The user remains logged in after being idle on CFS Master Page.
</t>
    </r>
    <r>
      <rPr>
        <b/>
        <sz val="11"/>
        <color theme="1"/>
        <rFont val="Calibri"/>
        <family val="2"/>
        <scheme val="minor"/>
      </rPr>
      <t>No need to work on this issue for now.</t>
    </r>
  </si>
  <si>
    <r>
      <t xml:space="preserve">Page is not responsive properly in different -2 screen size
</t>
    </r>
    <r>
      <rPr>
        <b/>
        <sz val="11"/>
        <color theme="1"/>
        <rFont val="Calibri"/>
        <family val="2"/>
        <scheme val="minor"/>
      </rPr>
      <t>No need to work on this issue for now.</t>
    </r>
  </si>
  <si>
    <r>
      <t xml:space="preserve">Page is not responsive properly in different -2 screen size
</t>
    </r>
    <r>
      <rPr>
        <b/>
        <sz val="11"/>
        <color theme="1"/>
        <rFont val="Calibri"/>
        <family val="2"/>
        <scheme val="minor"/>
      </rPr>
      <t>No need to work on this issue for now.</t>
    </r>
  </si>
  <si>
    <r>
      <t xml:space="preserve">The session timeout functionality is not working properly — the user remains logged in indefinitely after being idle on the Bank BRO page.
</t>
    </r>
    <r>
      <rPr>
        <b/>
        <sz val="11"/>
        <color theme="1"/>
        <rFont val="Calibri"/>
        <family val="2"/>
        <scheme val="minor"/>
      </rPr>
      <t xml:space="preserve">No need to work on this issue for now. </t>
    </r>
  </si>
  <si>
    <r>
      <t xml:space="preserve">Page is not responsive properly on different screen sizes.
</t>
    </r>
    <r>
      <rPr>
        <b/>
        <sz val="11"/>
        <color theme="1"/>
        <rFont val="Calibri"/>
        <family val="2"/>
        <scheme val="minor"/>
      </rPr>
      <t>No need to work on this issue for now.</t>
    </r>
  </si>
  <si>
    <r>
      <t xml:space="preserve">The session timeout functionality is not working properly. The user remains logged in after being idle on RITC Page.
</t>
    </r>
    <r>
      <rPr>
        <b/>
        <sz val="11"/>
        <color theme="1"/>
        <rFont val="Calibri"/>
        <family val="2"/>
        <scheme val="minor"/>
      </rPr>
      <t>No need to work on this issue for now</t>
    </r>
    <r>
      <rPr>
        <sz val="11"/>
        <color theme="1"/>
        <rFont val="Calibri"/>
        <family val="2"/>
        <scheme val="minor"/>
      </rPr>
      <t>.</t>
    </r>
  </si>
  <si>
    <r>
      <t xml:space="preserve">The session timeout functionality is not working properly.
The user remains logged in after being idle on Zone Master Page.
</t>
    </r>
    <r>
      <rPr>
        <b/>
        <sz val="11"/>
        <color theme="1"/>
        <rFont val="Calibri"/>
        <family val="2"/>
        <scheme val="minor"/>
      </rPr>
      <t>No need to work on this issue for now.</t>
    </r>
  </si>
  <si>
    <r>
      <t xml:space="preserve">The session timeout functionality is not working properly. The user remains logged in after being idle on Country Master Page.
</t>
    </r>
    <r>
      <rPr>
        <b/>
        <sz val="11"/>
        <color theme="1"/>
        <rFont val="Calibri"/>
        <family val="2"/>
        <scheme val="minor"/>
      </rPr>
      <t>No need to work on this issue for now.</t>
    </r>
  </si>
  <si>
    <r>
      <t xml:space="preserve">The session timeout functionality is not working properly.
The user remains logged in after being idle on Region Master Page.
</t>
    </r>
    <r>
      <rPr>
        <b/>
        <sz val="11"/>
        <color theme="1"/>
        <rFont val="Calibri"/>
        <family val="2"/>
        <scheme val="minor"/>
      </rPr>
      <t>No need to work on this issue for now.</t>
    </r>
  </si>
  <si>
    <r>
      <t xml:space="preserve">The session timeout functionality is not working properly.
The user remains logged in after being idle on FF Port Master Page.
</t>
    </r>
    <r>
      <rPr>
        <b/>
        <sz val="11"/>
        <color theme="1"/>
        <rFont val="Calibri"/>
        <family val="2"/>
        <scheme val="minor"/>
      </rPr>
      <t>No need to work on this issue for now.</t>
    </r>
  </si>
  <si>
    <r>
      <t xml:space="preserve">The session timeout functionality is not working properly.
The user remains logged in after being idle on Action Master Page.
</t>
    </r>
    <r>
      <rPr>
        <b/>
        <sz val="11"/>
        <color theme="1"/>
        <rFont val="Calibri"/>
        <family val="2"/>
        <scheme val="minor"/>
      </rPr>
      <t>No need to work on this issue for now.</t>
    </r>
  </si>
  <si>
    <r>
      <t xml:space="preserve">The session timeout functionality is not working properly.
The user remains logged in after being idle on Period Master Page.
</t>
    </r>
    <r>
      <rPr>
        <b/>
        <sz val="11"/>
        <color theme="1"/>
        <rFont val="Calibri"/>
        <family val="2"/>
        <scheme val="minor"/>
      </rPr>
      <t>No need to work on this issue for now.</t>
    </r>
  </si>
  <si>
    <r>
      <t xml:space="preserve">Page is not responsive properly on different screen sizes.
</t>
    </r>
    <r>
      <rPr>
        <b/>
        <sz val="11"/>
        <color theme="1"/>
        <rFont val="Calibri"/>
        <family val="2"/>
        <scheme val="minor"/>
      </rPr>
      <t>No need to work on this issue for now.</t>
    </r>
  </si>
  <si>
    <r>
      <t xml:space="preserve">The session timeout functionality is not working properly.
The user remains logged in after being idle on Cost Center Master Page.
</t>
    </r>
    <r>
      <rPr>
        <b/>
        <sz val="11"/>
        <color theme="1"/>
        <rFont val="Calibri"/>
        <family val="2"/>
        <scheme val="minor"/>
      </rPr>
      <t>No need to work on this issue for now.</t>
    </r>
  </si>
  <si>
    <r>
      <t xml:space="preserve">The session timeout functionality is not working properly.
The user remains logged in after being idle on IMO  Master Page.
</t>
    </r>
    <r>
      <rPr>
        <b/>
        <sz val="11"/>
        <color theme="1"/>
        <rFont val="Calibri"/>
        <family val="2"/>
        <scheme val="minor"/>
      </rPr>
      <t>No need to work on this issue for now.</t>
    </r>
  </si>
  <si>
    <r>
      <t xml:space="preserve">The session timeout functionality is not working properly.
The user remains logged in after being idle on Unit Master Page.
</t>
    </r>
    <r>
      <rPr>
        <b/>
        <sz val="11"/>
        <color theme="1"/>
        <rFont val="Calibri"/>
        <family val="2"/>
        <scheme val="minor"/>
      </rPr>
      <t>No need to work on this issue for now.</t>
    </r>
  </si>
  <si>
    <r>
      <t xml:space="preserve">The session timeout functionality is not working properly.
The user remains logged in after being idle on </t>
    </r>
    <r>
      <rPr>
        <b/>
        <sz val="11"/>
        <color theme="1"/>
        <rFont val="Calibri"/>
        <family val="2"/>
        <scheme val="minor"/>
      </rPr>
      <t>Trigger Master</t>
    </r>
    <r>
      <rPr>
        <sz val="11"/>
        <color theme="1"/>
        <rFont val="Calibri"/>
        <family val="2"/>
        <scheme val="minor"/>
      </rPr>
      <t xml:space="preserve"> Page.
</t>
    </r>
    <r>
      <rPr>
        <b/>
        <sz val="11"/>
        <color theme="1"/>
        <rFont val="Calibri"/>
        <family val="2"/>
        <scheme val="minor"/>
      </rPr>
      <t>No need to work on this issue for now.</t>
    </r>
  </si>
  <si>
    <r>
      <t xml:space="preserve">The session timeout functionality is not working properly.
The user remains logged in after being idle on </t>
    </r>
    <r>
      <rPr>
        <b/>
        <sz val="11"/>
        <color theme="1"/>
        <rFont val="Calibri"/>
        <family val="2"/>
        <scheme val="minor"/>
      </rPr>
      <t xml:space="preserve">Principle Line HBL Master </t>
    </r>
    <r>
      <rPr>
        <sz val="11"/>
        <color theme="1"/>
        <rFont val="Calibri"/>
        <family val="2"/>
        <scheme val="minor"/>
      </rPr>
      <t xml:space="preserve">Page. 
</t>
    </r>
    <r>
      <rPr>
        <b/>
        <sz val="11"/>
        <color theme="1"/>
        <rFont val="Calibri"/>
        <family val="2"/>
        <scheme val="minor"/>
      </rPr>
      <t>No need to work on this issue for now.</t>
    </r>
  </si>
  <si>
    <r>
      <t xml:space="preserve">The session timeout functionality is not working properly.
The user remains logged in after being idle on </t>
    </r>
    <r>
      <rPr>
        <b/>
        <sz val="11"/>
        <color theme="1"/>
        <rFont val="Calibri"/>
        <family val="2"/>
        <scheme val="minor"/>
      </rPr>
      <t xml:space="preserve">Project Type Master </t>
    </r>
    <r>
      <rPr>
        <sz val="11"/>
        <color theme="1"/>
        <rFont val="Calibri"/>
        <family val="2"/>
        <scheme val="minor"/>
      </rPr>
      <t xml:space="preserve">Page. 
</t>
    </r>
    <r>
      <rPr>
        <b/>
        <sz val="11"/>
        <color theme="1"/>
        <rFont val="Calibri"/>
        <family val="2"/>
        <scheme val="minor"/>
      </rPr>
      <t>No need to work on this issue for now.</t>
    </r>
  </si>
  <si>
    <r>
      <t xml:space="preserve">The session timeout functionality is not working properly.
The user remains logged in after being idle on </t>
    </r>
    <r>
      <rPr>
        <b/>
        <sz val="11"/>
        <color theme="1"/>
        <rFont val="Calibri"/>
        <family val="2"/>
        <scheme val="minor"/>
      </rPr>
      <t xml:space="preserve">Notes Master </t>
    </r>
    <r>
      <rPr>
        <sz val="11"/>
        <color theme="1"/>
        <rFont val="Calibri"/>
        <family val="2"/>
        <scheme val="minor"/>
      </rPr>
      <t xml:space="preserve">Page. 
</t>
    </r>
    <r>
      <rPr>
        <b/>
        <sz val="11"/>
        <color theme="1"/>
        <rFont val="Calibri"/>
        <family val="2"/>
        <scheme val="minor"/>
      </rPr>
      <t>No need to work on this issue for now.</t>
    </r>
  </si>
  <si>
    <r>
      <t xml:space="preserve">The session timeout functionality is not working properly.
The user remains logged in after being idle on </t>
    </r>
    <r>
      <rPr>
        <b/>
        <sz val="11"/>
        <color theme="1"/>
        <rFont val="Calibri"/>
        <family val="2"/>
        <scheme val="minor"/>
      </rPr>
      <t xml:space="preserve">Vessel Master </t>
    </r>
    <r>
      <rPr>
        <sz val="11"/>
        <color theme="1"/>
        <rFont val="Calibri"/>
        <family val="2"/>
        <scheme val="minor"/>
      </rPr>
      <t xml:space="preserve">Page. 
</t>
    </r>
    <r>
      <rPr>
        <b/>
        <sz val="11"/>
        <color theme="1"/>
        <rFont val="Calibri"/>
        <family val="2"/>
        <scheme val="minor"/>
      </rPr>
      <t>No need to work on this issue for now.</t>
    </r>
  </si>
  <si>
    <r>
      <t xml:space="preserve">1. </t>
    </r>
    <r>
      <rPr>
        <b/>
        <sz val="11"/>
        <color theme="1"/>
        <rFont val="Calibri"/>
        <family val="2"/>
        <scheme val="minor"/>
      </rPr>
      <t xml:space="preserve">Session timeout functionality </t>
    </r>
    <r>
      <rPr>
        <sz val="11"/>
        <color theme="1"/>
        <rFont val="Calibri"/>
        <family val="2"/>
        <scheme val="minor"/>
      </rPr>
      <t xml:space="preserve">is not working as expected.
2. The user remains logged in even after being idle for a long duration on the </t>
    </r>
    <r>
      <rPr>
        <b/>
        <sz val="11"/>
        <color theme="1"/>
        <rFont val="Calibri"/>
        <family val="2"/>
        <scheme val="minor"/>
      </rPr>
      <t>Schedule Master</t>
    </r>
    <r>
      <rPr>
        <sz val="11"/>
        <color theme="1"/>
        <rFont val="Calibri"/>
        <family val="2"/>
        <scheme val="minor"/>
      </rPr>
      <t xml:space="preserve"> page.
</t>
    </r>
    <r>
      <rPr>
        <b/>
        <sz val="11"/>
        <color theme="1"/>
        <rFont val="Calibri"/>
        <family val="2"/>
        <scheme val="minor"/>
      </rPr>
      <t>No need to work on this issue for now.</t>
    </r>
  </si>
  <si>
    <r>
      <t xml:space="preserve">1. Functionality is working as Expected.
2. After clicking the Clear button:
 -&gt; Input fields are cleared.
</t>
    </r>
    <r>
      <rPr>
        <b/>
        <sz val="11"/>
        <color theme="1"/>
        <rFont val="Calibri"/>
        <family val="2"/>
        <scheme val="minor"/>
      </rPr>
      <t xml:space="preserve"> -&gt; The left-side panel list gets removed.
3. The left-side panel list reappears only after refreshing the page.</t>
    </r>
    <r>
      <rPr>
        <sz val="11"/>
        <color theme="1"/>
        <rFont val="Calibri"/>
        <family val="2"/>
        <scheme val="minor"/>
      </rPr>
      <t xml:space="preserve">
</t>
    </r>
  </si>
  <si>
    <t xml:space="preserve">
26-02-2026</t>
  </si>
  <si>
    <t xml:space="preserve">
UAT (https://idp.icaffe.co.in/demouat/)
</t>
  </si>
  <si>
    <r>
      <t xml:space="preserve">The session timeout functionality is not working properly.
The user remains logged in after being idle on </t>
    </r>
    <r>
      <rPr>
        <b/>
        <sz val="11"/>
        <color theme="1"/>
        <rFont val="Calibri"/>
        <family val="2"/>
        <scheme val="minor"/>
      </rPr>
      <t>Segment Master</t>
    </r>
    <r>
      <rPr>
        <sz val="11"/>
        <color theme="1"/>
        <rFont val="Calibri"/>
        <family val="2"/>
        <scheme val="minor"/>
      </rPr>
      <t xml:space="preserve"> Page.
</t>
    </r>
    <r>
      <rPr>
        <b/>
        <sz val="11"/>
        <color theme="1"/>
        <rFont val="Calibri"/>
        <family val="2"/>
        <scheme val="minor"/>
      </rPr>
      <t>No need to work on this issue for now.</t>
    </r>
  </si>
  <si>
    <r>
      <t xml:space="preserve">1. Functionality is  working as expected.
</t>
    </r>
    <r>
      <rPr>
        <sz val="11"/>
        <color theme="1"/>
        <rFont val="Calibri"/>
        <family val="2"/>
        <scheme val="minor"/>
      </rPr>
      <t xml:space="preserve">
</t>
    </r>
    <r>
      <rPr>
        <b/>
        <sz val="11"/>
        <color theme="1"/>
        <rFont val="Calibri"/>
        <family val="2"/>
        <scheme val="minor"/>
      </rPr>
      <t/>
    </r>
  </si>
  <si>
    <t xml:space="preserve">Misc Master - Trigger Master
</t>
  </si>
  <si>
    <t>These issue not given for fixing, directly closed it.</t>
  </si>
  <si>
    <t xml:space="preserve">EDI Master --&gt; Currency
</t>
  </si>
  <si>
    <t xml:space="preserve">EDI Master --&gt; RITC
</t>
  </si>
  <si>
    <t xml:space="preserve">Regional Master --&gt; Zone Master
</t>
  </si>
  <si>
    <t xml:space="preserve">Regional Master --&gt; Country Master
</t>
  </si>
  <si>
    <t xml:space="preserve">Regional Master --&gt; Region Master
</t>
  </si>
  <si>
    <t xml:space="preserve">EDI Master --&gt; Port
</t>
  </si>
  <si>
    <t xml:space="preserve">EDI Master --&gt; Loading &amp; CHA Port
</t>
  </si>
  <si>
    <t xml:space="preserve">Regional Master --&gt; FF Port Master
</t>
  </si>
  <si>
    <t xml:space="preserve">Regional Master --&gt; Action Master
</t>
  </si>
  <si>
    <t xml:space="preserve">Regional Master --&gt; Period Master
</t>
  </si>
  <si>
    <t xml:space="preserve">Shipment info --&gt; IMO Master
</t>
  </si>
  <si>
    <t xml:space="preserve">Shipment info --&gt; Unit Master
</t>
  </si>
  <si>
    <t xml:space="preserve">Shipment info --&gt; CHA Service
</t>
  </si>
  <si>
    <t xml:space="preserve">Misc Master - Project Type Master
</t>
  </si>
  <si>
    <t xml:space="preserve">Vessel Info - Vessel
</t>
  </si>
  <si>
    <t xml:space="preserve">Vessel Info - Schedule
</t>
  </si>
  <si>
    <r>
      <t xml:space="preserve">Validate the functionality of </t>
    </r>
    <r>
      <rPr>
        <b/>
        <sz val="11"/>
        <color theme="1"/>
        <rFont val="Calibri"/>
        <family val="2"/>
        <scheme val="minor"/>
      </rPr>
      <t xml:space="preserve">Shipment Plan Master, </t>
    </r>
    <r>
      <rPr>
        <sz val="11"/>
        <color theme="1"/>
        <rFont val="Calibri"/>
        <family val="2"/>
        <scheme val="minor"/>
      </rPr>
      <t xml:space="preserve">Under the </t>
    </r>
    <r>
      <rPr>
        <b/>
        <sz val="11"/>
        <color theme="1"/>
        <rFont val="Calibri"/>
        <family val="2"/>
        <scheme val="minor"/>
      </rPr>
      <t>Masters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</si>
  <si>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t>
    </r>
  </si>
  <si>
    <r>
      <t xml:space="preserve">1. On Mouse Hovering action on </t>
    </r>
    <r>
      <rPr>
        <b/>
        <sz val="11"/>
        <color theme="1"/>
        <rFont val="Calibri"/>
        <family val="2"/>
        <scheme val="minor"/>
      </rPr>
      <t xml:space="preserve">Masters -&gt; Shipment Plan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</si>
  <si>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Shipment Plan Master </t>
    </r>
    <r>
      <rPr>
        <sz val="11"/>
        <color theme="1"/>
        <rFont val="Calibri"/>
        <family val="2"/>
        <scheme val="minor"/>
      </rPr>
      <t>Page is opening properly.</t>
    </r>
  </si>
  <si>
    <r>
      <t xml:space="preserve">Validate the functionality of </t>
    </r>
    <r>
      <rPr>
        <b/>
        <sz val="11"/>
        <color theme="1"/>
        <rFont val="Calibri"/>
        <family val="2"/>
        <scheme val="minor"/>
      </rPr>
      <t>Export Air, Export Sea, Import Air &amp; Import Sea</t>
    </r>
    <r>
      <rPr>
        <sz val="11"/>
        <color theme="1"/>
        <rFont val="Calibri"/>
        <family val="2"/>
        <scheme val="minor"/>
      </rPr>
      <t xml:space="preserve"> search radio buttons on the </t>
    </r>
    <r>
      <rPr>
        <b/>
        <sz val="11"/>
        <color theme="1"/>
        <rFont val="Calibri"/>
        <family val="2"/>
        <scheme val="minor"/>
      </rPr>
      <t>Shipment Plan Master</t>
    </r>
    <r>
      <rPr>
        <sz val="11"/>
        <color theme="1"/>
        <rFont val="Calibri"/>
        <family val="2"/>
        <scheme val="minor"/>
      </rPr>
      <t xml:space="preserve"> page</t>
    </r>
  </si>
  <si>
    <r>
      <t xml:space="preserve">1. </t>
    </r>
    <r>
      <rPr>
        <b/>
        <sz val="11"/>
        <color theme="1"/>
        <rFont val="Calibri"/>
        <family val="2"/>
        <scheme val="minor"/>
      </rPr>
      <t xml:space="preserve">Export Air, Export Sea, Import Air </t>
    </r>
    <r>
      <rPr>
        <sz val="11"/>
        <color theme="1"/>
        <rFont val="Calibri"/>
        <family val="2"/>
        <scheme val="minor"/>
      </rPr>
      <t>and</t>
    </r>
    <r>
      <rPr>
        <b/>
        <sz val="11"/>
        <color theme="1"/>
        <rFont val="Calibri"/>
        <family val="2"/>
        <scheme val="minor"/>
      </rPr>
      <t xml:space="preserve"> Import Sea</t>
    </r>
    <r>
      <rPr>
        <sz val="11"/>
        <color theme="1"/>
        <rFont val="Calibri"/>
        <family val="2"/>
        <scheme val="minor"/>
      </rPr>
      <t xml:space="preserve"> radio buttons should be selectable and changeable.
2. Only one radio button should be selectable at a time, and one radio button should always remain selected.
3. Based on the selected radio button, the corresponding Activity-related details should be displayed correctly.
4. Previously added activity details should be displayed properly according to the selected radio button.</t>
    </r>
  </si>
  <si>
    <r>
      <t xml:space="preserve">Validate the functionality of the </t>
    </r>
    <r>
      <rPr>
        <b/>
        <sz val="11"/>
        <color theme="1"/>
        <rFont val="Calibri"/>
        <family val="2"/>
        <scheme val="minor"/>
      </rPr>
      <t>Add</t>
    </r>
    <r>
      <rPr>
        <sz val="11"/>
        <color theme="1"/>
        <rFont val="Calibri"/>
        <family val="2"/>
        <scheme val="minor"/>
      </rPr>
      <t xml:space="preserve"> button on the </t>
    </r>
    <r>
      <rPr>
        <b/>
        <sz val="11"/>
        <color theme="1"/>
        <rFont val="Calibri"/>
        <family val="2"/>
        <scheme val="minor"/>
      </rPr>
      <t>Shipment Plan Master</t>
    </r>
    <r>
      <rPr>
        <sz val="11"/>
        <color theme="1"/>
        <rFont val="Calibri"/>
        <family val="2"/>
        <scheme val="minor"/>
      </rPr>
      <t xml:space="preserve"> page when </t>
    </r>
    <r>
      <rPr>
        <b/>
        <sz val="11"/>
        <color theme="1"/>
        <rFont val="Calibri"/>
        <family val="2"/>
        <scheme val="minor"/>
      </rPr>
      <t>Export Air</t>
    </r>
    <r>
      <rPr>
        <sz val="11"/>
        <color theme="1"/>
        <rFont val="Calibri"/>
        <family val="2"/>
        <scheme val="minor"/>
      </rPr>
      <t xml:space="preserve"> radio button is selected</t>
    </r>
  </si>
  <si>
    <t>Shipment_Plan_M_01</t>
  </si>
  <si>
    <t>Shipment_Plan_M_02</t>
  </si>
  <si>
    <t>Shipment_Plan_M_03</t>
  </si>
  <si>
    <t>Shipment_Plan_M_04</t>
  </si>
  <si>
    <t>Shipment_Plan_M_05</t>
  </si>
  <si>
    <t>Shipment_Plan_M_06</t>
  </si>
  <si>
    <t>Shipment_Plan_M_07</t>
  </si>
  <si>
    <t>Shipment_Plan_M_08</t>
  </si>
  <si>
    <t>Shipment_Plan_M_09</t>
  </si>
  <si>
    <t>Shipment_Plan_M_10</t>
  </si>
  <si>
    <t>Shipment_Plan_M_11</t>
  </si>
  <si>
    <t>Shipment_Plan_M_12</t>
  </si>
  <si>
    <t>Shipment_Plan_M_13</t>
  </si>
  <si>
    <t>Shipment_Plan_M_14</t>
  </si>
  <si>
    <r>
      <t xml:space="preserve">1. On clicking the </t>
    </r>
    <r>
      <rPr>
        <b/>
        <sz val="11"/>
        <color theme="1"/>
        <rFont val="Calibri"/>
        <family val="2"/>
        <scheme val="minor"/>
      </rPr>
      <t>Delete</t>
    </r>
    <r>
      <rPr>
        <sz val="11"/>
        <color theme="1"/>
        <rFont val="Calibri"/>
        <family val="2"/>
        <scheme val="minor"/>
      </rPr>
      <t xml:space="preserve"> button against an activity row, a confirmation pop-up message should be displayed:
</t>
    </r>
    <r>
      <rPr>
        <b/>
        <sz val="11"/>
        <color theme="1"/>
        <rFont val="Calibri"/>
        <family val="2"/>
        <scheme val="minor"/>
      </rPr>
      <t>“Are you sure you want to delete this activity?” with OK and Cancel options.</t>
    </r>
    <r>
      <rPr>
        <sz val="11"/>
        <color theme="1"/>
        <rFont val="Calibri"/>
        <family val="2"/>
        <scheme val="minor"/>
      </rPr>
      <t xml:space="preserve">
2. If the user clicks OK:
 -&gt; The selected activity record should be deleted successfully.
 -&gt; The record should no longer be visible in the activity grid.
3. If the user clicks Cancel:
 -&gt; The selected activity record should not be deleted.
 -&gt; The record should remain available in the activity grid.</t>
    </r>
  </si>
  <si>
    <r>
      <t xml:space="preserve">1. Delete functionality is not working as expected.
2. </t>
    </r>
    <r>
      <rPr>
        <b/>
        <sz val="11"/>
        <color theme="1"/>
        <rFont val="Calibri"/>
        <family val="2"/>
        <scheme val="minor"/>
      </rPr>
      <t>When the user clicks Cancel in the confirmation popup:
 -&gt; The activity record is immediately removed from the grid.
 -&gt; After refreshing the page, the  record reappears</t>
    </r>
    <r>
      <rPr>
        <sz val="11"/>
        <color theme="1"/>
        <rFont val="Calibri"/>
        <family val="2"/>
        <scheme val="minor"/>
      </rPr>
      <t xml:space="preserve">
3. When the user clicks OK, the activity record is deleted successfully as expected.</t>
    </r>
  </si>
  <si>
    <t>Shipment Plan Master</t>
  </si>
  <si>
    <r>
      <t xml:space="preserve">Validate the functionality of the </t>
    </r>
    <r>
      <rPr>
        <b/>
        <sz val="11"/>
        <color theme="1"/>
        <rFont val="Calibri"/>
        <family val="2"/>
        <scheme val="minor"/>
      </rPr>
      <t>Add</t>
    </r>
    <r>
      <rPr>
        <sz val="11"/>
        <color theme="1"/>
        <rFont val="Calibri"/>
        <family val="2"/>
        <scheme val="minor"/>
      </rPr>
      <t xml:space="preserve"> button on the </t>
    </r>
    <r>
      <rPr>
        <b/>
        <sz val="11"/>
        <color theme="1"/>
        <rFont val="Calibri"/>
        <family val="2"/>
        <scheme val="minor"/>
      </rPr>
      <t>Shipment Plan Master</t>
    </r>
    <r>
      <rPr>
        <sz val="11"/>
        <color theme="1"/>
        <rFont val="Calibri"/>
        <family val="2"/>
        <scheme val="minor"/>
      </rPr>
      <t xml:space="preserve"> page when </t>
    </r>
    <r>
      <rPr>
        <b/>
        <sz val="11"/>
        <color theme="1"/>
        <rFont val="Calibri"/>
        <family val="2"/>
        <scheme val="minor"/>
      </rPr>
      <t>Export Sea</t>
    </r>
    <r>
      <rPr>
        <sz val="11"/>
        <color theme="1"/>
        <rFont val="Calibri"/>
        <family val="2"/>
        <scheme val="minor"/>
      </rPr>
      <t xml:space="preserve"> radio button is selected</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</si>
  <si>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Select the</t>
    </r>
    <r>
      <rPr>
        <b/>
        <sz val="11"/>
        <color theme="1"/>
        <rFont val="Calibri"/>
        <family val="2"/>
        <scheme val="minor"/>
      </rPr>
      <t xml:space="preserve"> Export Sea</t>
    </r>
    <r>
      <rPr>
        <sz val="11"/>
        <color theme="1"/>
        <rFont val="Calibri"/>
        <family val="2"/>
        <scheme val="minor"/>
      </rPr>
      <t xml:space="preserve"> radio button.
3. Click on the </t>
    </r>
    <r>
      <rPr>
        <b/>
        <sz val="11"/>
        <color theme="1"/>
        <rFont val="Calibri"/>
        <family val="2"/>
        <scheme val="minor"/>
      </rPr>
      <t>Add</t>
    </r>
    <r>
      <rPr>
        <sz val="11"/>
        <color theme="1"/>
        <rFont val="Calibri"/>
        <family val="2"/>
        <scheme val="minor"/>
      </rPr>
      <t xml:space="preserve"> button to add a new activity grid.
4. In the newly added activity grid, enter </t>
    </r>
    <r>
      <rPr>
        <b/>
        <sz val="11"/>
        <color theme="1"/>
        <rFont val="Calibri"/>
        <family val="2"/>
        <scheme val="minor"/>
      </rPr>
      <t>valid and invalid</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in the following fields and observe the system behaviour:
 -&gt; Activity Name
 -&gt; Day
 -&gt; Time
5. Click on the </t>
    </r>
    <r>
      <rPr>
        <b/>
        <sz val="11"/>
        <color theme="1"/>
        <rFont val="Calibri"/>
        <family val="2"/>
        <scheme val="minor"/>
      </rPr>
      <t>Save</t>
    </r>
    <r>
      <rPr>
        <sz val="11"/>
        <color theme="1"/>
        <rFont val="Calibri"/>
        <family val="2"/>
        <scheme val="minor"/>
      </rPr>
      <t xml:space="preserve"> button.</t>
    </r>
  </si>
  <si>
    <r>
      <t xml:space="preserve">1. On clicking the </t>
    </r>
    <r>
      <rPr>
        <b/>
        <sz val="11"/>
        <color theme="1"/>
        <rFont val="Calibri"/>
        <family val="2"/>
        <scheme val="minor"/>
      </rPr>
      <t>Add</t>
    </r>
    <r>
      <rPr>
        <sz val="11"/>
        <color theme="1"/>
        <rFont val="Calibri"/>
        <family val="2"/>
        <scheme val="minor"/>
      </rPr>
      <t xml:space="preserve"> button, a new activity row should be added below the previously added activity details.
2. </t>
    </r>
    <r>
      <rPr>
        <b/>
        <sz val="11"/>
        <color theme="1"/>
        <rFont val="Calibri"/>
        <family val="2"/>
        <scheme val="minor"/>
      </rPr>
      <t>Activity Name</t>
    </r>
    <r>
      <rPr>
        <sz val="11"/>
        <color theme="1"/>
        <rFont val="Calibri"/>
        <family val="2"/>
        <scheme val="minor"/>
      </rPr>
      <t xml:space="preserve"> textbox should allow </t>
    </r>
    <r>
      <rPr>
        <b/>
        <sz val="11"/>
        <color theme="1"/>
        <rFont val="Calibri"/>
        <family val="2"/>
        <scheme val="minor"/>
      </rPr>
      <t>only valid characters as per business rules.</t>
    </r>
    <r>
      <rPr>
        <sz val="11"/>
        <color theme="1"/>
        <rFont val="Calibri"/>
        <family val="2"/>
        <scheme val="minor"/>
      </rPr>
      <t xml:space="preserve">
3. </t>
    </r>
    <r>
      <rPr>
        <b/>
        <sz val="11"/>
        <color theme="1"/>
        <rFont val="Calibri"/>
        <family val="2"/>
        <scheme val="minor"/>
      </rPr>
      <t>Day</t>
    </r>
    <r>
      <rPr>
        <sz val="11"/>
        <color theme="1"/>
        <rFont val="Calibri"/>
        <family val="2"/>
        <scheme val="minor"/>
      </rPr>
      <t xml:space="preserve"> textbox should allow </t>
    </r>
    <r>
      <rPr>
        <b/>
        <sz val="11"/>
        <color theme="1"/>
        <rFont val="Calibri"/>
        <family val="2"/>
        <scheme val="minor"/>
      </rPr>
      <t>numeric values only.</t>
    </r>
    <r>
      <rPr>
        <sz val="11"/>
        <color theme="1"/>
        <rFont val="Calibri"/>
        <family val="2"/>
        <scheme val="minor"/>
      </rPr>
      <t xml:space="preserve">
4. </t>
    </r>
    <r>
      <rPr>
        <b/>
        <sz val="11"/>
        <color theme="1"/>
        <rFont val="Calibri"/>
        <family val="2"/>
        <scheme val="minor"/>
      </rPr>
      <t>Time</t>
    </r>
    <r>
      <rPr>
        <sz val="11"/>
        <color theme="1"/>
        <rFont val="Calibri"/>
        <family val="2"/>
        <scheme val="minor"/>
      </rPr>
      <t xml:space="preserve"> should be selected only</t>
    </r>
    <r>
      <rPr>
        <b/>
        <sz val="11"/>
        <color theme="1"/>
        <rFont val="Calibri"/>
        <family val="2"/>
        <scheme val="minor"/>
      </rPr>
      <t xml:space="preserve"> via the watch icon</t>
    </r>
    <r>
      <rPr>
        <sz val="11"/>
        <color theme="1"/>
        <rFont val="Calibri"/>
        <family val="2"/>
        <scheme val="minor"/>
      </rPr>
      <t xml:space="preserve"> and accept valid time format.
5. On clicking the </t>
    </r>
    <r>
      <rPr>
        <b/>
        <sz val="11"/>
        <color theme="1"/>
        <rFont val="Calibri"/>
        <family val="2"/>
        <scheme val="minor"/>
      </rPr>
      <t>Save</t>
    </r>
    <r>
      <rPr>
        <sz val="11"/>
        <color theme="1"/>
        <rFont val="Calibri"/>
        <family val="2"/>
        <scheme val="minor"/>
      </rPr>
      <t xml:space="preserve"> button with valid data, the record should be saved successfully with a clear success message.
6. After successful save:
 -&gt; The saved activity record should be visible only under the </t>
    </r>
    <r>
      <rPr>
        <b/>
        <sz val="11"/>
        <color theme="1"/>
        <rFont val="Calibri"/>
        <family val="2"/>
        <scheme val="minor"/>
      </rPr>
      <t>Export Air</t>
    </r>
    <r>
      <rPr>
        <sz val="11"/>
        <color theme="1"/>
        <rFont val="Calibri"/>
        <family val="2"/>
        <scheme val="minor"/>
      </rPr>
      <t xml:space="preserve"> radio button.
 -&gt; </t>
    </r>
    <r>
      <rPr>
        <b/>
        <sz val="11"/>
        <color theme="1"/>
        <rFont val="Calibri"/>
        <family val="2"/>
        <scheme val="minor"/>
      </rPr>
      <t xml:space="preserve">Entered Date, Entered By, Modified Date, and Modified By </t>
    </r>
    <r>
      <rPr>
        <sz val="11"/>
        <color theme="1"/>
        <rFont val="Calibri"/>
        <family val="2"/>
        <scheme val="minor"/>
      </rPr>
      <t>fields should be auto-populated correctly with the logged-in user details.
7. In case of invalid data, the system should:
 -&gt; Prevent saving the record
 -&gt; Display a clear and field-specific validation message</t>
    </r>
  </si>
  <si>
    <r>
      <t xml:space="preserve">1. On clicking the </t>
    </r>
    <r>
      <rPr>
        <b/>
        <sz val="11"/>
        <color theme="1"/>
        <rFont val="Calibri"/>
        <family val="2"/>
        <scheme val="minor"/>
      </rPr>
      <t>Add</t>
    </r>
    <r>
      <rPr>
        <sz val="11"/>
        <color theme="1"/>
        <rFont val="Calibri"/>
        <family val="2"/>
        <scheme val="minor"/>
      </rPr>
      <t xml:space="preserve"> button, a new activity row should be added below the previously added activity details.
2. </t>
    </r>
    <r>
      <rPr>
        <b/>
        <sz val="11"/>
        <color theme="1"/>
        <rFont val="Calibri"/>
        <family val="2"/>
        <scheme val="minor"/>
      </rPr>
      <t>Activity Name</t>
    </r>
    <r>
      <rPr>
        <sz val="11"/>
        <color theme="1"/>
        <rFont val="Calibri"/>
        <family val="2"/>
        <scheme val="minor"/>
      </rPr>
      <t xml:space="preserve"> textbox should allow </t>
    </r>
    <r>
      <rPr>
        <b/>
        <sz val="11"/>
        <color theme="1"/>
        <rFont val="Calibri"/>
        <family val="2"/>
        <scheme val="minor"/>
      </rPr>
      <t>only valid characters as per business rules.</t>
    </r>
    <r>
      <rPr>
        <sz val="11"/>
        <color theme="1"/>
        <rFont val="Calibri"/>
        <family val="2"/>
        <scheme val="minor"/>
      </rPr>
      <t xml:space="preserve">
3. </t>
    </r>
    <r>
      <rPr>
        <b/>
        <sz val="11"/>
        <color theme="1"/>
        <rFont val="Calibri"/>
        <family val="2"/>
        <scheme val="minor"/>
      </rPr>
      <t>Day</t>
    </r>
    <r>
      <rPr>
        <sz val="11"/>
        <color theme="1"/>
        <rFont val="Calibri"/>
        <family val="2"/>
        <scheme val="minor"/>
      </rPr>
      <t xml:space="preserve"> textbox should allow </t>
    </r>
    <r>
      <rPr>
        <b/>
        <sz val="11"/>
        <color theme="1"/>
        <rFont val="Calibri"/>
        <family val="2"/>
        <scheme val="minor"/>
      </rPr>
      <t>numeric values only.</t>
    </r>
    <r>
      <rPr>
        <sz val="11"/>
        <color theme="1"/>
        <rFont val="Calibri"/>
        <family val="2"/>
        <scheme val="minor"/>
      </rPr>
      <t xml:space="preserve">
4. </t>
    </r>
    <r>
      <rPr>
        <b/>
        <sz val="11"/>
        <color theme="1"/>
        <rFont val="Calibri"/>
        <family val="2"/>
        <scheme val="minor"/>
      </rPr>
      <t>Time</t>
    </r>
    <r>
      <rPr>
        <sz val="11"/>
        <color theme="1"/>
        <rFont val="Calibri"/>
        <family val="2"/>
        <scheme val="minor"/>
      </rPr>
      <t xml:space="preserve"> should be selected only</t>
    </r>
    <r>
      <rPr>
        <b/>
        <sz val="11"/>
        <color theme="1"/>
        <rFont val="Calibri"/>
        <family val="2"/>
        <scheme val="minor"/>
      </rPr>
      <t xml:space="preserve"> via the watch icon</t>
    </r>
    <r>
      <rPr>
        <sz val="11"/>
        <color theme="1"/>
        <rFont val="Calibri"/>
        <family val="2"/>
        <scheme val="minor"/>
      </rPr>
      <t xml:space="preserve"> and accept valid time format.
5. On clicking the </t>
    </r>
    <r>
      <rPr>
        <b/>
        <sz val="11"/>
        <color theme="1"/>
        <rFont val="Calibri"/>
        <family val="2"/>
        <scheme val="minor"/>
      </rPr>
      <t>Save</t>
    </r>
    <r>
      <rPr>
        <sz val="11"/>
        <color theme="1"/>
        <rFont val="Calibri"/>
        <family val="2"/>
        <scheme val="minor"/>
      </rPr>
      <t xml:space="preserve"> button with valid data, the record should be saved successfully with a clear success message.
6. After successful save:
 -&gt; The saved activity record should be visible only under the </t>
    </r>
    <r>
      <rPr>
        <b/>
        <sz val="11"/>
        <color theme="1"/>
        <rFont val="Calibri"/>
        <family val="2"/>
        <scheme val="minor"/>
      </rPr>
      <t>Export Sea</t>
    </r>
    <r>
      <rPr>
        <sz val="11"/>
        <color theme="1"/>
        <rFont val="Calibri"/>
        <family val="2"/>
        <scheme val="minor"/>
      </rPr>
      <t xml:space="preserve"> radio button.</t>
    </r>
    <r>
      <rPr>
        <sz val="11"/>
        <color theme="1"/>
        <rFont val="Calibri"/>
        <family val="2"/>
        <scheme val="minor"/>
      </rPr>
      <t xml:space="preserve">
 -&gt; </t>
    </r>
    <r>
      <rPr>
        <b/>
        <sz val="11"/>
        <color theme="1"/>
        <rFont val="Calibri"/>
        <family val="2"/>
        <scheme val="minor"/>
      </rPr>
      <t xml:space="preserve">Entered Date, Entered By, Modified Date, and Modified By </t>
    </r>
    <r>
      <rPr>
        <sz val="11"/>
        <color theme="1"/>
        <rFont val="Calibri"/>
        <family val="2"/>
        <scheme val="minor"/>
      </rPr>
      <t>fields should be auto-populated correctly with the logged-in user details.
7. In case of invalid data, the system should:
 -&gt; Prevent saving the record
 -&gt; Display a clear and field-specific validation message</t>
    </r>
  </si>
  <si>
    <r>
      <t xml:space="preserve">1. Delete functionality is not working as expected.
2. </t>
    </r>
    <r>
      <rPr>
        <b/>
        <sz val="11"/>
        <color theme="1"/>
        <rFont val="Calibri"/>
        <family val="2"/>
        <scheme val="minor"/>
      </rPr>
      <t>When the user clicks Cancel in the confirmation popup:
 -&gt; The activity record is immediately removed from the grid.
 -&gt; After refreshing the page, the record reappears</t>
    </r>
    <r>
      <rPr>
        <sz val="11"/>
        <color theme="1"/>
        <rFont val="Calibri"/>
        <family val="2"/>
        <scheme val="minor"/>
      </rPr>
      <t xml:space="preserve">
3. When the user clicks OK, the activity record is deleted successfully as expected.</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</si>
  <si>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
    </r>
    <r>
      <rPr>
        <b/>
        <sz val="11"/>
        <color theme="1"/>
        <rFont val="Calibri"/>
        <family val="2"/>
        <scheme val="minor"/>
      </rPr>
      <t>Import Air</t>
    </r>
    <r>
      <rPr>
        <sz val="11"/>
        <color theme="1"/>
        <rFont val="Calibri"/>
        <family val="2"/>
        <scheme val="minor"/>
      </rPr>
      <t xml:space="preserve"> radio button.
3. Click on </t>
    </r>
    <r>
      <rPr>
        <b/>
        <sz val="11"/>
        <color theme="1"/>
        <rFont val="Calibri"/>
        <family val="2"/>
        <scheme val="minor"/>
      </rPr>
      <t>Add</t>
    </r>
    <r>
      <rPr>
        <sz val="11"/>
        <color theme="1"/>
        <rFont val="Calibri"/>
        <family val="2"/>
        <scheme val="minor"/>
      </rPr>
      <t xml:space="preserve"> button</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</si>
  <si>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Select the</t>
    </r>
    <r>
      <rPr>
        <b/>
        <sz val="11"/>
        <color theme="1"/>
        <rFont val="Calibri"/>
        <family val="2"/>
        <scheme val="minor"/>
      </rPr>
      <t xml:space="preserve"> Import Air</t>
    </r>
    <r>
      <rPr>
        <sz val="11"/>
        <color theme="1"/>
        <rFont val="Calibri"/>
        <family val="2"/>
        <scheme val="minor"/>
      </rPr>
      <t xml:space="preserve"> radio button.
3. Click on the </t>
    </r>
    <r>
      <rPr>
        <b/>
        <sz val="11"/>
        <color theme="1"/>
        <rFont val="Calibri"/>
        <family val="2"/>
        <scheme val="minor"/>
      </rPr>
      <t>Add</t>
    </r>
    <r>
      <rPr>
        <sz val="11"/>
        <color theme="1"/>
        <rFont val="Calibri"/>
        <family val="2"/>
        <scheme val="minor"/>
      </rPr>
      <t xml:space="preserve"> button to add a new activity grid.
4. In the newly added activity grid, enter </t>
    </r>
    <r>
      <rPr>
        <b/>
        <sz val="11"/>
        <color theme="1"/>
        <rFont val="Calibri"/>
        <family val="2"/>
        <scheme val="minor"/>
      </rPr>
      <t>valid and invalid</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in the following fields and observe the system behaviour:
 -&gt; Activity Name
 -&gt; Day
 -&gt; Time
5. Click on the </t>
    </r>
    <r>
      <rPr>
        <b/>
        <sz val="11"/>
        <color theme="1"/>
        <rFont val="Calibri"/>
        <family val="2"/>
        <scheme val="minor"/>
      </rPr>
      <t>Save</t>
    </r>
    <r>
      <rPr>
        <sz val="11"/>
        <color theme="1"/>
        <rFont val="Calibri"/>
        <family val="2"/>
        <scheme val="minor"/>
      </rPr>
      <t xml:space="preserve"> button.</t>
    </r>
  </si>
  <si>
    <r>
      <t xml:space="preserve">1. On clicking the </t>
    </r>
    <r>
      <rPr>
        <b/>
        <sz val="11"/>
        <color theme="1"/>
        <rFont val="Calibri"/>
        <family val="2"/>
        <scheme val="minor"/>
      </rPr>
      <t>Add</t>
    </r>
    <r>
      <rPr>
        <sz val="11"/>
        <color theme="1"/>
        <rFont val="Calibri"/>
        <family val="2"/>
        <scheme val="minor"/>
      </rPr>
      <t xml:space="preserve"> button, a new activity row should be added below the previously added activity details.
2. </t>
    </r>
    <r>
      <rPr>
        <b/>
        <sz val="11"/>
        <color theme="1"/>
        <rFont val="Calibri"/>
        <family val="2"/>
        <scheme val="minor"/>
      </rPr>
      <t>Activity Name</t>
    </r>
    <r>
      <rPr>
        <sz val="11"/>
        <color theme="1"/>
        <rFont val="Calibri"/>
        <family val="2"/>
        <scheme val="minor"/>
      </rPr>
      <t xml:space="preserve"> textbox should allow </t>
    </r>
    <r>
      <rPr>
        <b/>
        <sz val="11"/>
        <color theme="1"/>
        <rFont val="Calibri"/>
        <family val="2"/>
        <scheme val="minor"/>
      </rPr>
      <t>only valid characters as per business rules.</t>
    </r>
    <r>
      <rPr>
        <sz val="11"/>
        <color theme="1"/>
        <rFont val="Calibri"/>
        <family val="2"/>
        <scheme val="minor"/>
      </rPr>
      <t xml:space="preserve">
3. </t>
    </r>
    <r>
      <rPr>
        <b/>
        <sz val="11"/>
        <color theme="1"/>
        <rFont val="Calibri"/>
        <family val="2"/>
        <scheme val="minor"/>
      </rPr>
      <t>Day</t>
    </r>
    <r>
      <rPr>
        <sz val="11"/>
        <color theme="1"/>
        <rFont val="Calibri"/>
        <family val="2"/>
        <scheme val="minor"/>
      </rPr>
      <t xml:space="preserve"> textbox should allow </t>
    </r>
    <r>
      <rPr>
        <b/>
        <sz val="11"/>
        <color theme="1"/>
        <rFont val="Calibri"/>
        <family val="2"/>
        <scheme val="minor"/>
      </rPr>
      <t>numeric values only.</t>
    </r>
    <r>
      <rPr>
        <sz val="11"/>
        <color theme="1"/>
        <rFont val="Calibri"/>
        <family val="2"/>
        <scheme val="minor"/>
      </rPr>
      <t xml:space="preserve">
4. </t>
    </r>
    <r>
      <rPr>
        <b/>
        <sz val="11"/>
        <color theme="1"/>
        <rFont val="Calibri"/>
        <family val="2"/>
        <scheme val="minor"/>
      </rPr>
      <t>Time</t>
    </r>
    <r>
      <rPr>
        <sz val="11"/>
        <color theme="1"/>
        <rFont val="Calibri"/>
        <family val="2"/>
        <scheme val="minor"/>
      </rPr>
      <t xml:space="preserve"> should be selected only</t>
    </r>
    <r>
      <rPr>
        <b/>
        <sz val="11"/>
        <color theme="1"/>
        <rFont val="Calibri"/>
        <family val="2"/>
        <scheme val="minor"/>
      </rPr>
      <t xml:space="preserve"> via the watch icon</t>
    </r>
    <r>
      <rPr>
        <sz val="11"/>
        <color theme="1"/>
        <rFont val="Calibri"/>
        <family val="2"/>
        <scheme val="minor"/>
      </rPr>
      <t xml:space="preserve"> and accept valid time format.
5. On clicking the </t>
    </r>
    <r>
      <rPr>
        <b/>
        <sz val="11"/>
        <color theme="1"/>
        <rFont val="Calibri"/>
        <family val="2"/>
        <scheme val="minor"/>
      </rPr>
      <t>Save</t>
    </r>
    <r>
      <rPr>
        <sz val="11"/>
        <color theme="1"/>
        <rFont val="Calibri"/>
        <family val="2"/>
        <scheme val="minor"/>
      </rPr>
      <t xml:space="preserve"> button with valid data, the record should be saved successfully with a clear success message.
6. After successful save:
 -&gt; The saved activity record should be visible only under the </t>
    </r>
    <r>
      <rPr>
        <b/>
        <sz val="11"/>
        <color theme="1"/>
        <rFont val="Calibri"/>
        <family val="2"/>
        <scheme val="minor"/>
      </rPr>
      <t>Import Air</t>
    </r>
    <r>
      <rPr>
        <sz val="11"/>
        <color theme="1"/>
        <rFont val="Calibri"/>
        <family val="2"/>
        <scheme val="minor"/>
      </rPr>
      <t xml:space="preserve"> radio button.
 -&gt; </t>
    </r>
    <r>
      <rPr>
        <b/>
        <sz val="11"/>
        <color theme="1"/>
        <rFont val="Calibri"/>
        <family val="2"/>
        <scheme val="minor"/>
      </rPr>
      <t xml:space="preserve">Entered Date, Entered By, Modified Date, and Modified By </t>
    </r>
    <r>
      <rPr>
        <sz val="11"/>
        <color theme="1"/>
        <rFont val="Calibri"/>
        <family val="2"/>
        <scheme val="minor"/>
      </rPr>
      <t>fields should be auto-populated correctly with the logged-in user details.
7. In case of invalid data, the system should:
 -&gt; Prevent saving the record
 -&gt; Display a clear and field-specific validation message</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</si>
  <si>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the </t>
    </r>
    <r>
      <rPr>
        <b/>
        <sz val="11"/>
        <color theme="1"/>
        <rFont val="Calibri"/>
        <family val="2"/>
        <scheme val="minor"/>
      </rPr>
      <t>Import Air</t>
    </r>
    <r>
      <rPr>
        <sz val="11"/>
        <color theme="1"/>
        <rFont val="Calibri"/>
        <family val="2"/>
        <scheme val="minor"/>
      </rPr>
      <t xml:space="preserve"> radio button.
3. Click on the </t>
    </r>
    <r>
      <rPr>
        <b/>
        <sz val="11"/>
        <color theme="1"/>
        <rFont val="Calibri"/>
        <family val="2"/>
        <scheme val="minor"/>
      </rPr>
      <t>Delete</t>
    </r>
    <r>
      <rPr>
        <sz val="11"/>
        <color theme="1"/>
        <rFont val="Calibri"/>
        <family val="2"/>
        <scheme val="minor"/>
      </rPr>
      <t xml:space="preserve"> button against the activity row that needs to be deleted and observe the system behaviour.</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</si>
  <si>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
    </r>
    <r>
      <rPr>
        <b/>
        <sz val="11"/>
        <color theme="1"/>
        <rFont val="Calibri"/>
        <family val="2"/>
        <scheme val="minor"/>
      </rPr>
      <t>Import Sea</t>
    </r>
    <r>
      <rPr>
        <sz val="11"/>
        <color theme="1"/>
        <rFont val="Calibri"/>
        <family val="2"/>
        <scheme val="minor"/>
      </rPr>
      <t xml:space="preserve"> radio button.
3. Click on </t>
    </r>
    <r>
      <rPr>
        <b/>
        <sz val="11"/>
        <color theme="1"/>
        <rFont val="Calibri"/>
        <family val="2"/>
        <scheme val="minor"/>
      </rPr>
      <t>Add</t>
    </r>
    <r>
      <rPr>
        <sz val="11"/>
        <color theme="1"/>
        <rFont val="Calibri"/>
        <family val="2"/>
        <scheme val="minor"/>
      </rPr>
      <t xml:space="preserve"> button</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</si>
  <si>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Select the</t>
    </r>
    <r>
      <rPr>
        <b/>
        <sz val="11"/>
        <color theme="1"/>
        <rFont val="Calibri"/>
        <family val="2"/>
        <scheme val="minor"/>
      </rPr>
      <t xml:space="preserve"> Import Sea</t>
    </r>
    <r>
      <rPr>
        <sz val="11"/>
        <color theme="1"/>
        <rFont val="Calibri"/>
        <family val="2"/>
        <scheme val="minor"/>
      </rPr>
      <t xml:space="preserve"> radio button.
3. Click on the </t>
    </r>
    <r>
      <rPr>
        <b/>
        <sz val="11"/>
        <color theme="1"/>
        <rFont val="Calibri"/>
        <family val="2"/>
        <scheme val="minor"/>
      </rPr>
      <t>Add</t>
    </r>
    <r>
      <rPr>
        <sz val="11"/>
        <color theme="1"/>
        <rFont val="Calibri"/>
        <family val="2"/>
        <scheme val="minor"/>
      </rPr>
      <t xml:space="preserve"> button to add a new activity grid.
4. In the newly added activity grid, enter </t>
    </r>
    <r>
      <rPr>
        <b/>
        <sz val="11"/>
        <color theme="1"/>
        <rFont val="Calibri"/>
        <family val="2"/>
        <scheme val="minor"/>
      </rPr>
      <t>valid and invalid</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in the following fields and observe the system behaviour:
 -&gt; Activity Name
 -&gt; Day
 -&gt; Time
5. Click on the </t>
    </r>
    <r>
      <rPr>
        <b/>
        <sz val="11"/>
        <color theme="1"/>
        <rFont val="Calibri"/>
        <family val="2"/>
        <scheme val="minor"/>
      </rPr>
      <t>Save</t>
    </r>
    <r>
      <rPr>
        <sz val="11"/>
        <color theme="1"/>
        <rFont val="Calibri"/>
        <family val="2"/>
        <scheme val="minor"/>
      </rPr>
      <t xml:space="preserve"> button.</t>
    </r>
  </si>
  <si>
    <r>
      <t xml:space="preserve">1. On clicking the </t>
    </r>
    <r>
      <rPr>
        <b/>
        <sz val="11"/>
        <color theme="1"/>
        <rFont val="Calibri"/>
        <family val="2"/>
        <scheme val="minor"/>
      </rPr>
      <t>Add</t>
    </r>
    <r>
      <rPr>
        <sz val="11"/>
        <color theme="1"/>
        <rFont val="Calibri"/>
        <family val="2"/>
        <scheme val="minor"/>
      </rPr>
      <t xml:space="preserve"> button, a new activity row should be added below the previously added activity details.
2. </t>
    </r>
    <r>
      <rPr>
        <b/>
        <sz val="11"/>
        <color theme="1"/>
        <rFont val="Calibri"/>
        <family val="2"/>
        <scheme val="minor"/>
      </rPr>
      <t>Activity Name</t>
    </r>
    <r>
      <rPr>
        <sz val="11"/>
        <color theme="1"/>
        <rFont val="Calibri"/>
        <family val="2"/>
        <scheme val="minor"/>
      </rPr>
      <t xml:space="preserve"> textbox should allow </t>
    </r>
    <r>
      <rPr>
        <b/>
        <sz val="11"/>
        <color theme="1"/>
        <rFont val="Calibri"/>
        <family val="2"/>
        <scheme val="minor"/>
      </rPr>
      <t>only valid characters as per business rules.</t>
    </r>
    <r>
      <rPr>
        <sz val="11"/>
        <color theme="1"/>
        <rFont val="Calibri"/>
        <family val="2"/>
        <scheme val="minor"/>
      </rPr>
      <t xml:space="preserve">
3. </t>
    </r>
    <r>
      <rPr>
        <b/>
        <sz val="11"/>
        <color theme="1"/>
        <rFont val="Calibri"/>
        <family val="2"/>
        <scheme val="minor"/>
      </rPr>
      <t>Day</t>
    </r>
    <r>
      <rPr>
        <sz val="11"/>
        <color theme="1"/>
        <rFont val="Calibri"/>
        <family val="2"/>
        <scheme val="minor"/>
      </rPr>
      <t xml:space="preserve"> textbox should allow </t>
    </r>
    <r>
      <rPr>
        <b/>
        <sz val="11"/>
        <color theme="1"/>
        <rFont val="Calibri"/>
        <family val="2"/>
        <scheme val="minor"/>
      </rPr>
      <t>numeric values only.</t>
    </r>
    <r>
      <rPr>
        <sz val="11"/>
        <color theme="1"/>
        <rFont val="Calibri"/>
        <family val="2"/>
        <scheme val="minor"/>
      </rPr>
      <t xml:space="preserve">
4. </t>
    </r>
    <r>
      <rPr>
        <b/>
        <sz val="11"/>
        <color theme="1"/>
        <rFont val="Calibri"/>
        <family val="2"/>
        <scheme val="minor"/>
      </rPr>
      <t>Time</t>
    </r>
    <r>
      <rPr>
        <sz val="11"/>
        <color theme="1"/>
        <rFont val="Calibri"/>
        <family val="2"/>
        <scheme val="minor"/>
      </rPr>
      <t xml:space="preserve"> should be selected only</t>
    </r>
    <r>
      <rPr>
        <b/>
        <sz val="11"/>
        <color theme="1"/>
        <rFont val="Calibri"/>
        <family val="2"/>
        <scheme val="minor"/>
      </rPr>
      <t xml:space="preserve"> via the watch icon</t>
    </r>
    <r>
      <rPr>
        <sz val="11"/>
        <color theme="1"/>
        <rFont val="Calibri"/>
        <family val="2"/>
        <scheme val="minor"/>
      </rPr>
      <t xml:space="preserve"> and accept valid time format.
5. On clicking the </t>
    </r>
    <r>
      <rPr>
        <b/>
        <sz val="11"/>
        <color theme="1"/>
        <rFont val="Calibri"/>
        <family val="2"/>
        <scheme val="minor"/>
      </rPr>
      <t>Save</t>
    </r>
    <r>
      <rPr>
        <sz val="11"/>
        <color theme="1"/>
        <rFont val="Calibri"/>
        <family val="2"/>
        <scheme val="minor"/>
      </rPr>
      <t xml:space="preserve"> button with valid data, the record should be saved successfully with a clear success message.
6. After successful save:
 -&gt; The saved activity record should be visible only under the </t>
    </r>
    <r>
      <rPr>
        <b/>
        <sz val="11"/>
        <color theme="1"/>
        <rFont val="Calibri"/>
        <family val="2"/>
        <scheme val="minor"/>
      </rPr>
      <t>Import Sea</t>
    </r>
    <r>
      <rPr>
        <sz val="11"/>
        <color theme="1"/>
        <rFont val="Calibri"/>
        <family val="2"/>
        <scheme val="minor"/>
      </rPr>
      <t xml:space="preserve"> radio button.
 -&gt; </t>
    </r>
    <r>
      <rPr>
        <b/>
        <sz val="11"/>
        <color theme="1"/>
        <rFont val="Calibri"/>
        <family val="2"/>
        <scheme val="minor"/>
      </rPr>
      <t xml:space="preserve">Entered Date, Entered By, Modified Date, and Modified By </t>
    </r>
    <r>
      <rPr>
        <sz val="11"/>
        <color theme="1"/>
        <rFont val="Calibri"/>
        <family val="2"/>
        <scheme val="minor"/>
      </rPr>
      <t>fields should be auto-populated correctly with the logged-in user details.
7. In case of invalid data, the system should:
 -&gt; Prevent saving the record
 -&gt; Display a clear and field-specific validation message</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</si>
  <si>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the </t>
    </r>
    <r>
      <rPr>
        <b/>
        <sz val="11"/>
        <color theme="1"/>
        <rFont val="Calibri"/>
        <family val="2"/>
        <scheme val="minor"/>
      </rPr>
      <t>Import Sea</t>
    </r>
    <r>
      <rPr>
        <sz val="11"/>
        <color theme="1"/>
        <rFont val="Calibri"/>
        <family val="2"/>
        <scheme val="minor"/>
      </rPr>
      <t xml:space="preserve"> radio button.
3. Click on the </t>
    </r>
    <r>
      <rPr>
        <b/>
        <sz val="11"/>
        <color theme="1"/>
        <rFont val="Calibri"/>
        <family val="2"/>
        <scheme val="minor"/>
      </rPr>
      <t>Delete</t>
    </r>
    <r>
      <rPr>
        <sz val="11"/>
        <color theme="1"/>
        <rFont val="Calibri"/>
        <family val="2"/>
        <scheme val="minor"/>
      </rPr>
      <t xml:space="preserve"> button against the activity row that needs to be deleted and observe the system behaviour.</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</si>
  <si>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and change the </t>
    </r>
    <r>
      <rPr>
        <b/>
        <sz val="11"/>
        <color theme="1"/>
        <rFont val="Calibri"/>
        <family val="2"/>
        <scheme val="minor"/>
      </rPr>
      <t xml:space="preserve">Export Air, Export Sea, Import Air </t>
    </r>
    <r>
      <rPr>
        <sz val="11"/>
        <color theme="1"/>
        <rFont val="Calibri"/>
        <family val="2"/>
        <scheme val="minor"/>
      </rPr>
      <t>and</t>
    </r>
    <r>
      <rPr>
        <b/>
        <sz val="11"/>
        <color theme="1"/>
        <rFont val="Calibri"/>
        <family val="2"/>
        <scheme val="minor"/>
      </rPr>
      <t xml:space="preserve"> Import Sea</t>
    </r>
    <r>
      <rPr>
        <sz val="11"/>
        <color theme="1"/>
        <rFont val="Calibri"/>
        <family val="2"/>
        <scheme val="minor"/>
      </rPr>
      <t xml:space="preserve"> radio buttons one by one and observe the system behavior.</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</si>
  <si>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
    </r>
    <r>
      <rPr>
        <b/>
        <sz val="11"/>
        <color theme="1"/>
        <rFont val="Calibri"/>
        <family val="2"/>
        <scheme val="minor"/>
      </rPr>
      <t>Export Air</t>
    </r>
    <r>
      <rPr>
        <sz val="11"/>
        <color theme="1"/>
        <rFont val="Calibri"/>
        <family val="2"/>
        <scheme val="minor"/>
      </rPr>
      <t xml:space="preserve"> radio button.
3. Click on </t>
    </r>
    <r>
      <rPr>
        <b/>
        <sz val="11"/>
        <color theme="1"/>
        <rFont val="Calibri"/>
        <family val="2"/>
        <scheme val="minor"/>
      </rPr>
      <t>Add</t>
    </r>
    <r>
      <rPr>
        <sz val="11"/>
        <color theme="1"/>
        <rFont val="Calibri"/>
        <family val="2"/>
        <scheme val="minor"/>
      </rPr>
      <t xml:space="preserve"> button</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</si>
  <si>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Select the</t>
    </r>
    <r>
      <rPr>
        <b/>
        <sz val="11"/>
        <color theme="1"/>
        <rFont val="Calibri"/>
        <family val="2"/>
        <scheme val="minor"/>
      </rPr>
      <t xml:space="preserve"> Export Air</t>
    </r>
    <r>
      <rPr>
        <sz val="11"/>
        <color theme="1"/>
        <rFont val="Calibri"/>
        <family val="2"/>
        <scheme val="minor"/>
      </rPr>
      <t xml:space="preserve"> radio button.
3. Click on the </t>
    </r>
    <r>
      <rPr>
        <b/>
        <sz val="11"/>
        <color theme="1"/>
        <rFont val="Calibri"/>
        <family val="2"/>
        <scheme val="minor"/>
      </rPr>
      <t>Add</t>
    </r>
    <r>
      <rPr>
        <sz val="11"/>
        <color theme="1"/>
        <rFont val="Calibri"/>
        <family val="2"/>
        <scheme val="minor"/>
      </rPr>
      <t xml:space="preserve"> button to add a new activity grid.
4. In the newly added activity grid, enter </t>
    </r>
    <r>
      <rPr>
        <b/>
        <sz val="11"/>
        <color theme="1"/>
        <rFont val="Calibri"/>
        <family val="2"/>
        <scheme val="minor"/>
      </rPr>
      <t>valid and invalid</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in the following fields and observe the system behaviour:
 -&gt; Activity Name
 -&gt; Day
 -&gt; Time
5. Click on the </t>
    </r>
    <r>
      <rPr>
        <b/>
        <sz val="11"/>
        <color theme="1"/>
        <rFont val="Calibri"/>
        <family val="2"/>
        <scheme val="minor"/>
      </rPr>
      <t>Save</t>
    </r>
    <r>
      <rPr>
        <sz val="11"/>
        <color theme="1"/>
        <rFont val="Calibri"/>
        <family val="2"/>
        <scheme val="minor"/>
      </rPr>
      <t xml:space="preserve"> button.</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</si>
  <si>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the Export Air radio button.
4. Click on the </t>
    </r>
    <r>
      <rPr>
        <b/>
        <sz val="11"/>
        <color theme="1"/>
        <rFont val="Calibri"/>
        <family val="2"/>
        <scheme val="minor"/>
      </rPr>
      <t>Delete</t>
    </r>
    <r>
      <rPr>
        <sz val="11"/>
        <color theme="1"/>
        <rFont val="Calibri"/>
        <family val="2"/>
        <scheme val="minor"/>
      </rPr>
      <t xml:space="preserve"> button against the activity row that needs to be deleted and observe the system behaviour.</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</si>
  <si>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xml:space="preserve">. select </t>
    </r>
    <r>
      <rPr>
        <b/>
        <sz val="11"/>
        <color theme="1"/>
        <rFont val="Calibri"/>
        <family val="2"/>
        <scheme val="minor"/>
      </rPr>
      <t>Export Sea</t>
    </r>
    <r>
      <rPr>
        <sz val="11"/>
        <color theme="1"/>
        <rFont val="Calibri"/>
        <family val="2"/>
        <scheme val="minor"/>
      </rPr>
      <t xml:space="preserve"> radio button.
3. Click on </t>
    </r>
    <r>
      <rPr>
        <b/>
        <sz val="11"/>
        <color theme="1"/>
        <rFont val="Calibri"/>
        <family val="2"/>
        <scheme val="minor"/>
      </rPr>
      <t>Add</t>
    </r>
    <r>
      <rPr>
        <sz val="11"/>
        <color theme="1"/>
        <rFont val="Calibri"/>
        <family val="2"/>
        <scheme val="minor"/>
      </rPr>
      <t xml:space="preserve"> button</t>
    </r>
  </si>
  <si>
    <r>
      <t xml:space="preserve">1. Navigate to </t>
    </r>
    <r>
      <rPr>
        <b/>
        <sz val="11"/>
        <color theme="1"/>
        <rFont val="Calibri"/>
        <family val="2"/>
        <scheme val="minor"/>
      </rPr>
      <t>Masters</t>
    </r>
    <r>
      <rPr>
        <sz val="11"/>
        <color theme="1"/>
        <rFont val="Calibri"/>
        <family val="2"/>
        <scheme val="minor"/>
      </rPr>
      <t xml:space="preserve"> -&gt; </t>
    </r>
    <r>
      <rPr>
        <b/>
        <sz val="11"/>
        <color theme="1"/>
        <rFont val="Calibri"/>
        <family val="2"/>
        <scheme val="minor"/>
      </rPr>
      <t>Shipment Plan Master
2</t>
    </r>
    <r>
      <rPr>
        <sz val="11"/>
        <color theme="1"/>
        <rFont val="Calibri"/>
        <family val="2"/>
        <scheme val="minor"/>
      </rPr>
      <t>. Select the Export Air radio button.
3. Click on the Delete button against the activity row that needs to be deleted and observe the system behaviour.</t>
    </r>
  </si>
  <si>
    <t xml:space="preserve">Shipment Plan Master
</t>
  </si>
  <si>
    <r>
      <rPr>
        <b/>
        <sz val="11"/>
        <color theme="1"/>
        <rFont val="Calibri"/>
        <family val="2"/>
        <scheme val="minor"/>
      </rPr>
      <t xml:space="preserve"> -&gt; Activity Name: </t>
    </r>
    <r>
      <rPr>
        <sz val="11"/>
        <color theme="1"/>
        <rFont val="Calibri"/>
        <family val="2"/>
        <scheme val="minor"/>
      </rPr>
      <t xml:space="preserve">As per business Rule, </t>
    </r>
    <r>
      <rPr>
        <b/>
        <sz val="11"/>
        <color theme="1"/>
        <rFont val="Calibri"/>
        <family val="2"/>
        <scheme val="minor"/>
      </rPr>
      <t>Activity Name</t>
    </r>
    <r>
      <rPr>
        <sz val="11"/>
        <color theme="1"/>
        <rFont val="Calibri"/>
        <family val="2"/>
        <scheme val="minor"/>
      </rPr>
      <t xml:space="preserve"> should accept alphanumeric value and following special characters: Dot (.), Comma (,), Percentage (%), Ampersand (&amp;), Hyphen (-),  Underscore (_), Forward slash (/), Backward slash (\)
</t>
    </r>
    <r>
      <rPr>
        <b/>
        <sz val="11"/>
        <color theme="1"/>
        <rFont val="Calibri"/>
        <family val="2"/>
        <scheme val="minor"/>
      </rPr>
      <t xml:space="preserve"> -&gt; Day: </t>
    </r>
    <r>
      <rPr>
        <sz val="11"/>
        <color theme="1"/>
        <rFont val="Calibri"/>
        <family val="2"/>
        <scheme val="minor"/>
      </rPr>
      <t xml:space="preserve">Only Numeric value 
</t>
    </r>
    <r>
      <rPr>
        <b/>
        <sz val="11"/>
        <color theme="1"/>
        <rFont val="Calibri"/>
        <family val="2"/>
        <scheme val="minor"/>
      </rPr>
      <t xml:space="preserve">
-&gt; Time: </t>
    </r>
    <r>
      <rPr>
        <sz val="11"/>
        <color theme="1"/>
        <rFont val="Calibri"/>
        <family val="2"/>
        <scheme val="minor"/>
      </rPr>
      <t xml:space="preserve">Selected only by clicking on watch icon </t>
    </r>
  </si>
  <si>
    <r>
      <rPr>
        <b/>
        <sz val="11"/>
        <color theme="1"/>
        <rFont val="Calibri"/>
        <family val="2"/>
        <scheme val="minor"/>
      </rPr>
      <t xml:space="preserve"> -&gt; Activity Name: </t>
    </r>
    <r>
      <rPr>
        <sz val="11"/>
        <color theme="1"/>
        <rFont val="Calibri"/>
        <family val="2"/>
        <scheme val="minor"/>
      </rPr>
      <t xml:space="preserve">As per business Rule, </t>
    </r>
    <r>
      <rPr>
        <b/>
        <sz val="11"/>
        <color theme="1"/>
        <rFont val="Calibri"/>
        <family val="2"/>
        <scheme val="minor"/>
      </rPr>
      <t>Activity Name</t>
    </r>
    <r>
      <rPr>
        <sz val="11"/>
        <color theme="1"/>
        <rFont val="Calibri"/>
        <family val="2"/>
        <scheme val="minor"/>
      </rPr>
      <t xml:space="preserve"> should accept alphanumeric value and following special characters: Dot (.), Comma (,), Percentage (%), Ampersand (&amp;), Hyphen (-),  Underscore (_), Forward slash (/), Backward slash (\)
</t>
    </r>
    <r>
      <rPr>
        <b/>
        <sz val="11"/>
        <color theme="1"/>
        <rFont val="Calibri"/>
        <family val="2"/>
        <scheme val="minor"/>
      </rPr>
      <t xml:space="preserve"> -&gt; Day: </t>
    </r>
    <r>
      <rPr>
        <sz val="11"/>
        <color theme="1"/>
        <rFont val="Calibri"/>
        <family val="2"/>
        <scheme val="minor"/>
      </rPr>
      <t xml:space="preserve">Only Numeric value 
</t>
    </r>
    <r>
      <rPr>
        <b/>
        <sz val="11"/>
        <color theme="1"/>
        <rFont val="Calibri"/>
        <family val="2"/>
        <scheme val="minor"/>
      </rPr>
      <t xml:space="preserve"> 
-&gt; Time: </t>
    </r>
    <r>
      <rPr>
        <sz val="11"/>
        <color theme="1"/>
        <rFont val="Calibri"/>
        <family val="2"/>
        <scheme val="minor"/>
      </rPr>
      <t xml:space="preserve">Selected only by clicking on watch icon </t>
    </r>
  </si>
  <si>
    <r>
      <rPr>
        <b/>
        <sz val="11"/>
        <color theme="1"/>
        <rFont val="Calibri"/>
        <family val="2"/>
        <scheme val="minor"/>
      </rPr>
      <t xml:space="preserve"> -&gt; Activity Name: </t>
    </r>
    <r>
      <rPr>
        <sz val="11"/>
        <color theme="1"/>
        <rFont val="Calibri"/>
        <family val="2"/>
        <scheme val="minor"/>
      </rPr>
      <t xml:space="preserve">As per business Rule, </t>
    </r>
    <r>
      <rPr>
        <b/>
        <sz val="11"/>
        <color theme="1"/>
        <rFont val="Calibri"/>
        <family val="2"/>
        <scheme val="minor"/>
      </rPr>
      <t>Activity Name</t>
    </r>
    <r>
      <rPr>
        <sz val="11"/>
        <color theme="1"/>
        <rFont val="Calibri"/>
        <family val="2"/>
        <scheme val="minor"/>
      </rPr>
      <t xml:space="preserve"> should accept alphanumeric value and following special characters: Dot (.), Comma (,), Percentage (%), Ampersand (&amp;), Hyphen (-),  Underscore (_), Forward slash (/), Backward slash (\)
</t>
    </r>
    <r>
      <rPr>
        <b/>
        <sz val="11"/>
        <color theme="1"/>
        <rFont val="Calibri"/>
        <family val="2"/>
        <scheme val="minor"/>
      </rPr>
      <t xml:space="preserve"> -&gt; Day: </t>
    </r>
    <r>
      <rPr>
        <sz val="11"/>
        <color theme="1"/>
        <rFont val="Calibri"/>
        <family val="2"/>
        <scheme val="minor"/>
      </rPr>
      <t xml:space="preserve">Only Numeric value 
</t>
    </r>
    <r>
      <rPr>
        <b/>
        <sz val="11"/>
        <color theme="1"/>
        <rFont val="Calibri"/>
        <family val="2"/>
        <scheme val="minor"/>
      </rPr>
      <t xml:space="preserve"> 
-&gt; Time: </t>
    </r>
    <r>
      <rPr>
        <sz val="11"/>
        <color theme="1"/>
        <rFont val="Calibri"/>
        <family val="2"/>
        <scheme val="minor"/>
      </rPr>
      <t xml:space="preserve">Selected only by clicking on watch icon </t>
    </r>
  </si>
  <si>
    <r>
      <t xml:space="preserve">1. Functionality is not working as expected.
2. </t>
    </r>
    <r>
      <rPr>
        <b/>
        <sz val="11"/>
        <color theme="1"/>
        <rFont val="Calibri"/>
        <family val="2"/>
        <scheme val="minor"/>
      </rPr>
      <t xml:space="preserve">Cut off Date </t>
    </r>
    <r>
      <rPr>
        <sz val="11"/>
        <color theme="1"/>
        <rFont val="Calibri"/>
        <family val="2"/>
        <scheme val="minor"/>
      </rPr>
      <t xml:space="preserve">textbox accepts invalid date formats, such as:
  -&gt; 4637826728346784623
 -&gt; 634637423
3. Date validation for </t>
    </r>
    <r>
      <rPr>
        <b/>
        <sz val="11"/>
        <color theme="1"/>
        <rFont val="Calibri"/>
        <family val="2"/>
        <scheme val="minor"/>
      </rPr>
      <t>DD-MM-YYYY</t>
    </r>
    <r>
      <rPr>
        <sz val="11"/>
        <color theme="1"/>
        <rFont val="Calibri"/>
        <family val="2"/>
        <scheme val="minor"/>
      </rPr>
      <t xml:space="preserve"> format is not enforced.
4. </t>
    </r>
    <r>
      <rPr>
        <b/>
        <sz val="11"/>
        <color theme="1"/>
        <rFont val="Calibri"/>
        <family val="2"/>
        <scheme val="minor"/>
      </rPr>
      <t>Cut off Date</t>
    </r>
    <r>
      <rPr>
        <sz val="11"/>
        <color theme="1"/>
        <rFont val="Calibri"/>
        <family val="2"/>
        <scheme val="minor"/>
      </rPr>
      <t xml:space="preserve"> textbox is accepting more than 10 character value.</t>
    </r>
  </si>
  <si>
    <r>
      <t xml:space="preserve">1. As per the Use case, </t>
    </r>
    <r>
      <rPr>
        <b/>
        <sz val="11"/>
        <color theme="1"/>
        <rFont val="Calibri"/>
        <family val="2"/>
        <scheme val="minor"/>
      </rPr>
      <t>Time</t>
    </r>
    <r>
      <rPr>
        <sz val="11"/>
        <color theme="1"/>
        <rFont val="Calibri"/>
        <family val="2"/>
        <scheme val="minor"/>
      </rPr>
      <t xml:space="preserve"> textbox should accept alphanumeric values.
2. </t>
    </r>
    <r>
      <rPr>
        <b/>
        <sz val="11"/>
        <color theme="1"/>
        <rFont val="Calibri"/>
        <family val="2"/>
        <scheme val="minor"/>
      </rPr>
      <t>Time</t>
    </r>
    <r>
      <rPr>
        <sz val="11"/>
        <color theme="1"/>
        <rFont val="Calibri"/>
        <family val="2"/>
        <scheme val="minor"/>
      </rPr>
      <t xml:space="preserve"> textbox should not accept special character value, only space value and combination of character value.
2. The textbox length should be limited to 100 characters.</t>
    </r>
  </si>
  <si>
    <t>1. Currently Time textbox is accepting all types of values,
2. Textbox limit is not added properly, it is accepting more than 100 character values.</t>
  </si>
  <si>
    <r>
      <t xml:space="preserve">1. As per Use Case, </t>
    </r>
    <r>
      <rPr>
        <b/>
        <sz val="11"/>
        <color theme="1"/>
        <rFont val="Calibri"/>
        <family val="2"/>
        <scheme val="minor"/>
      </rPr>
      <t>Transit</t>
    </r>
    <r>
      <rPr>
        <sz val="11"/>
        <color theme="1"/>
        <rFont val="Calibri"/>
        <family val="2"/>
        <scheme val="minor"/>
      </rPr>
      <t xml:space="preserve"> textbox should accept only </t>
    </r>
    <r>
      <rPr>
        <b/>
        <sz val="11"/>
        <color theme="1"/>
        <rFont val="Calibri"/>
        <family val="2"/>
        <scheme val="minor"/>
      </rPr>
      <t xml:space="preserve">Numeric </t>
    </r>
    <r>
      <rPr>
        <sz val="11"/>
        <color theme="1"/>
        <rFont val="Calibri"/>
        <family val="2"/>
        <scheme val="minor"/>
      </rPr>
      <t xml:space="preserve">values.
2. </t>
    </r>
    <r>
      <rPr>
        <b/>
        <sz val="11"/>
        <color theme="1"/>
        <rFont val="Calibri"/>
        <family val="2"/>
        <scheme val="minor"/>
      </rPr>
      <t xml:space="preserve"> Transit </t>
    </r>
    <r>
      <rPr>
        <sz val="11"/>
        <color theme="1"/>
        <rFont val="Calibri"/>
        <family val="2"/>
        <scheme val="minor"/>
      </rPr>
      <t xml:space="preserve">textbox should not accept:
 -&gt; Only space values
 -&gt; Alphabetic values
 -&gt; Special characters (except decimal .)
 -&gt; Alphanumeric values with special characters and spaces
3. Decimal point (.) should be allowed.
4. </t>
    </r>
    <r>
      <rPr>
        <b/>
        <sz val="11"/>
        <color theme="1"/>
        <rFont val="Calibri"/>
        <family val="2"/>
        <scheme val="minor"/>
      </rPr>
      <t>Transit</t>
    </r>
    <r>
      <rPr>
        <sz val="11"/>
        <color theme="1"/>
        <rFont val="Calibri"/>
        <family val="2"/>
        <scheme val="minor"/>
      </rPr>
      <t xml:space="preserve"> textbox character limit should be maximum 7 characters.
5. If a decimal point is entered without any value after it, the decimal should be automatically cleared.</t>
    </r>
  </si>
  <si>
    <r>
      <t xml:space="preserve">1. </t>
    </r>
    <r>
      <rPr>
        <b/>
        <sz val="11"/>
        <color theme="1"/>
        <rFont val="Calibri"/>
        <family val="2"/>
        <scheme val="minor"/>
      </rPr>
      <t>Functionality is not working as expected.</t>
    </r>
    <r>
      <rPr>
        <sz val="11"/>
        <color theme="1"/>
        <rFont val="Calibri"/>
        <family val="2"/>
        <scheme val="minor"/>
      </rPr>
      <t xml:space="preserve">
2. The textbox accepts numeric and decimal values correctly.
3. The textbox also accepts a hyphen (-) character. (Record is saving with hyphen)
4. Textbox length validation :
 -&gt; Without decimal -&gt; Maximum 7 characters
 -&gt; With decimal -&gt; Maximum 10 characters (After decimal max 2 character)
Note: If record is saving with - 11. -&gt; it should be 11.00 or 11
If record is saving with - .11 -&gt; it should be 0.11</t>
    </r>
  </si>
  <si>
    <t>BA-841</t>
  </si>
  <si>
    <r>
      <t xml:space="preserve">1. The ROE textbox accepts:
 -&gt; Alphabetic values
 -&gt; Numeric values
 -&gt; Special character values
2. The 20-character limit is not implemented properly.
Note:  As per business Rule, </t>
    </r>
    <r>
      <rPr>
        <b/>
        <sz val="11"/>
        <color theme="1"/>
        <rFont val="Calibri"/>
        <family val="2"/>
        <scheme val="minor"/>
      </rPr>
      <t>ROE</t>
    </r>
    <r>
      <rPr>
        <sz val="11"/>
        <color theme="1"/>
        <rFont val="Calibri"/>
        <family val="2"/>
        <scheme val="minor"/>
      </rPr>
      <t xml:space="preserve"> textbox should accept alphanumeric value and following special characters: Dot (.), Comma (,), Percentage (%), Ampersand (&amp;), Hyphen (-),  Underscore (_), Forward slash (/), Backward slash (\)</t>
    </r>
  </si>
  <si>
    <t>BA-842</t>
  </si>
  <si>
    <t xml:space="preserve">
05-03-2026</t>
  </si>
  <si>
    <r>
      <t xml:space="preserve">1. Clicking the </t>
    </r>
    <r>
      <rPr>
        <b/>
        <sz val="11"/>
        <color theme="1"/>
        <rFont val="Calibri"/>
        <family val="2"/>
        <scheme val="minor"/>
      </rPr>
      <t>Add</t>
    </r>
    <r>
      <rPr>
        <sz val="11"/>
        <color theme="1"/>
        <rFont val="Calibri"/>
        <family val="2"/>
        <scheme val="minor"/>
      </rPr>
      <t xml:space="preserve"> button successfully adds a new activity row.
2. </t>
    </r>
    <r>
      <rPr>
        <b/>
        <sz val="11"/>
        <color theme="1"/>
        <rFont val="Calibri"/>
        <family val="2"/>
        <scheme val="minor"/>
      </rPr>
      <t>Activity Name</t>
    </r>
    <r>
      <rPr>
        <sz val="11"/>
        <color theme="1"/>
        <rFont val="Calibri"/>
        <family val="2"/>
        <scheme val="minor"/>
      </rPr>
      <t xml:space="preserve"> textbox accepts all types of characters.
3 </t>
    </r>
    <r>
      <rPr>
        <b/>
        <sz val="11"/>
        <color theme="1"/>
        <rFont val="Calibri"/>
        <family val="2"/>
        <scheme val="minor"/>
      </rPr>
      <t>Day textbox accepts numeric values as well as hyphen (-).
 -&gt; When a record is saved with a hyphen value, no value is displayed after saving.</t>
    </r>
    <r>
      <rPr>
        <sz val="11"/>
        <color theme="1"/>
        <rFont val="Calibri"/>
        <family val="2"/>
        <scheme val="minor"/>
      </rPr>
      <t xml:space="preserve">
4. Time is accepted correctly when selected using the watch icon.
5. Clicking the Save button saves the record successfully. (User can blank activity)
6. Entered By, Entered Date, Modified Date, and Modified By fields are auto-populated; however:
 -&gt; When a new record is saved by another user on a different date, the </t>
    </r>
    <r>
      <rPr>
        <b/>
        <sz val="11"/>
        <color theme="1"/>
        <rFont val="Calibri"/>
        <family val="2"/>
        <scheme val="minor"/>
      </rPr>
      <t xml:space="preserve">Entered By, Modified Date and Modified By </t>
    </r>
    <r>
      <rPr>
        <sz val="11"/>
        <color theme="1"/>
        <rFont val="Calibri"/>
        <family val="2"/>
        <scheme val="minor"/>
      </rPr>
      <t>fields of previously saved records are incorrectly updated with the current user and current date.</t>
    </r>
  </si>
  <si>
    <r>
      <t xml:space="preserve">1. Clicking the </t>
    </r>
    <r>
      <rPr>
        <b/>
        <sz val="11"/>
        <color theme="1"/>
        <rFont val="Calibri"/>
        <family val="2"/>
        <scheme val="minor"/>
      </rPr>
      <t>Add</t>
    </r>
    <r>
      <rPr>
        <sz val="11"/>
        <color theme="1"/>
        <rFont val="Calibri"/>
        <family val="2"/>
        <scheme val="minor"/>
      </rPr>
      <t xml:space="preserve"> button successfully adds a new activity row.
2. </t>
    </r>
    <r>
      <rPr>
        <b/>
        <sz val="11"/>
        <color theme="1"/>
        <rFont val="Calibri"/>
        <family val="2"/>
        <scheme val="minor"/>
      </rPr>
      <t>Activity Name</t>
    </r>
    <r>
      <rPr>
        <sz val="11"/>
        <color theme="1"/>
        <rFont val="Calibri"/>
        <family val="2"/>
        <scheme val="minor"/>
      </rPr>
      <t xml:space="preserve"> textbox accepts all types of characters.
3. </t>
    </r>
    <r>
      <rPr>
        <b/>
        <sz val="11"/>
        <color theme="1"/>
        <rFont val="Calibri"/>
        <family val="2"/>
        <scheme val="minor"/>
      </rPr>
      <t>Day textbox accepts numeric values as well as hyphen (-).
 -&gt; When a record is saved with a hyphen value, no value is displayed after saving.</t>
    </r>
    <r>
      <rPr>
        <sz val="11"/>
        <color theme="1"/>
        <rFont val="Calibri"/>
        <family val="2"/>
        <scheme val="minor"/>
      </rPr>
      <t xml:space="preserve">
4. Time is accepted correctly when selected using the watch icon.
5. Clicking the Save button saves the record successfully. (User can blank activity)
6. Entered By, Entered Date, Modified Date, and Modified By fields are auto-populated; however:
</t>
    </r>
    <r>
      <rPr>
        <b/>
        <sz val="11"/>
        <color theme="1"/>
        <rFont val="Calibri"/>
        <family val="2"/>
        <scheme val="minor"/>
      </rPr>
      <t xml:space="preserve"> -&gt; When a new record is saved by another user on a different date, the Entered By, Modified Date and Modified By fields of previously saved records are incorrectly updated with the current user and current date.</t>
    </r>
  </si>
  <si>
    <t xml:space="preserve">
09-03-2026</t>
  </si>
  <si>
    <t>1. The record is not saved when only non-mandatory fields are filled.
2. Mandatory field validation messages are displayed for all mandatory fields but validation message and message sequence is not in correct format as per the Page textbox sequence.
Mandatory Field Sequence in the Page:
Branch Code -&gt; Name -&gt; Status Type -&gt; Display Status
Current Validation Message Sequence :
Branch Code -&gt; Name -&gt; Display Status -&gt; Status Type
Validation Message Should be
Name - Please Select Name! - Please Enter  Name!
Status Type - Please Select Staus! - Please Select Staus Type!
Display Status - Please Select Type! - Please Select Display Status!</t>
  </si>
  <si>
    <r>
      <t>1. Record is saved successfully even when mandatory field</t>
    </r>
    <r>
      <rPr>
        <b/>
        <sz val="11"/>
        <color theme="1"/>
        <rFont val="Calibri"/>
        <family val="2"/>
        <scheme val="minor"/>
      </rPr>
      <t xml:space="preserve"> Country is left blank</t>
    </r>
    <r>
      <rPr>
        <sz val="11"/>
        <color theme="1"/>
        <rFont val="Calibri"/>
        <family val="2"/>
        <scheme val="minor"/>
      </rPr>
      <t>.
2. No validation message is displayed for the Country field.
3. User is able to save the record by filling only the Vessel Name field.
4. Mandatory validation is not enforced as per UI indication.
New Requirement :
Country Name is optional</t>
    </r>
  </si>
  <si>
    <r>
      <t xml:space="preserve">1. The </t>
    </r>
    <r>
      <rPr>
        <b/>
        <sz val="11"/>
        <color theme="1"/>
        <rFont val="Calibri"/>
        <family val="2"/>
        <scheme val="minor"/>
      </rPr>
      <t>IMO No</t>
    </r>
    <r>
      <rPr>
        <sz val="11"/>
        <color theme="1"/>
        <rFont val="Calibri"/>
        <family val="2"/>
        <scheme val="minor"/>
      </rPr>
      <t xml:space="preserve"> textbox accepts:
 -&gt; Alphabetic values
 -&gt; Numeric values
 -&gt; Special character values
2. The 100-character limit is implemented correctly.
Note: As per business Rule, </t>
    </r>
    <r>
      <rPr>
        <b/>
        <sz val="11"/>
        <color theme="1"/>
        <rFont val="Calibri"/>
        <family val="2"/>
        <scheme val="minor"/>
      </rPr>
      <t>IMO No</t>
    </r>
    <r>
      <rPr>
        <sz val="11"/>
        <color theme="1"/>
        <rFont val="Calibri"/>
        <family val="2"/>
        <scheme val="minor"/>
      </rPr>
      <t xml:space="preserve"> textbox should accept alphanumeric value and following special characters: Dot (.), Comma (,), Percentage (%), Ampersand (&amp;), Hyphen (-),  Underscore (_), Forward slash (/), Backward slash (\)
</t>
    </r>
    <r>
      <rPr>
        <b/>
        <sz val="11"/>
        <color theme="1"/>
        <rFont val="Calibri"/>
        <family val="2"/>
        <scheme val="minor"/>
      </rPr>
      <t>Update (09-03-26) : Length will be 20 character</t>
    </r>
  </si>
</sst>
</file>

<file path=xl/styles.xml><?xml version="1.0" encoding="utf-8"?>
<styleSheet xmlns="http://schemas.openxmlformats.org/spreadsheetml/2006/main">
  <fonts count="24">
    <font>
      <sz val="11"/>
      <color theme="1"/>
      <name val="Calibri"/>
      <family val="2"/>
      <scheme val="minor"/>
    </font>
    <font>
      <sz val="11"/>
      <color rgb="FF3F3F76"/>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sz val="11"/>
      <name val="Calibri"/>
      <family val="2"/>
      <scheme val="minor"/>
    </font>
    <font>
      <sz val="10"/>
      <color rgb="FF444746"/>
      <name val="Segoe UI"/>
      <family val="2"/>
    </font>
    <font>
      <b/>
      <sz val="10"/>
      <color rgb="FF444746"/>
      <name val="Segoe UI"/>
      <family val="2"/>
    </font>
    <font>
      <i/>
      <sz val="11"/>
      <color theme="1"/>
      <name val="Calibri"/>
      <family val="2"/>
      <scheme val="minor"/>
    </font>
    <font>
      <u/>
      <sz val="11"/>
      <color theme="10"/>
      <name val="Calibri"/>
      <family val="2"/>
    </font>
    <font>
      <sz val="11"/>
      <color rgb="FF006100"/>
      <name val="Calibri"/>
      <family val="2"/>
      <scheme val="minor"/>
    </font>
    <font>
      <sz val="11"/>
      <color rgb="FF9C0006"/>
      <name val="Calibri"/>
      <family val="2"/>
      <scheme val="minor"/>
    </font>
    <font>
      <b/>
      <sz val="12"/>
      <color theme="1"/>
      <name val="Calibri"/>
      <family val="2"/>
      <scheme val="minor"/>
    </font>
    <font>
      <b/>
      <sz val="14"/>
      <color rgb="FF3F3F76"/>
      <name val="Calibri"/>
      <family val="2"/>
      <scheme val="minor"/>
    </font>
    <font>
      <sz val="12"/>
      <color theme="1"/>
      <name val="Calibri"/>
      <family val="2"/>
      <scheme val="minor"/>
    </font>
    <font>
      <b/>
      <sz val="11"/>
      <color rgb="FF3F3F76"/>
      <name val="Calibri"/>
      <family val="2"/>
      <scheme val="minor"/>
    </font>
    <font>
      <sz val="11"/>
      <color rgb="FF9C6500"/>
      <name val="Calibri"/>
      <family val="2"/>
      <scheme val="minor"/>
    </font>
    <font>
      <b/>
      <sz val="11"/>
      <color rgb="FF9C6500"/>
      <name val="Calibri"/>
      <family val="2"/>
      <scheme val="minor"/>
    </font>
    <font>
      <b/>
      <sz val="11"/>
      <color rgb="FF9C0006"/>
      <name val="Calibri"/>
      <family val="2"/>
      <scheme val="minor"/>
    </font>
    <font>
      <u/>
      <sz val="11"/>
      <name val="Calibri"/>
      <family val="2"/>
    </font>
    <font>
      <b/>
      <sz val="11"/>
      <name val="Calibri"/>
      <family val="2"/>
      <scheme val="minor"/>
    </font>
    <font>
      <b/>
      <sz val="11"/>
      <color rgb="FF006100"/>
      <name val="Calibri"/>
      <family val="2"/>
      <scheme val="minor"/>
    </font>
    <font>
      <u/>
      <sz val="11"/>
      <color theme="1"/>
      <name val="Calibri"/>
      <family val="2"/>
    </font>
    <font>
      <sz val="10"/>
      <color theme="1"/>
      <name val="Segoe UI"/>
      <family val="2"/>
    </font>
  </fonts>
  <fills count="15">
    <fill>
      <patternFill patternType="none"/>
    </fill>
    <fill>
      <patternFill patternType="gray125"/>
    </fill>
    <fill>
      <patternFill patternType="solid">
        <fgColor rgb="FFFFCC99"/>
      </patternFill>
    </fill>
    <fill>
      <patternFill patternType="solid">
        <fgColor theme="5" tint="0.39997558519241921"/>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2" tint="-9.9978637043366805E-2"/>
        <bgColor indexed="64"/>
      </patternFill>
    </fill>
    <fill>
      <patternFill patternType="solid">
        <fgColor theme="2"/>
        <bgColor indexed="64"/>
      </patternFill>
    </fill>
    <fill>
      <patternFill patternType="solid">
        <fgColor rgb="FF92D050"/>
        <bgColor indexed="64"/>
      </patternFill>
    </fill>
    <fill>
      <patternFill patternType="solid">
        <fgColor theme="3" tint="0.59999389629810485"/>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6">
    <xf numFmtId="0" fontId="0" fillId="0" borderId="0"/>
    <xf numFmtId="0" fontId="1" fillId="2" borderId="1" applyNumberFormat="0" applyAlignment="0" applyProtection="0"/>
    <xf numFmtId="0" fontId="9" fillId="0" borderId="0" applyNumberFormat="0" applyFill="0" applyBorder="0" applyAlignment="0" applyProtection="0">
      <alignment vertical="top"/>
      <protection locked="0"/>
    </xf>
    <xf numFmtId="0" fontId="10" fillId="8" borderId="0" applyNumberFormat="0" applyBorder="0" applyAlignment="0" applyProtection="0"/>
    <xf numFmtId="0" fontId="11" fillId="9" borderId="0" applyNumberFormat="0" applyBorder="0" applyAlignment="0" applyProtection="0"/>
    <xf numFmtId="0" fontId="16" fillId="10" borderId="0" applyNumberFormat="0" applyBorder="0" applyAlignment="0" applyProtection="0"/>
  </cellStyleXfs>
  <cellXfs count="151">
    <xf numFmtId="0" fontId="0" fillId="0" borderId="0" xfId="0"/>
    <xf numFmtId="0" fontId="0" fillId="0" borderId="2" xfId="0" applyBorder="1" applyAlignment="1">
      <alignment horizontal="left" vertical="top" wrapText="1"/>
    </xf>
    <xf numFmtId="0" fontId="6" fillId="0" borderId="2" xfId="0" applyFont="1" applyBorder="1" applyAlignment="1">
      <alignment horizontal="left" vertical="top" wrapText="1"/>
    </xf>
    <xf numFmtId="0" fontId="0" fillId="4" borderId="2" xfId="0" applyFill="1" applyBorder="1" applyAlignment="1">
      <alignment horizontal="left" vertical="top" wrapText="1"/>
    </xf>
    <xf numFmtId="0" fontId="3" fillId="3" borderId="2" xfId="0" applyFont="1" applyFill="1" applyBorder="1"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xf numFmtId="0" fontId="6" fillId="0" borderId="2" xfId="0" applyFont="1" applyBorder="1" applyAlignment="1">
      <alignment vertical="top" wrapText="1"/>
    </xf>
    <xf numFmtId="14" fontId="0" fillId="0" borderId="2" xfId="0" applyNumberFormat="1" applyBorder="1" applyAlignment="1">
      <alignment vertical="top" wrapText="1"/>
    </xf>
    <xf numFmtId="0" fontId="0" fillId="0" borderId="2" xfId="0" applyFill="1" applyBorder="1" applyAlignment="1">
      <alignment vertical="top" wrapText="1"/>
    </xf>
    <xf numFmtId="0" fontId="0" fillId="0" borderId="2" xfId="0" applyFont="1" applyBorder="1" applyAlignment="1">
      <alignment vertical="top" wrapText="1"/>
    </xf>
    <xf numFmtId="0" fontId="2" fillId="0" borderId="2" xfId="0" applyFont="1" applyBorder="1" applyAlignment="1">
      <alignment vertical="top" wrapText="1"/>
    </xf>
    <xf numFmtId="14" fontId="0" fillId="0" borderId="2" xfId="0" applyNumberFormat="1" applyBorder="1" applyAlignment="1">
      <alignment horizontal="left" vertical="top" wrapText="1"/>
    </xf>
    <xf numFmtId="0" fontId="3" fillId="3" borderId="2" xfId="0" applyFont="1" applyFill="1" applyBorder="1" applyAlignment="1">
      <alignment horizontal="left" vertical="top" wrapText="1"/>
    </xf>
    <xf numFmtId="0" fontId="0" fillId="0" borderId="2" xfId="0" applyFill="1" applyBorder="1" applyAlignment="1">
      <alignment horizontal="left" vertical="top" wrapText="1"/>
    </xf>
    <xf numFmtId="0" fontId="9" fillId="0" borderId="2" xfId="2" applyBorder="1" applyAlignment="1" applyProtection="1">
      <alignment vertical="top" wrapText="1"/>
    </xf>
    <xf numFmtId="0" fontId="0" fillId="7" borderId="2" xfId="0" applyFill="1" applyBorder="1" applyAlignment="1">
      <alignment vertical="top" wrapText="1"/>
    </xf>
    <xf numFmtId="0" fontId="6" fillId="7" borderId="2" xfId="0" applyFont="1" applyFill="1" applyBorder="1" applyAlignment="1">
      <alignment vertical="top" wrapText="1"/>
    </xf>
    <xf numFmtId="14" fontId="0" fillId="7" borderId="2" xfId="0" applyNumberFormat="1" applyFill="1" applyBorder="1" applyAlignment="1">
      <alignment vertical="top" wrapText="1"/>
    </xf>
    <xf numFmtId="0" fontId="0" fillId="5" borderId="2" xfId="0" applyFill="1" applyBorder="1" applyAlignment="1">
      <alignment horizontal="left" vertical="top" wrapText="1"/>
    </xf>
    <xf numFmtId="0" fontId="0" fillId="6" borderId="2" xfId="0" applyFill="1" applyBorder="1" applyAlignment="1">
      <alignment horizontal="left" vertical="top" wrapText="1"/>
    </xf>
    <xf numFmtId="0" fontId="0" fillId="0" borderId="2" xfId="0" applyFont="1" applyBorder="1" applyAlignment="1">
      <alignment horizontal="left" vertical="top" wrapText="1"/>
    </xf>
    <xf numFmtId="0" fontId="2" fillId="0" borderId="2" xfId="0" applyFont="1" applyBorder="1" applyAlignment="1">
      <alignment horizontal="left" vertical="top" wrapText="1"/>
    </xf>
    <xf numFmtId="0" fontId="9" fillId="0" borderId="2" xfId="2" applyBorder="1" applyAlignment="1" applyProtection="1">
      <alignment horizontal="left" vertical="top" wrapText="1"/>
    </xf>
    <xf numFmtId="0" fontId="0" fillId="7" borderId="2" xfId="0" applyFill="1" applyBorder="1" applyAlignment="1">
      <alignment horizontal="left" vertical="top" wrapText="1"/>
    </xf>
    <xf numFmtId="0" fontId="0" fillId="7" borderId="2" xfId="0" applyFont="1" applyFill="1" applyBorder="1" applyAlignment="1">
      <alignment horizontal="left" vertical="top" wrapText="1"/>
    </xf>
    <xf numFmtId="0" fontId="6" fillId="7" borderId="2" xfId="0" applyFont="1" applyFill="1" applyBorder="1" applyAlignment="1">
      <alignment horizontal="left" vertical="top" wrapText="1"/>
    </xf>
    <xf numFmtId="14" fontId="0" fillId="7" borderId="2" xfId="0" applyNumberFormat="1" applyFill="1" applyBorder="1" applyAlignment="1">
      <alignment horizontal="left" vertical="top" wrapText="1"/>
    </xf>
    <xf numFmtId="0" fontId="5" fillId="4"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10" fillId="8" borderId="2" xfId="3" applyBorder="1" applyAlignment="1">
      <alignment horizontal="left" vertical="top" wrapText="1"/>
    </xf>
    <xf numFmtId="0" fontId="11" fillId="9" borderId="2" xfId="4" applyBorder="1" applyAlignment="1">
      <alignment horizontal="left" vertical="top" wrapText="1"/>
    </xf>
    <xf numFmtId="0" fontId="0" fillId="6" borderId="2" xfId="0" applyFill="1" applyBorder="1" applyAlignment="1">
      <alignment vertical="top" wrapText="1"/>
    </xf>
    <xf numFmtId="0" fontId="0" fillId="5" borderId="2" xfId="0" applyFill="1" applyBorder="1" applyAlignment="1">
      <alignment vertical="top" wrapText="1"/>
    </xf>
    <xf numFmtId="0" fontId="3" fillId="3" borderId="2" xfId="0" applyFont="1" applyFill="1" applyBorder="1" applyAlignment="1">
      <alignment vertical="top"/>
    </xf>
    <xf numFmtId="0" fontId="0" fillId="0" borderId="0" xfId="0" applyAlignment="1"/>
    <xf numFmtId="14" fontId="9" fillId="0" borderId="2" xfId="2" applyNumberFormat="1" applyBorder="1" applyAlignment="1" applyProtection="1">
      <alignment horizontal="left" vertical="top" wrapText="1"/>
    </xf>
    <xf numFmtId="0" fontId="12" fillId="3" borderId="2" xfId="0" applyFont="1" applyFill="1" applyBorder="1" applyAlignment="1">
      <alignment vertical="top" wrapText="1"/>
    </xf>
    <xf numFmtId="0" fontId="12" fillId="3" borderId="2" xfId="0" applyFont="1" applyFill="1" applyBorder="1" applyAlignment="1">
      <alignment horizontal="left" vertical="top" wrapText="1"/>
    </xf>
    <xf numFmtId="0" fontId="11" fillId="9" borderId="2" xfId="4" applyBorder="1" applyAlignment="1">
      <alignment vertical="top" wrapText="1"/>
    </xf>
    <xf numFmtId="0" fontId="0" fillId="0" borderId="2" xfId="0" applyBorder="1" applyAlignment="1">
      <alignment horizontal="left" vertical="top"/>
    </xf>
    <xf numFmtId="0" fontId="0" fillId="6" borderId="2" xfId="0" applyFill="1" applyBorder="1" applyAlignment="1">
      <alignment horizontal="left" vertical="top"/>
    </xf>
    <xf numFmtId="0" fontId="9" fillId="0" borderId="2" xfId="2" applyBorder="1" applyAlignment="1" applyProtection="1">
      <alignment horizontal="left" vertical="top"/>
    </xf>
    <xf numFmtId="14" fontId="9" fillId="0" borderId="2" xfId="2" applyNumberFormat="1" applyBorder="1" applyAlignment="1" applyProtection="1">
      <alignment horizontal="left" vertical="top"/>
    </xf>
    <xf numFmtId="0" fontId="0" fillId="0" borderId="2" xfId="0" applyBorder="1" applyAlignment="1">
      <alignment wrapText="1"/>
    </xf>
    <xf numFmtId="0" fontId="0" fillId="0" borderId="2" xfId="0" applyBorder="1"/>
    <xf numFmtId="0" fontId="2" fillId="0" borderId="2" xfId="0" applyFont="1" applyFill="1" applyBorder="1" applyAlignment="1">
      <alignment vertical="top" wrapText="1"/>
    </xf>
    <xf numFmtId="0" fontId="0" fillId="4" borderId="2" xfId="0" applyFont="1" applyFill="1" applyBorder="1" applyAlignment="1">
      <alignment horizontal="left" vertical="top" wrapText="1"/>
    </xf>
    <xf numFmtId="14" fontId="0" fillId="0" borderId="2" xfId="0" applyNumberFormat="1" applyFont="1" applyBorder="1" applyAlignment="1">
      <alignment horizontal="left" vertical="top" wrapText="1"/>
    </xf>
    <xf numFmtId="0" fontId="0" fillId="11" borderId="2" xfId="0" applyFill="1" applyBorder="1" applyAlignment="1">
      <alignment horizontal="left" vertical="top" wrapText="1"/>
    </xf>
    <xf numFmtId="0" fontId="0" fillId="11" borderId="2" xfId="0" applyFont="1" applyFill="1" applyBorder="1" applyAlignment="1">
      <alignment horizontal="left" vertical="top" wrapText="1"/>
    </xf>
    <xf numFmtId="0" fontId="6" fillId="11" borderId="2" xfId="0" applyFont="1" applyFill="1" applyBorder="1" applyAlignment="1">
      <alignment horizontal="left" vertical="top" wrapText="1"/>
    </xf>
    <xf numFmtId="14" fontId="0" fillId="11" borderId="2" xfId="0" applyNumberFormat="1" applyFill="1" applyBorder="1" applyAlignment="1">
      <alignment horizontal="left" vertical="top" wrapText="1"/>
    </xf>
    <xf numFmtId="0" fontId="1" fillId="2" borderId="2" xfId="1" applyBorder="1" applyAlignment="1">
      <alignment horizontal="left" vertical="top" wrapText="1"/>
    </xf>
    <xf numFmtId="0" fontId="2"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16" fillId="10" borderId="2" xfId="5" applyBorder="1" applyAlignment="1">
      <alignment horizontal="left" vertical="top" wrapText="1"/>
    </xf>
    <xf numFmtId="0" fontId="2" fillId="0" borderId="2" xfId="0" applyFont="1" applyFill="1" applyBorder="1" applyAlignment="1">
      <alignment horizontal="left" vertical="top" wrapText="1"/>
    </xf>
    <xf numFmtId="0" fontId="0" fillId="7" borderId="2" xfId="0" applyFill="1" applyBorder="1"/>
    <xf numFmtId="0" fontId="0" fillId="12" borderId="2" xfId="0" applyFill="1" applyBorder="1" applyAlignment="1">
      <alignment horizontal="left" vertical="top" wrapText="1"/>
    </xf>
    <xf numFmtId="0" fontId="0" fillId="12" borderId="2" xfId="0" applyFill="1" applyBorder="1" applyAlignment="1">
      <alignment vertical="top" wrapText="1"/>
    </xf>
    <xf numFmtId="0" fontId="6" fillId="12" borderId="2" xfId="0" applyFont="1" applyFill="1" applyBorder="1" applyAlignment="1">
      <alignment horizontal="left" vertical="top" wrapText="1"/>
    </xf>
    <xf numFmtId="14" fontId="0" fillId="12" borderId="2" xfId="0" applyNumberFormat="1" applyFill="1" applyBorder="1" applyAlignment="1">
      <alignment horizontal="left" vertical="top" wrapText="1"/>
    </xf>
    <xf numFmtId="0" fontId="9" fillId="12" borderId="2" xfId="2" applyFill="1" applyBorder="1" applyAlignment="1" applyProtection="1">
      <alignment horizontal="left" vertical="top" wrapText="1"/>
    </xf>
    <xf numFmtId="14" fontId="9" fillId="12" borderId="2" xfId="2" applyNumberFormat="1" applyFill="1" applyBorder="1" applyAlignment="1" applyProtection="1">
      <alignment horizontal="left" vertical="top" wrapText="1"/>
    </xf>
    <xf numFmtId="0" fontId="9" fillId="7" borderId="2" xfId="2" applyFill="1" applyBorder="1" applyAlignment="1" applyProtection="1">
      <alignment horizontal="left" vertical="top" wrapText="1"/>
    </xf>
    <xf numFmtId="14" fontId="9" fillId="7" borderId="2" xfId="2" applyNumberFormat="1" applyFill="1" applyBorder="1" applyAlignment="1" applyProtection="1">
      <alignment horizontal="left" vertical="top" wrapText="1"/>
    </xf>
    <xf numFmtId="0" fontId="9" fillId="7" borderId="2" xfId="2" applyFill="1" applyBorder="1" applyAlignment="1" applyProtection="1">
      <alignment vertical="top" wrapText="1"/>
    </xf>
    <xf numFmtId="0" fontId="0" fillId="13" borderId="2" xfId="0" applyFill="1" applyBorder="1" applyAlignment="1">
      <alignment horizontal="left" vertical="top" wrapText="1"/>
    </xf>
    <xf numFmtId="0" fontId="9" fillId="13" borderId="2" xfId="2" applyFill="1" applyBorder="1" applyAlignment="1" applyProtection="1">
      <alignment horizontal="left" vertical="top" wrapText="1"/>
    </xf>
    <xf numFmtId="14" fontId="9" fillId="13" borderId="2" xfId="2" applyNumberFormat="1" applyFill="1" applyBorder="1" applyAlignment="1" applyProtection="1">
      <alignment horizontal="left" vertical="top" wrapText="1"/>
    </xf>
    <xf numFmtId="0" fontId="6" fillId="13" borderId="2" xfId="0" applyFont="1" applyFill="1" applyBorder="1" applyAlignment="1">
      <alignment horizontal="left" vertical="top" wrapText="1"/>
    </xf>
    <xf numFmtId="14" fontId="0" fillId="13" borderId="2" xfId="0" applyNumberFormat="1" applyFill="1" applyBorder="1" applyAlignment="1">
      <alignment horizontal="left" vertical="top" wrapText="1"/>
    </xf>
    <xf numFmtId="0" fontId="3" fillId="7" borderId="2" xfId="0" applyFont="1" applyFill="1" applyBorder="1" applyAlignment="1">
      <alignment vertical="top"/>
    </xf>
    <xf numFmtId="0" fontId="3" fillId="14" borderId="2" xfId="0" applyFont="1" applyFill="1" applyBorder="1" applyAlignment="1">
      <alignment vertical="top"/>
    </xf>
    <xf numFmtId="0" fontId="13" fillId="14" borderId="2" xfId="1" applyFont="1" applyFill="1" applyBorder="1" applyAlignment="1">
      <alignment vertical="top"/>
    </xf>
    <xf numFmtId="0" fontId="12" fillId="0" borderId="2" xfId="0" applyFont="1" applyBorder="1" applyAlignment="1">
      <alignment horizontal="left" vertical="top" wrapText="1"/>
    </xf>
    <xf numFmtId="0" fontId="14" fillId="0" borderId="2" xfId="0" applyFont="1" applyBorder="1" applyAlignment="1">
      <alignment horizontal="left" vertical="top" wrapText="1"/>
    </xf>
    <xf numFmtId="14" fontId="12" fillId="0" borderId="2" xfId="0" applyNumberFormat="1" applyFont="1" applyBorder="1" applyAlignment="1">
      <alignment horizontal="left" vertical="top" wrapText="1"/>
    </xf>
    <xf numFmtId="0" fontId="0" fillId="13" borderId="2" xfId="0" applyFill="1" applyBorder="1" applyAlignment="1">
      <alignment horizontal="left" vertical="top"/>
    </xf>
    <xf numFmtId="0" fontId="12" fillId="13" borderId="2" xfId="0" applyFont="1" applyFill="1" applyBorder="1" applyAlignment="1">
      <alignment horizontal="left" vertical="top" wrapText="1"/>
    </xf>
    <xf numFmtId="0" fontId="14" fillId="13" borderId="2" xfId="0" applyFont="1" applyFill="1" applyBorder="1" applyAlignment="1">
      <alignment horizontal="left" vertical="top" wrapText="1"/>
    </xf>
    <xf numFmtId="14" fontId="12" fillId="13" borderId="2" xfId="0" applyNumberFormat="1" applyFont="1" applyFill="1" applyBorder="1" applyAlignment="1">
      <alignment horizontal="left" vertical="top" wrapText="1"/>
    </xf>
    <xf numFmtId="0" fontId="0" fillId="13" borderId="2" xfId="0" applyFill="1" applyBorder="1" applyAlignment="1">
      <alignment wrapText="1"/>
    </xf>
    <xf numFmtId="0" fontId="0" fillId="13" borderId="2" xfId="0" applyFill="1" applyBorder="1"/>
    <xf numFmtId="0" fontId="12" fillId="7" borderId="2" xfId="0" applyFont="1" applyFill="1" applyBorder="1" applyAlignment="1">
      <alignment horizontal="left" vertical="top" wrapText="1"/>
    </xf>
    <xf numFmtId="14" fontId="12" fillId="7" borderId="2" xfId="0" applyNumberFormat="1" applyFont="1" applyFill="1" applyBorder="1" applyAlignment="1">
      <alignment horizontal="left" vertical="top" wrapText="1"/>
    </xf>
    <xf numFmtId="0" fontId="12" fillId="0" borderId="2" xfId="0" applyFont="1" applyFill="1" applyBorder="1" applyAlignment="1">
      <alignment horizontal="left" vertical="top" wrapText="1"/>
    </xf>
    <xf numFmtId="0" fontId="0" fillId="7" borderId="2" xfId="0" applyFill="1" applyBorder="1" applyAlignment="1">
      <alignment horizontal="left" vertical="top"/>
    </xf>
    <xf numFmtId="0" fontId="0" fillId="0" borderId="2" xfId="0" applyBorder="1" applyAlignment="1">
      <alignment vertical="top"/>
    </xf>
    <xf numFmtId="0" fontId="16" fillId="10" borderId="2" xfId="5" applyBorder="1" applyAlignment="1">
      <alignment vertical="top" wrapText="1"/>
    </xf>
    <xf numFmtId="0" fontId="9" fillId="0" borderId="2" xfId="2" applyBorder="1" applyAlignment="1" applyProtection="1">
      <alignment vertical="top"/>
    </xf>
    <xf numFmtId="0" fontId="0" fillId="0" borderId="0" xfId="0" applyAlignment="1">
      <alignment wrapText="1"/>
    </xf>
    <xf numFmtId="0" fontId="5" fillId="13" borderId="2" xfId="0" applyFont="1" applyFill="1" applyBorder="1" applyAlignment="1">
      <alignment horizontal="left" vertical="top" wrapText="1"/>
    </xf>
    <xf numFmtId="0" fontId="19" fillId="13" borderId="2" xfId="2" applyFont="1" applyFill="1" applyBorder="1" applyAlignment="1" applyProtection="1">
      <alignment horizontal="left" vertical="top" wrapText="1"/>
    </xf>
    <xf numFmtId="0" fontId="0" fillId="13" borderId="2" xfId="0" applyFill="1" applyBorder="1" applyAlignment="1">
      <alignment vertical="top" wrapText="1"/>
    </xf>
    <xf numFmtId="0" fontId="0" fillId="13" borderId="0" xfId="0" applyFill="1" applyAlignment="1">
      <alignment wrapText="1"/>
    </xf>
    <xf numFmtId="0" fontId="0" fillId="13" borderId="2" xfId="0" applyFont="1" applyFill="1" applyBorder="1" applyAlignment="1">
      <alignment horizontal="left" vertical="top" wrapText="1"/>
    </xf>
    <xf numFmtId="0" fontId="6" fillId="13" borderId="2" xfId="0" applyFont="1" applyFill="1" applyBorder="1" applyAlignment="1">
      <alignment vertical="top" wrapText="1"/>
    </xf>
    <xf numFmtId="14" fontId="0" fillId="13" borderId="2" xfId="0" applyNumberFormat="1" applyFill="1" applyBorder="1" applyAlignment="1">
      <alignment vertical="top" wrapText="1"/>
    </xf>
    <xf numFmtId="0" fontId="9" fillId="13" borderId="2" xfId="2" applyFill="1" applyBorder="1" applyAlignment="1" applyProtection="1">
      <alignment vertical="top" wrapText="1"/>
    </xf>
    <xf numFmtId="0" fontId="9" fillId="13" borderId="2" xfId="2" applyFill="1" applyBorder="1" applyAlignment="1" applyProtection="1">
      <alignment horizontal="left" vertical="top"/>
    </xf>
    <xf numFmtId="14" fontId="9" fillId="13" borderId="2" xfId="2" applyNumberFormat="1" applyFill="1" applyBorder="1" applyAlignment="1" applyProtection="1">
      <alignment horizontal="left" vertical="top"/>
    </xf>
    <xf numFmtId="0" fontId="0" fillId="13" borderId="2" xfId="0" applyFont="1" applyFill="1" applyBorder="1" applyAlignment="1">
      <alignment vertical="top" wrapText="1"/>
    </xf>
    <xf numFmtId="0" fontId="2" fillId="13" borderId="2" xfId="0" applyFont="1" applyFill="1" applyBorder="1" applyAlignment="1">
      <alignment horizontal="left" vertical="top" wrapText="1"/>
    </xf>
    <xf numFmtId="0" fontId="9" fillId="13" borderId="2" xfId="2" applyFill="1" applyBorder="1" applyAlignment="1" applyProtection="1">
      <alignment vertical="top"/>
    </xf>
    <xf numFmtId="0" fontId="5" fillId="4" borderId="2" xfId="0" applyFont="1" applyFill="1" applyBorder="1" applyAlignment="1">
      <alignment vertical="top" wrapText="1"/>
    </xf>
    <xf numFmtId="0" fontId="5" fillId="13" borderId="2" xfId="0" applyFont="1" applyFill="1" applyBorder="1" applyAlignment="1">
      <alignment vertical="top" wrapText="1"/>
    </xf>
    <xf numFmtId="0" fontId="19" fillId="13" borderId="2" xfId="2" applyFont="1" applyFill="1" applyBorder="1" applyAlignment="1" applyProtection="1">
      <alignment vertical="top" wrapText="1"/>
    </xf>
    <xf numFmtId="14" fontId="19" fillId="13" borderId="2" xfId="2" applyNumberFormat="1" applyFont="1" applyFill="1" applyBorder="1" applyAlignment="1" applyProtection="1">
      <alignment vertical="top" wrapText="1"/>
    </xf>
    <xf numFmtId="0" fontId="20" fillId="13" borderId="2" xfId="0" applyFont="1" applyFill="1" applyBorder="1" applyAlignment="1">
      <alignment vertical="top" wrapText="1"/>
    </xf>
    <xf numFmtId="0" fontId="0" fillId="5" borderId="2" xfId="0" applyFont="1" applyFill="1" applyBorder="1" applyAlignment="1">
      <alignment horizontal="left" vertical="top" wrapText="1"/>
    </xf>
    <xf numFmtId="0" fontId="0" fillId="0" borderId="2" xfId="0" applyFont="1" applyFill="1" applyBorder="1" applyAlignment="1">
      <alignment horizontal="left" vertical="top" wrapText="1"/>
    </xf>
    <xf numFmtId="0" fontId="0" fillId="5" borderId="2" xfId="0" applyFill="1" applyBorder="1" applyAlignment="1">
      <alignment vertical="top"/>
    </xf>
    <xf numFmtId="0" fontId="0" fillId="0" borderId="2" xfId="0" applyFont="1" applyBorder="1" applyAlignment="1">
      <alignment horizontal="left" vertical="top"/>
    </xf>
    <xf numFmtId="0" fontId="10" fillId="8" borderId="2" xfId="3" applyBorder="1" applyAlignment="1">
      <alignment vertical="top" wrapText="1"/>
    </xf>
    <xf numFmtId="14" fontId="9" fillId="13" borderId="2" xfId="2" applyNumberFormat="1" applyFill="1" applyBorder="1" applyAlignment="1" applyProtection="1">
      <alignment vertical="top" wrapText="1"/>
    </xf>
    <xf numFmtId="0" fontId="0" fillId="0" borderId="3" xfId="0" applyFill="1" applyBorder="1" applyAlignment="1">
      <alignment horizontal="left" vertical="top" wrapText="1"/>
    </xf>
    <xf numFmtId="0" fontId="0" fillId="0" borderId="0" xfId="0" applyAlignment="1">
      <alignment horizontal="left" vertical="top" wrapText="1"/>
    </xf>
    <xf numFmtId="0" fontId="0" fillId="6" borderId="3" xfId="0" applyFill="1" applyBorder="1" applyAlignment="1">
      <alignment vertical="top" wrapText="1"/>
    </xf>
    <xf numFmtId="0" fontId="16" fillId="10" borderId="0" xfId="5" applyAlignment="1">
      <alignment horizontal="left" vertical="top" wrapText="1"/>
    </xf>
    <xf numFmtId="0" fontId="5" fillId="7" borderId="2" xfId="0" applyFont="1" applyFill="1" applyBorder="1" applyAlignment="1">
      <alignment vertical="top" wrapText="1"/>
    </xf>
    <xf numFmtId="0" fontId="20" fillId="7" borderId="2" xfId="0" applyFont="1" applyFill="1" applyBorder="1" applyAlignment="1">
      <alignment vertical="top" wrapText="1"/>
    </xf>
    <xf numFmtId="0" fontId="5" fillId="7" borderId="3" xfId="0" applyFont="1" applyFill="1" applyBorder="1" applyAlignment="1">
      <alignment vertical="top" wrapText="1"/>
    </xf>
    <xf numFmtId="0" fontId="11" fillId="13" borderId="2" xfId="4" applyFill="1" applyBorder="1" applyAlignment="1">
      <alignment horizontal="left" vertical="top" wrapText="1"/>
    </xf>
    <xf numFmtId="0" fontId="14" fillId="13" borderId="2" xfId="0" applyFont="1" applyFill="1" applyBorder="1"/>
    <xf numFmtId="0" fontId="0" fillId="0" borderId="0" xfId="0" applyFill="1" applyBorder="1" applyAlignment="1">
      <alignment horizontal="left" vertical="top" wrapText="1"/>
    </xf>
    <xf numFmtId="0" fontId="0" fillId="0" borderId="3" xfId="0" applyFill="1" applyBorder="1" applyAlignment="1">
      <alignment vertical="top" wrapText="1"/>
    </xf>
    <xf numFmtId="0" fontId="0" fillId="0" borderId="4" xfId="0" applyFill="1" applyBorder="1" applyAlignment="1">
      <alignment vertical="top" wrapText="1"/>
    </xf>
    <xf numFmtId="0" fontId="0" fillId="5" borderId="3" xfId="0" applyFill="1" applyBorder="1" applyAlignment="1">
      <alignment vertical="top" wrapText="1"/>
    </xf>
    <xf numFmtId="0" fontId="0" fillId="0" borderId="0" xfId="0" applyAlignment="1">
      <alignment vertical="top" wrapText="1"/>
    </xf>
    <xf numFmtId="0" fontId="0" fillId="6" borderId="0" xfId="0" applyFill="1" applyAlignment="1">
      <alignment horizontal="left" vertical="top"/>
    </xf>
    <xf numFmtId="0" fontId="0" fillId="4" borderId="0" xfId="0" applyFill="1" applyAlignment="1">
      <alignment horizontal="left" vertical="top" wrapText="1"/>
    </xf>
    <xf numFmtId="0" fontId="5" fillId="6" borderId="3" xfId="0" applyFont="1" applyFill="1" applyBorder="1" applyAlignment="1">
      <alignment vertical="top" wrapText="1"/>
    </xf>
    <xf numFmtId="0" fontId="12" fillId="0" borderId="2" xfId="0" applyFont="1" applyBorder="1" applyAlignment="1">
      <alignment horizontal="left" vertical="top"/>
    </xf>
    <xf numFmtId="0" fontId="12" fillId="0" borderId="2" xfId="0" applyFont="1" applyFill="1" applyBorder="1" applyAlignment="1">
      <alignment horizontal="left" vertical="top"/>
    </xf>
    <xf numFmtId="0" fontId="12" fillId="7" borderId="2" xfId="0" applyFont="1" applyFill="1" applyBorder="1" applyAlignment="1">
      <alignment horizontal="left" vertical="top"/>
    </xf>
    <xf numFmtId="14" fontId="12" fillId="0" borderId="2" xfId="0" applyNumberFormat="1" applyFont="1" applyBorder="1" applyAlignment="1">
      <alignment horizontal="left" vertical="top"/>
    </xf>
    <xf numFmtId="0" fontId="0" fillId="0" borderId="2" xfId="0" applyBorder="1" applyAlignment="1"/>
    <xf numFmtId="0" fontId="14" fillId="7" borderId="2" xfId="0" applyFont="1" applyFill="1" applyBorder="1" applyAlignment="1">
      <alignment horizontal="left" vertical="top" wrapText="1"/>
    </xf>
    <xf numFmtId="0" fontId="0" fillId="13" borderId="2" xfId="0" applyFill="1" applyBorder="1" applyAlignment="1">
      <alignment vertical="top"/>
    </xf>
    <xf numFmtId="14" fontId="0" fillId="13" borderId="2" xfId="0" applyNumberFormat="1" applyFont="1" applyFill="1" applyBorder="1" applyAlignment="1">
      <alignment horizontal="left" vertical="top" wrapText="1"/>
    </xf>
    <xf numFmtId="0" fontId="0" fillId="13" borderId="0" xfId="0" applyFill="1" applyAlignment="1">
      <alignment vertical="top" wrapText="1"/>
    </xf>
    <xf numFmtId="0" fontId="0" fillId="7" borderId="2" xfId="0" applyFont="1" applyFill="1" applyBorder="1" applyAlignment="1">
      <alignment vertical="top" wrapText="1"/>
    </xf>
    <xf numFmtId="14" fontId="22" fillId="7" borderId="2" xfId="2" applyNumberFormat="1" applyFont="1" applyFill="1" applyBorder="1" applyAlignment="1" applyProtection="1">
      <alignment vertical="top" wrapText="1"/>
    </xf>
    <xf numFmtId="0" fontId="23" fillId="7" borderId="2" xfId="0" applyFont="1" applyFill="1" applyBorder="1" applyAlignment="1">
      <alignment vertical="top" wrapText="1"/>
    </xf>
    <xf numFmtId="14" fontId="0" fillId="7" borderId="2" xfId="0" applyNumberFormat="1" applyFont="1" applyFill="1" applyBorder="1" applyAlignment="1">
      <alignment vertical="top" wrapText="1"/>
    </xf>
    <xf numFmtId="14" fontId="9" fillId="7" borderId="2" xfId="2" applyNumberFormat="1" applyFill="1" applyBorder="1" applyAlignment="1" applyProtection="1">
      <alignment vertical="top" wrapText="1"/>
    </xf>
    <xf numFmtId="0" fontId="0" fillId="0" borderId="0" xfId="0" applyAlignment="1">
      <alignment horizontal="left" vertical="top"/>
    </xf>
    <xf numFmtId="0" fontId="0" fillId="6" borderId="2" xfId="0" applyFont="1" applyFill="1" applyBorder="1" applyAlignment="1">
      <alignment horizontal="left" vertical="top"/>
    </xf>
    <xf numFmtId="0" fontId="11" fillId="13" borderId="2" xfId="4" applyFill="1" applyBorder="1" applyAlignment="1">
      <alignment vertical="top" wrapText="1"/>
    </xf>
  </cellXfs>
  <cellStyles count="6">
    <cellStyle name="Bad" xfId="4" builtinId="27"/>
    <cellStyle name="Good" xfId="3" builtinId="26"/>
    <cellStyle name="Hyperlink" xfId="2" builtinId="8"/>
    <cellStyle name="Input" xfId="1" builtinId="20"/>
    <cellStyle name="Neutral" xfId="5"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anssupport.atlassian.net/browse/BA-656" TargetMode="External"/><Relationship Id="rId2" Type="http://schemas.openxmlformats.org/officeDocument/2006/relationships/hyperlink" Target="https://hanssupport.atlassian.net/browse/BA-656" TargetMode="External"/><Relationship Id="rId1" Type="http://schemas.openxmlformats.org/officeDocument/2006/relationships/hyperlink" Target="https://hanssupport.atlassian.net/browse/BA-656"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hanssupport.atlassian.net/browse/BA-145" TargetMode="External"/><Relationship Id="rId13" Type="http://schemas.openxmlformats.org/officeDocument/2006/relationships/hyperlink" Target="https://hanssupport.atlassian.net/browse/BA-151" TargetMode="External"/><Relationship Id="rId3" Type="http://schemas.openxmlformats.org/officeDocument/2006/relationships/hyperlink" Target="https://hanssupport.atlassian.net/browse/BA-138" TargetMode="External"/><Relationship Id="rId7" Type="http://schemas.openxmlformats.org/officeDocument/2006/relationships/hyperlink" Target="https://hanssupport.atlassian.net/browse/BA-144" TargetMode="External"/><Relationship Id="rId12" Type="http://schemas.openxmlformats.org/officeDocument/2006/relationships/hyperlink" Target="https://hanssupport.atlassian.net/browse/BA-149" TargetMode="External"/><Relationship Id="rId2" Type="http://schemas.openxmlformats.org/officeDocument/2006/relationships/hyperlink" Target="https://hanssupport.atlassian.net/browse/BA-137" TargetMode="External"/><Relationship Id="rId1" Type="http://schemas.openxmlformats.org/officeDocument/2006/relationships/hyperlink" Target="https://hanssupport.atlassian.net/browse/BA-136" TargetMode="External"/><Relationship Id="rId6" Type="http://schemas.openxmlformats.org/officeDocument/2006/relationships/hyperlink" Target="https://hanssupport.atlassian.net/browse/BA-141" TargetMode="External"/><Relationship Id="rId11" Type="http://schemas.openxmlformats.org/officeDocument/2006/relationships/hyperlink" Target="https://hanssupport.atlassian.net/browse/BA-148" TargetMode="External"/><Relationship Id="rId5" Type="http://schemas.openxmlformats.org/officeDocument/2006/relationships/hyperlink" Target="https://hanssupport.atlassian.net/browse/BA-140" TargetMode="External"/><Relationship Id="rId10" Type="http://schemas.openxmlformats.org/officeDocument/2006/relationships/hyperlink" Target="https://hanssupport.atlassian.net/browse/BA-147" TargetMode="External"/><Relationship Id="rId4" Type="http://schemas.openxmlformats.org/officeDocument/2006/relationships/hyperlink" Target="https://hanssupport.atlassian.net/browse/BA-139" TargetMode="External"/><Relationship Id="rId9" Type="http://schemas.openxmlformats.org/officeDocument/2006/relationships/hyperlink" Target="https://hanssupport.atlassian.net/browse/BA-146"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hanssupport.atlassian.net/browse/BA-160" TargetMode="External"/><Relationship Id="rId13" Type="http://schemas.openxmlformats.org/officeDocument/2006/relationships/hyperlink" Target="https://hanssupport.atlassian.net/browse/BA-165" TargetMode="External"/><Relationship Id="rId18" Type="http://schemas.openxmlformats.org/officeDocument/2006/relationships/hyperlink" Target="https://hanssupport.atlassian.net/browse/BA-178" TargetMode="External"/><Relationship Id="rId26" Type="http://schemas.openxmlformats.org/officeDocument/2006/relationships/hyperlink" Target="https://hanssupport.atlassian.net/browse/BA-187" TargetMode="External"/><Relationship Id="rId3" Type="http://schemas.openxmlformats.org/officeDocument/2006/relationships/hyperlink" Target="https://hanssupport.atlassian.net/browse/BA-154" TargetMode="External"/><Relationship Id="rId21" Type="http://schemas.openxmlformats.org/officeDocument/2006/relationships/hyperlink" Target="https://hanssupport.atlassian.net/browse/BA-181" TargetMode="External"/><Relationship Id="rId7" Type="http://schemas.openxmlformats.org/officeDocument/2006/relationships/hyperlink" Target="https://hanssupport.atlassian.net/browse/BA-159" TargetMode="External"/><Relationship Id="rId12" Type="http://schemas.openxmlformats.org/officeDocument/2006/relationships/hyperlink" Target="https://hanssupport.atlassian.net/browse/BA-164" TargetMode="External"/><Relationship Id="rId17" Type="http://schemas.openxmlformats.org/officeDocument/2006/relationships/hyperlink" Target="https://hanssupport.atlassian.net/browse/BA-177" TargetMode="External"/><Relationship Id="rId25" Type="http://schemas.openxmlformats.org/officeDocument/2006/relationships/hyperlink" Target="https://hanssupport.atlassian.net/browse/BA-186" TargetMode="External"/><Relationship Id="rId2" Type="http://schemas.openxmlformats.org/officeDocument/2006/relationships/hyperlink" Target="https://hanssupport.atlassian.net/browse/BA-153" TargetMode="External"/><Relationship Id="rId16" Type="http://schemas.openxmlformats.org/officeDocument/2006/relationships/hyperlink" Target="https://hanssupport.atlassian.net/browse/BA-176" TargetMode="External"/><Relationship Id="rId20" Type="http://schemas.openxmlformats.org/officeDocument/2006/relationships/hyperlink" Target="https://hanssupport.atlassian.net/browse/BA-180" TargetMode="External"/><Relationship Id="rId29" Type="http://schemas.openxmlformats.org/officeDocument/2006/relationships/hyperlink" Target="https://hanssupport.atlassian.net/browse/BA-194" TargetMode="External"/><Relationship Id="rId1" Type="http://schemas.openxmlformats.org/officeDocument/2006/relationships/hyperlink" Target="https://hanssupport.atlassian.net/browse/BA-152" TargetMode="External"/><Relationship Id="rId6" Type="http://schemas.openxmlformats.org/officeDocument/2006/relationships/hyperlink" Target="https://hanssupport.atlassian.net/browse/BA-157" TargetMode="External"/><Relationship Id="rId11" Type="http://schemas.openxmlformats.org/officeDocument/2006/relationships/hyperlink" Target="https://hanssupport.atlassian.net/browse/BA-163" TargetMode="External"/><Relationship Id="rId24" Type="http://schemas.openxmlformats.org/officeDocument/2006/relationships/hyperlink" Target="https://hanssupport.atlassian.net/browse/BA-185" TargetMode="External"/><Relationship Id="rId5" Type="http://schemas.openxmlformats.org/officeDocument/2006/relationships/hyperlink" Target="https://hanssupport.atlassian.net/browse/BA-156" TargetMode="External"/><Relationship Id="rId15" Type="http://schemas.openxmlformats.org/officeDocument/2006/relationships/hyperlink" Target="https://hanssupport.atlassian.net/browse/BA-170" TargetMode="External"/><Relationship Id="rId23" Type="http://schemas.openxmlformats.org/officeDocument/2006/relationships/hyperlink" Target="https://hanssupport.atlassian.net/browse/BA-183" TargetMode="External"/><Relationship Id="rId28" Type="http://schemas.openxmlformats.org/officeDocument/2006/relationships/hyperlink" Target="https://hanssupport.atlassian.net/browse/BA-190" TargetMode="External"/><Relationship Id="rId10" Type="http://schemas.openxmlformats.org/officeDocument/2006/relationships/hyperlink" Target="https://hanssupport.atlassian.net/browse/BA-162" TargetMode="External"/><Relationship Id="rId19" Type="http://schemas.openxmlformats.org/officeDocument/2006/relationships/hyperlink" Target="https://hanssupport.atlassian.net/browse/BA-179" TargetMode="External"/><Relationship Id="rId31" Type="http://schemas.openxmlformats.org/officeDocument/2006/relationships/printerSettings" Target="../printerSettings/printerSettings3.bin"/><Relationship Id="rId4" Type="http://schemas.openxmlformats.org/officeDocument/2006/relationships/hyperlink" Target="https://hanssupport.atlassian.net/browse/BA-155" TargetMode="External"/><Relationship Id="rId9" Type="http://schemas.openxmlformats.org/officeDocument/2006/relationships/hyperlink" Target="https://hanssupport.atlassian.net/browse/BA-161" TargetMode="External"/><Relationship Id="rId14" Type="http://schemas.openxmlformats.org/officeDocument/2006/relationships/hyperlink" Target="https://hanssupport.atlassian.net/browse/BA-166" TargetMode="External"/><Relationship Id="rId22" Type="http://schemas.openxmlformats.org/officeDocument/2006/relationships/hyperlink" Target="https://hanssupport.atlassian.net/browse/BA-182" TargetMode="External"/><Relationship Id="rId27" Type="http://schemas.openxmlformats.org/officeDocument/2006/relationships/hyperlink" Target="https://hanssupport.atlassian.net/browse/BA-189" TargetMode="External"/><Relationship Id="rId30" Type="http://schemas.openxmlformats.org/officeDocument/2006/relationships/hyperlink" Target="https://hanssupport.atlassian.net/browse/BA-15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anssupport.atlassian.net/browse/BA-221" TargetMode="External"/><Relationship Id="rId1" Type="http://schemas.openxmlformats.org/officeDocument/2006/relationships/hyperlink" Target="https://hanssupport.atlassian.net/browse/BA-22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hanssupport.atlassian.net/browse/BA-292" TargetMode="External"/><Relationship Id="rId3" Type="http://schemas.openxmlformats.org/officeDocument/2006/relationships/hyperlink" Target="https://hanssupport.atlassian.net/browse/BA-224" TargetMode="External"/><Relationship Id="rId7" Type="http://schemas.openxmlformats.org/officeDocument/2006/relationships/hyperlink" Target="https://hanssupport.atlassian.net/browse/BA-291" TargetMode="External"/><Relationship Id="rId2" Type="http://schemas.openxmlformats.org/officeDocument/2006/relationships/hyperlink" Target="https://hanssupport.atlassian.net/browse/BA-223" TargetMode="External"/><Relationship Id="rId1" Type="http://schemas.openxmlformats.org/officeDocument/2006/relationships/hyperlink" Target="https://hanssupport.atlassian.net/browse/BA-222" TargetMode="External"/><Relationship Id="rId6" Type="http://schemas.openxmlformats.org/officeDocument/2006/relationships/hyperlink" Target="https://hanssupport.atlassian.net/browse/BA-290" TargetMode="External"/><Relationship Id="rId11" Type="http://schemas.openxmlformats.org/officeDocument/2006/relationships/printerSettings" Target="../printerSettings/printerSettings5.bin"/><Relationship Id="rId5" Type="http://schemas.openxmlformats.org/officeDocument/2006/relationships/hyperlink" Target="https://hanssupport.atlassian.net/browse/BA-289" TargetMode="External"/><Relationship Id="rId10" Type="http://schemas.openxmlformats.org/officeDocument/2006/relationships/hyperlink" Target="https://hanssupport.atlassian.net/browse/BA-506" TargetMode="External"/><Relationship Id="rId4" Type="http://schemas.openxmlformats.org/officeDocument/2006/relationships/hyperlink" Target="https://hanssupport.atlassian.net/browse/BA-288" TargetMode="External"/><Relationship Id="rId9" Type="http://schemas.openxmlformats.org/officeDocument/2006/relationships/hyperlink" Target="https://hanssupport.atlassian.net/browse/BA-293"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hanssupport.atlassian.net/browse/BA-294" TargetMode="External"/><Relationship Id="rId7" Type="http://schemas.openxmlformats.org/officeDocument/2006/relationships/hyperlink" Target="https://hanssupport.atlassian.net/browse/BA-584" TargetMode="External"/><Relationship Id="rId2" Type="http://schemas.openxmlformats.org/officeDocument/2006/relationships/hyperlink" Target="https://hanssupport.atlassian.net/browse/BA-226" TargetMode="External"/><Relationship Id="rId1" Type="http://schemas.openxmlformats.org/officeDocument/2006/relationships/hyperlink" Target="https://hanssupport.atlassian.net/browse/BA-225" TargetMode="External"/><Relationship Id="rId6" Type="http://schemas.openxmlformats.org/officeDocument/2006/relationships/hyperlink" Target="https://hanssupport.atlassian.net/browse/BA-510" TargetMode="External"/><Relationship Id="rId5" Type="http://schemas.openxmlformats.org/officeDocument/2006/relationships/hyperlink" Target="https://hanssupport.atlassian.net/browse/BA-508" TargetMode="External"/><Relationship Id="rId4" Type="http://schemas.openxmlformats.org/officeDocument/2006/relationships/hyperlink" Target="https://hanssupport.atlassian.net/browse/BA-295"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hyperlink" Target="https://hanssupport.atlassian.net/browse/BA-230" TargetMode="External"/><Relationship Id="rId2" Type="http://schemas.openxmlformats.org/officeDocument/2006/relationships/hyperlink" Target="https://hanssupport.atlassian.net/browse/BA-229" TargetMode="External"/><Relationship Id="rId1" Type="http://schemas.openxmlformats.org/officeDocument/2006/relationships/hyperlink" Target="https://hanssupport.atlassian.net/browse/BA-228" TargetMode="External"/><Relationship Id="rId6" Type="http://schemas.openxmlformats.org/officeDocument/2006/relationships/printerSettings" Target="../printerSettings/printerSettings18.bin"/><Relationship Id="rId5" Type="http://schemas.openxmlformats.org/officeDocument/2006/relationships/hyperlink" Target="https://hanssupport.atlassian.net/browse/BA-232" TargetMode="External"/><Relationship Id="rId4" Type="http://schemas.openxmlformats.org/officeDocument/2006/relationships/hyperlink" Target="https://hanssupport.atlassian.net/browse/BA-231"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hanssupport.atlassian.net/browse/BA-515" TargetMode="External"/><Relationship Id="rId3" Type="http://schemas.openxmlformats.org/officeDocument/2006/relationships/hyperlink" Target="https://hanssupport.atlassian.net/browse/BA-235" TargetMode="External"/><Relationship Id="rId7" Type="http://schemas.openxmlformats.org/officeDocument/2006/relationships/hyperlink" Target="https://hanssupport.atlassian.net/browse/BA-239" TargetMode="External"/><Relationship Id="rId2" Type="http://schemas.openxmlformats.org/officeDocument/2006/relationships/hyperlink" Target="https://hanssupport.atlassian.net/browse/BA-234" TargetMode="External"/><Relationship Id="rId1" Type="http://schemas.openxmlformats.org/officeDocument/2006/relationships/hyperlink" Target="https://hanssupport.atlassian.net/browse/BA-233" TargetMode="External"/><Relationship Id="rId6" Type="http://schemas.openxmlformats.org/officeDocument/2006/relationships/hyperlink" Target="https://hanssupport.atlassian.net/browse/BA-238" TargetMode="External"/><Relationship Id="rId5" Type="http://schemas.openxmlformats.org/officeDocument/2006/relationships/hyperlink" Target="https://hanssupport.atlassian.net/browse/BA-237" TargetMode="External"/><Relationship Id="rId4" Type="http://schemas.openxmlformats.org/officeDocument/2006/relationships/hyperlink" Target="https://hanssupport.atlassian.net/browse/BA-236"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hanssupport.atlassian.net/browse/BA-242" TargetMode="External"/><Relationship Id="rId2" Type="http://schemas.openxmlformats.org/officeDocument/2006/relationships/hyperlink" Target="https://hanssupport.atlassian.net/browse/BA-241" TargetMode="External"/><Relationship Id="rId1" Type="http://schemas.openxmlformats.org/officeDocument/2006/relationships/hyperlink" Target="https://hanssupport.atlassian.net/browse/BA-240" TargetMode="External"/><Relationship Id="rId5" Type="http://schemas.openxmlformats.org/officeDocument/2006/relationships/hyperlink" Target="https://hanssupport.atlassian.net/browse/BA-527" TargetMode="External"/><Relationship Id="rId4" Type="http://schemas.openxmlformats.org/officeDocument/2006/relationships/hyperlink" Target="https://hanssupport.atlassian.net/browse/BA-296"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hanssupport.atlassian.net/browse/BA-541" TargetMode="External"/><Relationship Id="rId3" Type="http://schemas.openxmlformats.org/officeDocument/2006/relationships/hyperlink" Target="https://hanssupport.atlassian.net/browse/BA-247" TargetMode="External"/><Relationship Id="rId7" Type="http://schemas.openxmlformats.org/officeDocument/2006/relationships/hyperlink" Target="https://hanssupport.atlassian.net/browse/BA-525" TargetMode="External"/><Relationship Id="rId2" Type="http://schemas.openxmlformats.org/officeDocument/2006/relationships/hyperlink" Target="https://hanssupport.atlassian.net/browse/BA-245" TargetMode="External"/><Relationship Id="rId1" Type="http://schemas.openxmlformats.org/officeDocument/2006/relationships/hyperlink" Target="https://hanssupport.atlassian.net/browse/BA-243" TargetMode="External"/><Relationship Id="rId6" Type="http://schemas.openxmlformats.org/officeDocument/2006/relationships/hyperlink" Target="https://hanssupport.atlassian.net/browse/BA-250" TargetMode="External"/><Relationship Id="rId5" Type="http://schemas.openxmlformats.org/officeDocument/2006/relationships/hyperlink" Target="https://hanssupport.atlassian.net/browse/BA-249" TargetMode="External"/><Relationship Id="rId10" Type="http://schemas.openxmlformats.org/officeDocument/2006/relationships/printerSettings" Target="../printerSettings/printerSettings19.bin"/><Relationship Id="rId4" Type="http://schemas.openxmlformats.org/officeDocument/2006/relationships/hyperlink" Target="https://hanssupport.atlassian.net/browse/BA-248" TargetMode="External"/><Relationship Id="rId9" Type="http://schemas.openxmlformats.org/officeDocument/2006/relationships/hyperlink" Target="https://hanssupport.atlassian.net/browse/BA-542"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hanssupport.atlassian.net/browse/BA-590" TargetMode="External"/><Relationship Id="rId3" Type="http://schemas.openxmlformats.org/officeDocument/2006/relationships/hyperlink" Target="https://hanssupport.atlassian.net/browse/BA-258" TargetMode="External"/><Relationship Id="rId7" Type="http://schemas.openxmlformats.org/officeDocument/2006/relationships/hyperlink" Target="https://hanssupport.atlassian.net/browse/BA-262" TargetMode="External"/><Relationship Id="rId2" Type="http://schemas.openxmlformats.org/officeDocument/2006/relationships/hyperlink" Target="https://hanssupport.atlassian.net/browse/BA-253" TargetMode="External"/><Relationship Id="rId1" Type="http://schemas.openxmlformats.org/officeDocument/2006/relationships/hyperlink" Target="https://hanssupport.atlassian.net/browse/BA-251" TargetMode="External"/><Relationship Id="rId6" Type="http://schemas.openxmlformats.org/officeDocument/2006/relationships/hyperlink" Target="https://hanssupport.atlassian.net/browse/BA-261" TargetMode="External"/><Relationship Id="rId5" Type="http://schemas.openxmlformats.org/officeDocument/2006/relationships/hyperlink" Target="https://hanssupport.atlassian.net/browse/BA-260" TargetMode="External"/><Relationship Id="rId4" Type="http://schemas.openxmlformats.org/officeDocument/2006/relationships/hyperlink" Target="https://hanssupport.atlassian.net/browse/BA-259" TargetMode="External"/><Relationship Id="rId9"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hyperlink" Target="https://hanssupport.atlassian.net/browse/BA-265" TargetMode="External"/><Relationship Id="rId2" Type="http://schemas.openxmlformats.org/officeDocument/2006/relationships/hyperlink" Target="https://hanssupport.atlassian.net/browse/BA-264" TargetMode="External"/><Relationship Id="rId1" Type="http://schemas.openxmlformats.org/officeDocument/2006/relationships/hyperlink" Target="https://hanssupport.atlassian.net/browse/BA-263" TargetMode="External"/><Relationship Id="rId6" Type="http://schemas.openxmlformats.org/officeDocument/2006/relationships/hyperlink" Target="https://hanssupport.atlassian.net/browse/BA-270" TargetMode="External"/><Relationship Id="rId5" Type="http://schemas.openxmlformats.org/officeDocument/2006/relationships/hyperlink" Target="https://hanssupport.atlassian.net/browse/BA-267" TargetMode="External"/><Relationship Id="rId4" Type="http://schemas.openxmlformats.org/officeDocument/2006/relationships/hyperlink" Target="https://hanssupport.atlassian.net/browse/BA-266"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hanssupport.atlassian.net/browse/BA-273" TargetMode="External"/><Relationship Id="rId2" Type="http://schemas.openxmlformats.org/officeDocument/2006/relationships/hyperlink" Target="https://hanssupport.atlassian.net/browse/BA-272" TargetMode="External"/><Relationship Id="rId1" Type="http://schemas.openxmlformats.org/officeDocument/2006/relationships/hyperlink" Target="https://hanssupport.atlassian.net/browse/BA-271" TargetMode="External"/><Relationship Id="rId6" Type="http://schemas.openxmlformats.org/officeDocument/2006/relationships/hyperlink" Target="https://hanssupport.atlassian.net/browse/BA-276" TargetMode="External"/><Relationship Id="rId5" Type="http://schemas.openxmlformats.org/officeDocument/2006/relationships/hyperlink" Target="https://hanssupport.atlassian.net/browse/BA-275" TargetMode="External"/><Relationship Id="rId4" Type="http://schemas.openxmlformats.org/officeDocument/2006/relationships/hyperlink" Target="https://hanssupport.atlassian.net/browse/BA-274"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hanssupport.atlassian.net/browse/BA-299" TargetMode="External"/><Relationship Id="rId7" Type="http://schemas.openxmlformats.org/officeDocument/2006/relationships/printerSettings" Target="../printerSettings/printerSettings21.bin"/><Relationship Id="rId2" Type="http://schemas.openxmlformats.org/officeDocument/2006/relationships/hyperlink" Target="https://hanssupport.atlassian.net/browse/BA-298" TargetMode="External"/><Relationship Id="rId1" Type="http://schemas.openxmlformats.org/officeDocument/2006/relationships/hyperlink" Target="https://hanssupport.atlassian.net/browse/BA-297" TargetMode="External"/><Relationship Id="rId6" Type="http://schemas.openxmlformats.org/officeDocument/2006/relationships/hyperlink" Target="https://hanssupport.atlassian.net/browse/BA-516" TargetMode="External"/><Relationship Id="rId5" Type="http://schemas.openxmlformats.org/officeDocument/2006/relationships/hyperlink" Target="https://hanssupport.atlassian.net/browse/BA-301" TargetMode="External"/><Relationship Id="rId4" Type="http://schemas.openxmlformats.org/officeDocument/2006/relationships/hyperlink" Target="https://hanssupport.atlassian.net/browse/BA-300"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hanssupport.atlassian.net/browse/BA-304" TargetMode="External"/><Relationship Id="rId7" Type="http://schemas.openxmlformats.org/officeDocument/2006/relationships/printerSettings" Target="../printerSettings/printerSettings22.bin"/><Relationship Id="rId2" Type="http://schemas.openxmlformats.org/officeDocument/2006/relationships/hyperlink" Target="https://hanssupport.atlassian.net/browse/BA-303" TargetMode="External"/><Relationship Id="rId1" Type="http://schemas.openxmlformats.org/officeDocument/2006/relationships/hyperlink" Target="https://hanssupport.atlassian.net/browse/BA-302" TargetMode="External"/><Relationship Id="rId6" Type="http://schemas.openxmlformats.org/officeDocument/2006/relationships/hyperlink" Target="https://hanssupport.atlassian.net/browse/BA-442" TargetMode="External"/><Relationship Id="rId5" Type="http://schemas.openxmlformats.org/officeDocument/2006/relationships/hyperlink" Target="https://hanssupport.atlassian.net/browse/BA-306" TargetMode="External"/><Relationship Id="rId4" Type="http://schemas.openxmlformats.org/officeDocument/2006/relationships/hyperlink" Target="https://hanssupport.atlassian.net/browse/BA-305"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hanssupport.atlassian.net/browse/BA-310" TargetMode="External"/><Relationship Id="rId7" Type="http://schemas.openxmlformats.org/officeDocument/2006/relationships/printerSettings" Target="../printerSettings/printerSettings23.bin"/><Relationship Id="rId2" Type="http://schemas.openxmlformats.org/officeDocument/2006/relationships/hyperlink" Target="https://hanssupport.atlassian.net/browse/BA-309" TargetMode="External"/><Relationship Id="rId1" Type="http://schemas.openxmlformats.org/officeDocument/2006/relationships/hyperlink" Target="https://hanssupport.atlassian.net/browse/BA-308" TargetMode="External"/><Relationship Id="rId6" Type="http://schemas.openxmlformats.org/officeDocument/2006/relationships/hyperlink" Target="https://hanssupport.atlassian.net/browse/BA-314" TargetMode="External"/><Relationship Id="rId5" Type="http://schemas.openxmlformats.org/officeDocument/2006/relationships/hyperlink" Target="https://hanssupport.atlassian.net/browse/BA-313" TargetMode="External"/><Relationship Id="rId4" Type="http://schemas.openxmlformats.org/officeDocument/2006/relationships/hyperlink" Target="https://hanssupport.atlassian.net/browse/BA-312"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hanssupport.atlassian.net/browse/BA-349" TargetMode="External"/><Relationship Id="rId13" Type="http://schemas.openxmlformats.org/officeDocument/2006/relationships/hyperlink" Target="https://hanssupport.atlassian.net/browse/BA-353" TargetMode="External"/><Relationship Id="rId3" Type="http://schemas.openxmlformats.org/officeDocument/2006/relationships/hyperlink" Target="https://hanssupport.atlassian.net/browse/BA-339" TargetMode="External"/><Relationship Id="rId7" Type="http://schemas.openxmlformats.org/officeDocument/2006/relationships/hyperlink" Target="https://hanssupport.atlassian.net/browse/BA-343" TargetMode="External"/><Relationship Id="rId12" Type="http://schemas.openxmlformats.org/officeDocument/2006/relationships/hyperlink" Target="https://hanssupport.atlassian.net/browse/BA-352" TargetMode="External"/><Relationship Id="rId2" Type="http://schemas.openxmlformats.org/officeDocument/2006/relationships/hyperlink" Target="https://hanssupport.atlassian.net/browse/BA-337" TargetMode="External"/><Relationship Id="rId1" Type="http://schemas.openxmlformats.org/officeDocument/2006/relationships/hyperlink" Target="https://hanssupport.atlassian.net/browse/BA-336" TargetMode="External"/><Relationship Id="rId6" Type="http://schemas.openxmlformats.org/officeDocument/2006/relationships/hyperlink" Target="https://hanssupport.atlassian.net/browse/BA-342" TargetMode="External"/><Relationship Id="rId11" Type="http://schemas.openxmlformats.org/officeDocument/2006/relationships/hyperlink" Target="https://hanssupport.atlassian.net/browse/BA-351" TargetMode="External"/><Relationship Id="rId5" Type="http://schemas.openxmlformats.org/officeDocument/2006/relationships/hyperlink" Target="https://hanssupport.atlassian.net/browse/BA-341" TargetMode="External"/><Relationship Id="rId10" Type="http://schemas.openxmlformats.org/officeDocument/2006/relationships/hyperlink" Target="https://hanssupport.atlassian.net/browse/BA-350" TargetMode="External"/><Relationship Id="rId4" Type="http://schemas.openxmlformats.org/officeDocument/2006/relationships/hyperlink" Target="https://hanssupport.atlassian.net/browse/BA-340" TargetMode="External"/><Relationship Id="rId9" Type="http://schemas.openxmlformats.org/officeDocument/2006/relationships/hyperlink" Target="https://hanssupport.atlassian.net/browse/BA-350" TargetMode="External"/><Relationship Id="rId14"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8" Type="http://schemas.openxmlformats.org/officeDocument/2006/relationships/hyperlink" Target="https://hanssupport.atlassian.net/browse/BA-362" TargetMode="External"/><Relationship Id="rId13" Type="http://schemas.openxmlformats.org/officeDocument/2006/relationships/hyperlink" Target="https://hanssupport.atlassian.net/browse/BA-367" TargetMode="External"/><Relationship Id="rId18" Type="http://schemas.openxmlformats.org/officeDocument/2006/relationships/hyperlink" Target="https://hanssupport.atlassian.net/browse/BA-373" TargetMode="External"/><Relationship Id="rId3" Type="http://schemas.openxmlformats.org/officeDocument/2006/relationships/hyperlink" Target="https://hanssupport.atlassian.net/browse/BA-356" TargetMode="External"/><Relationship Id="rId21" Type="http://schemas.openxmlformats.org/officeDocument/2006/relationships/printerSettings" Target="../printerSettings/printerSettings25.bin"/><Relationship Id="rId7" Type="http://schemas.openxmlformats.org/officeDocument/2006/relationships/hyperlink" Target="https://hanssupport.atlassian.net/browse/BA-361" TargetMode="External"/><Relationship Id="rId12" Type="http://schemas.openxmlformats.org/officeDocument/2006/relationships/hyperlink" Target="https://hanssupport.atlassian.net/browse/BA-366" TargetMode="External"/><Relationship Id="rId17" Type="http://schemas.openxmlformats.org/officeDocument/2006/relationships/hyperlink" Target="https://hanssupport.atlassian.net/browse/BA-372" TargetMode="External"/><Relationship Id="rId2" Type="http://schemas.openxmlformats.org/officeDocument/2006/relationships/hyperlink" Target="https://hanssupport.atlassian.net/browse/BA-355" TargetMode="External"/><Relationship Id="rId16" Type="http://schemas.openxmlformats.org/officeDocument/2006/relationships/hyperlink" Target="https://hanssupport.atlassian.net/browse/BA-371" TargetMode="External"/><Relationship Id="rId20" Type="http://schemas.openxmlformats.org/officeDocument/2006/relationships/hyperlink" Target="https://hanssupport.atlassian.net/browse/BA-375" TargetMode="External"/><Relationship Id="rId1" Type="http://schemas.openxmlformats.org/officeDocument/2006/relationships/hyperlink" Target="https://hanssupport.atlassian.net/browse/BA-354" TargetMode="External"/><Relationship Id="rId6" Type="http://schemas.openxmlformats.org/officeDocument/2006/relationships/hyperlink" Target="https://hanssupport.atlassian.net/browse/BA-360" TargetMode="External"/><Relationship Id="rId11" Type="http://schemas.openxmlformats.org/officeDocument/2006/relationships/hyperlink" Target="https://hanssupport.atlassian.net/browse/BA-365" TargetMode="External"/><Relationship Id="rId5" Type="http://schemas.openxmlformats.org/officeDocument/2006/relationships/hyperlink" Target="https://hanssupport.atlassian.net/browse/BA-359" TargetMode="External"/><Relationship Id="rId15" Type="http://schemas.openxmlformats.org/officeDocument/2006/relationships/hyperlink" Target="https://hanssupport.atlassian.net/browse/BA-370" TargetMode="External"/><Relationship Id="rId10" Type="http://schemas.openxmlformats.org/officeDocument/2006/relationships/hyperlink" Target="https://hanssupport.atlassian.net/browse/BA-364" TargetMode="External"/><Relationship Id="rId19" Type="http://schemas.openxmlformats.org/officeDocument/2006/relationships/hyperlink" Target="https://hanssupport.atlassian.net/browse/BA-374" TargetMode="External"/><Relationship Id="rId4" Type="http://schemas.openxmlformats.org/officeDocument/2006/relationships/hyperlink" Target="https://hanssupport.atlassian.net/browse/BA-358" TargetMode="External"/><Relationship Id="rId9" Type="http://schemas.openxmlformats.org/officeDocument/2006/relationships/hyperlink" Target="https://hanssupport.atlassian.net/browse/BA-363" TargetMode="External"/><Relationship Id="rId14" Type="http://schemas.openxmlformats.org/officeDocument/2006/relationships/hyperlink" Target="https://hanssupport.atlassian.net/browse/BA-368"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26.bin"/><Relationship Id="rId3" Type="http://schemas.openxmlformats.org/officeDocument/2006/relationships/hyperlink" Target="https://hanssupport.atlassian.net/browse/BA-317" TargetMode="External"/><Relationship Id="rId7" Type="http://schemas.openxmlformats.org/officeDocument/2006/relationships/hyperlink" Target="https://hanssupport.atlassian.net/browse/BA-321" TargetMode="External"/><Relationship Id="rId2" Type="http://schemas.openxmlformats.org/officeDocument/2006/relationships/hyperlink" Target="https://hanssupport.atlassian.net/browse/BA-316" TargetMode="External"/><Relationship Id="rId1" Type="http://schemas.openxmlformats.org/officeDocument/2006/relationships/hyperlink" Target="https://hanssupport.atlassian.net/browse/BA-315" TargetMode="External"/><Relationship Id="rId6" Type="http://schemas.openxmlformats.org/officeDocument/2006/relationships/hyperlink" Target="https://hanssupport.atlassian.net/browse/BA-320" TargetMode="External"/><Relationship Id="rId5" Type="http://schemas.openxmlformats.org/officeDocument/2006/relationships/hyperlink" Target="https://hanssupport.atlassian.net/browse/BA-319" TargetMode="External"/><Relationship Id="rId4" Type="http://schemas.openxmlformats.org/officeDocument/2006/relationships/hyperlink" Target="https://hanssupport.atlassian.net/browse/BA-318"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hanssupport.atlassian.net/browse/BA-329" TargetMode="External"/><Relationship Id="rId3" Type="http://schemas.openxmlformats.org/officeDocument/2006/relationships/hyperlink" Target="https://hanssupport.atlassian.net/browse/BA-324" TargetMode="External"/><Relationship Id="rId7" Type="http://schemas.openxmlformats.org/officeDocument/2006/relationships/hyperlink" Target="https://hanssupport.atlassian.net/browse/BA-328" TargetMode="External"/><Relationship Id="rId2" Type="http://schemas.openxmlformats.org/officeDocument/2006/relationships/hyperlink" Target="https://hanssupport.atlassian.net/browse/BA-323" TargetMode="External"/><Relationship Id="rId1" Type="http://schemas.openxmlformats.org/officeDocument/2006/relationships/hyperlink" Target="https://hanssupport.atlassian.net/browse/BA-322" TargetMode="External"/><Relationship Id="rId6" Type="http://schemas.openxmlformats.org/officeDocument/2006/relationships/hyperlink" Target="https://hanssupport.atlassian.net/browse/BA-327" TargetMode="External"/><Relationship Id="rId5" Type="http://schemas.openxmlformats.org/officeDocument/2006/relationships/hyperlink" Target="https://hanssupport.atlassian.net/browse/BA-326" TargetMode="External"/><Relationship Id="rId4" Type="http://schemas.openxmlformats.org/officeDocument/2006/relationships/hyperlink" Target="https://hanssupport.atlassian.net/browse/BA-325" TargetMode="External"/><Relationship Id="rId9"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3" Type="http://schemas.openxmlformats.org/officeDocument/2006/relationships/hyperlink" Target="https://hanssupport.atlassian.net/browse/BA-378" TargetMode="External"/><Relationship Id="rId2" Type="http://schemas.openxmlformats.org/officeDocument/2006/relationships/hyperlink" Target="https://hanssupport.atlassian.net/browse/BA-377" TargetMode="External"/><Relationship Id="rId1" Type="http://schemas.openxmlformats.org/officeDocument/2006/relationships/hyperlink" Target="https://hanssupport.atlassian.net/browse/BA-376" TargetMode="External"/><Relationship Id="rId6" Type="http://schemas.openxmlformats.org/officeDocument/2006/relationships/printerSettings" Target="../printerSettings/printerSettings28.bin"/><Relationship Id="rId5" Type="http://schemas.openxmlformats.org/officeDocument/2006/relationships/hyperlink" Target="https://hanssupport.atlassian.net/browse/BA-380" TargetMode="External"/><Relationship Id="rId4" Type="http://schemas.openxmlformats.org/officeDocument/2006/relationships/hyperlink" Target="https://hanssupport.atlassian.net/browse/BA-379"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hanssupport.atlassian.net/browse/BA-383" TargetMode="External"/><Relationship Id="rId2" Type="http://schemas.openxmlformats.org/officeDocument/2006/relationships/hyperlink" Target="https://hanssupport.atlassian.net/browse/BA-382" TargetMode="External"/><Relationship Id="rId1" Type="http://schemas.openxmlformats.org/officeDocument/2006/relationships/hyperlink" Target="https://hanssupport.atlassian.net/browse/BA-381" TargetMode="External"/><Relationship Id="rId6" Type="http://schemas.openxmlformats.org/officeDocument/2006/relationships/hyperlink" Target="https://hanssupport.atlassian.net/browse/BA-386" TargetMode="External"/><Relationship Id="rId5" Type="http://schemas.openxmlformats.org/officeDocument/2006/relationships/hyperlink" Target="https://hanssupport.atlassian.net/browse/BA-385" TargetMode="External"/><Relationship Id="rId4" Type="http://schemas.openxmlformats.org/officeDocument/2006/relationships/hyperlink" Target="https://hanssupport.atlassian.net/browse/BA-384"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hanssupport.atlassian.net/browse/BA-389" TargetMode="External"/><Relationship Id="rId7" Type="http://schemas.openxmlformats.org/officeDocument/2006/relationships/printerSettings" Target="../printerSettings/printerSettings29.bin"/><Relationship Id="rId2" Type="http://schemas.openxmlformats.org/officeDocument/2006/relationships/hyperlink" Target="https://hanssupport.atlassian.net/browse/BA-388" TargetMode="External"/><Relationship Id="rId1" Type="http://schemas.openxmlformats.org/officeDocument/2006/relationships/hyperlink" Target="https://hanssupport.atlassian.net/browse/BA-387" TargetMode="External"/><Relationship Id="rId6" Type="http://schemas.openxmlformats.org/officeDocument/2006/relationships/hyperlink" Target="https://hanssupport.atlassian.net/browse/BA-392" TargetMode="External"/><Relationship Id="rId5" Type="http://schemas.openxmlformats.org/officeDocument/2006/relationships/hyperlink" Target="https://hanssupport.atlassian.net/browse/BA-391" TargetMode="External"/><Relationship Id="rId4" Type="http://schemas.openxmlformats.org/officeDocument/2006/relationships/hyperlink" Target="https://hanssupport.atlassian.net/browse/BA-390"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hanssupport.atlassian.net/browse/BA-395" TargetMode="External"/><Relationship Id="rId7" Type="http://schemas.openxmlformats.org/officeDocument/2006/relationships/printerSettings" Target="../printerSettings/printerSettings30.bin"/><Relationship Id="rId2" Type="http://schemas.openxmlformats.org/officeDocument/2006/relationships/hyperlink" Target="https://hanssupport.atlassian.net/browse/BA-394" TargetMode="External"/><Relationship Id="rId1" Type="http://schemas.openxmlformats.org/officeDocument/2006/relationships/hyperlink" Target="https://hanssupport.atlassian.net/browse/BA-393" TargetMode="External"/><Relationship Id="rId6" Type="http://schemas.openxmlformats.org/officeDocument/2006/relationships/hyperlink" Target="https://hanssupport.atlassian.net/browse/BA-398" TargetMode="External"/><Relationship Id="rId5" Type="http://schemas.openxmlformats.org/officeDocument/2006/relationships/hyperlink" Target="https://hanssupport.atlassian.net/browse/BA-397" TargetMode="External"/><Relationship Id="rId4" Type="http://schemas.openxmlformats.org/officeDocument/2006/relationships/hyperlink" Target="https://hanssupport.atlassian.net/browse/BA-396"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hanssupport.atlassian.net/browse/BA-406" TargetMode="External"/><Relationship Id="rId13" Type="http://schemas.openxmlformats.org/officeDocument/2006/relationships/hyperlink" Target="https://hanssupport.atlassian.net/browse/BA-411" TargetMode="External"/><Relationship Id="rId18" Type="http://schemas.openxmlformats.org/officeDocument/2006/relationships/hyperlink" Target="https://hanssupport.atlassian.net/browse/BA-416" TargetMode="External"/><Relationship Id="rId3" Type="http://schemas.openxmlformats.org/officeDocument/2006/relationships/hyperlink" Target="https://hanssupport.atlassian.net/browse/BA-401" TargetMode="External"/><Relationship Id="rId21" Type="http://schemas.openxmlformats.org/officeDocument/2006/relationships/printerSettings" Target="../printerSettings/printerSettings31.bin"/><Relationship Id="rId7" Type="http://schemas.openxmlformats.org/officeDocument/2006/relationships/hyperlink" Target="https://hanssupport.atlassian.net/browse/BA-405" TargetMode="External"/><Relationship Id="rId12" Type="http://schemas.openxmlformats.org/officeDocument/2006/relationships/hyperlink" Target="https://hanssupport.atlassian.net/browse/BA-410" TargetMode="External"/><Relationship Id="rId17" Type="http://schemas.openxmlformats.org/officeDocument/2006/relationships/hyperlink" Target="https://hanssupport.atlassian.net/browse/BA-415" TargetMode="External"/><Relationship Id="rId2" Type="http://schemas.openxmlformats.org/officeDocument/2006/relationships/hyperlink" Target="https://hanssupport.atlassian.net/browse/BA-400" TargetMode="External"/><Relationship Id="rId16" Type="http://schemas.openxmlformats.org/officeDocument/2006/relationships/hyperlink" Target="https://hanssupport.atlassian.net/browse/BA-414" TargetMode="External"/><Relationship Id="rId20" Type="http://schemas.openxmlformats.org/officeDocument/2006/relationships/hyperlink" Target="https://hanssupport.atlassian.net/browse/BA-842" TargetMode="External"/><Relationship Id="rId1" Type="http://schemas.openxmlformats.org/officeDocument/2006/relationships/hyperlink" Target="https://hanssupport.atlassian.net/browse/BA-399" TargetMode="External"/><Relationship Id="rId6" Type="http://schemas.openxmlformats.org/officeDocument/2006/relationships/hyperlink" Target="https://hanssupport.atlassian.net/browse/BA-404" TargetMode="External"/><Relationship Id="rId11" Type="http://schemas.openxmlformats.org/officeDocument/2006/relationships/hyperlink" Target="https://hanssupport.atlassian.net/browse/BA-409" TargetMode="External"/><Relationship Id="rId5" Type="http://schemas.openxmlformats.org/officeDocument/2006/relationships/hyperlink" Target="https://hanssupport.atlassian.net/browse/BA-403" TargetMode="External"/><Relationship Id="rId15" Type="http://schemas.openxmlformats.org/officeDocument/2006/relationships/hyperlink" Target="https://hanssupport.atlassian.net/browse/BA-413" TargetMode="External"/><Relationship Id="rId10" Type="http://schemas.openxmlformats.org/officeDocument/2006/relationships/hyperlink" Target="https://hanssupport.atlassian.net/browse/BA-408" TargetMode="External"/><Relationship Id="rId19" Type="http://schemas.openxmlformats.org/officeDocument/2006/relationships/hyperlink" Target="https://hanssupport.atlassian.net/browse/BA-841" TargetMode="External"/><Relationship Id="rId4" Type="http://schemas.openxmlformats.org/officeDocument/2006/relationships/hyperlink" Target="https://hanssupport.atlassian.net/browse/BA-402" TargetMode="External"/><Relationship Id="rId9" Type="http://schemas.openxmlformats.org/officeDocument/2006/relationships/hyperlink" Target="https://hanssupport.atlassian.net/browse/BA-407" TargetMode="External"/><Relationship Id="rId14" Type="http://schemas.openxmlformats.org/officeDocument/2006/relationships/hyperlink" Target="https://hanssupport.atlassian.net/browse/BA-412"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hanssupport.atlassian.net/browse/BA-436" TargetMode="External"/><Relationship Id="rId3" Type="http://schemas.openxmlformats.org/officeDocument/2006/relationships/hyperlink" Target="https://hanssupport.atlassian.net/browse/BA-431" TargetMode="External"/><Relationship Id="rId7" Type="http://schemas.openxmlformats.org/officeDocument/2006/relationships/hyperlink" Target="https://hanssupport.atlassian.net/browse/BA-435" TargetMode="External"/><Relationship Id="rId2" Type="http://schemas.openxmlformats.org/officeDocument/2006/relationships/hyperlink" Target="https://hanssupport.atlassian.net/browse/BA-430" TargetMode="External"/><Relationship Id="rId1" Type="http://schemas.openxmlformats.org/officeDocument/2006/relationships/hyperlink" Target="https://hanssupport.atlassian.net/browse/BA-428" TargetMode="External"/><Relationship Id="rId6" Type="http://schemas.openxmlformats.org/officeDocument/2006/relationships/hyperlink" Target="https://hanssupport.atlassian.net/browse/BA-434" TargetMode="External"/><Relationship Id="rId5" Type="http://schemas.openxmlformats.org/officeDocument/2006/relationships/hyperlink" Target="https://hanssupport.atlassian.net/browse/BA-433" TargetMode="External"/><Relationship Id="rId4" Type="http://schemas.openxmlformats.org/officeDocument/2006/relationships/hyperlink" Target="https://hanssupport.atlassian.net/browse/BA-432" TargetMode="External"/><Relationship Id="rId9"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3" Type="http://schemas.openxmlformats.org/officeDocument/2006/relationships/hyperlink" Target="https://hanssupport.atlassian.net/browse/BA-439" TargetMode="External"/><Relationship Id="rId2" Type="http://schemas.openxmlformats.org/officeDocument/2006/relationships/hyperlink" Target="https://hanssupport.atlassian.net/browse/BA-438" TargetMode="External"/><Relationship Id="rId1" Type="http://schemas.openxmlformats.org/officeDocument/2006/relationships/hyperlink" Target="https://hanssupport.atlassian.net/browse/BA-437" TargetMode="External"/><Relationship Id="rId6" Type="http://schemas.openxmlformats.org/officeDocument/2006/relationships/printerSettings" Target="../printerSettings/printerSettings33.bin"/><Relationship Id="rId5" Type="http://schemas.openxmlformats.org/officeDocument/2006/relationships/hyperlink" Target="https://hanssupport.atlassian.net/browse/BA-441" TargetMode="External"/><Relationship Id="rId4" Type="http://schemas.openxmlformats.org/officeDocument/2006/relationships/hyperlink" Target="https://hanssupport.atlassian.net/browse/BA-440"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hanssupport.atlassian.net/browse/BA-445"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s://hanssupport.atlassian.net/browse/BA-453" TargetMode="External"/><Relationship Id="rId3" Type="http://schemas.openxmlformats.org/officeDocument/2006/relationships/hyperlink" Target="https://hanssupport.atlassian.net/browse/BA-448" TargetMode="External"/><Relationship Id="rId7" Type="http://schemas.openxmlformats.org/officeDocument/2006/relationships/hyperlink" Target="https://hanssupport.atlassian.net/browse/BA-452" TargetMode="External"/><Relationship Id="rId12" Type="http://schemas.openxmlformats.org/officeDocument/2006/relationships/printerSettings" Target="../printerSettings/printerSettings34.bin"/><Relationship Id="rId2" Type="http://schemas.openxmlformats.org/officeDocument/2006/relationships/hyperlink" Target="https://hanssupport.atlassian.net/browse/BA-447" TargetMode="External"/><Relationship Id="rId1" Type="http://schemas.openxmlformats.org/officeDocument/2006/relationships/hyperlink" Target="https://hanssupport.atlassian.net/browse/BA-446" TargetMode="External"/><Relationship Id="rId6" Type="http://schemas.openxmlformats.org/officeDocument/2006/relationships/hyperlink" Target="https://hanssupport.atlassian.net/browse/BA-451" TargetMode="External"/><Relationship Id="rId11" Type="http://schemas.openxmlformats.org/officeDocument/2006/relationships/hyperlink" Target="https://hanssupport.atlassian.net/browse/BA-456" TargetMode="External"/><Relationship Id="rId5" Type="http://schemas.openxmlformats.org/officeDocument/2006/relationships/hyperlink" Target="https://hanssupport.atlassian.net/browse/BA-450" TargetMode="External"/><Relationship Id="rId10" Type="http://schemas.openxmlformats.org/officeDocument/2006/relationships/hyperlink" Target="https://hanssupport.atlassian.net/browse/BA-455" TargetMode="External"/><Relationship Id="rId4" Type="http://schemas.openxmlformats.org/officeDocument/2006/relationships/hyperlink" Target="https://hanssupport.atlassian.net/browse/BA-449" TargetMode="External"/><Relationship Id="rId9" Type="http://schemas.openxmlformats.org/officeDocument/2006/relationships/hyperlink" Target="https://hanssupport.atlassian.net/browse/BA-454"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hanssupport.atlassian.net/browse/BA-588" TargetMode="External"/><Relationship Id="rId3" Type="http://schemas.openxmlformats.org/officeDocument/2006/relationships/hyperlink" Target="https://hanssupport.atlassian.net/browse/BA-486" TargetMode="External"/><Relationship Id="rId7" Type="http://schemas.openxmlformats.org/officeDocument/2006/relationships/hyperlink" Target="https://hanssupport.atlassian.net/browse/BA-490" TargetMode="External"/><Relationship Id="rId2" Type="http://schemas.openxmlformats.org/officeDocument/2006/relationships/hyperlink" Target="https://hanssupport.atlassian.net/browse/BA-485" TargetMode="External"/><Relationship Id="rId1" Type="http://schemas.openxmlformats.org/officeDocument/2006/relationships/hyperlink" Target="https://hanssupport.atlassian.net/browse/BA-484" TargetMode="External"/><Relationship Id="rId6" Type="http://schemas.openxmlformats.org/officeDocument/2006/relationships/hyperlink" Target="https://hanssupport.atlassian.net/browse/BA-489" TargetMode="External"/><Relationship Id="rId5" Type="http://schemas.openxmlformats.org/officeDocument/2006/relationships/hyperlink" Target="https://hanssupport.atlassian.net/browse/BA-488" TargetMode="External"/><Relationship Id="rId10" Type="http://schemas.openxmlformats.org/officeDocument/2006/relationships/printerSettings" Target="../printerSettings/printerSettings35.bin"/><Relationship Id="rId4" Type="http://schemas.openxmlformats.org/officeDocument/2006/relationships/hyperlink" Target="https://hanssupport.atlassian.net/browse/BA-487" TargetMode="External"/><Relationship Id="rId9" Type="http://schemas.openxmlformats.org/officeDocument/2006/relationships/hyperlink" Target="https://hanssupport.atlassian.net/browse/BA-589"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hanssupport.atlassian.net/browse/BA-459" TargetMode="External"/><Relationship Id="rId2" Type="http://schemas.openxmlformats.org/officeDocument/2006/relationships/hyperlink" Target="https://hanssupport.atlassian.net/browse/BA-458" TargetMode="External"/><Relationship Id="rId1" Type="http://schemas.openxmlformats.org/officeDocument/2006/relationships/hyperlink" Target="https://hanssupport.atlassian.net/browse/BA-457" TargetMode="External"/><Relationship Id="rId4"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8" Type="http://schemas.openxmlformats.org/officeDocument/2006/relationships/printerSettings" Target="../printerSettings/printerSettings37.bin"/><Relationship Id="rId3" Type="http://schemas.openxmlformats.org/officeDocument/2006/relationships/hyperlink" Target="https://hanssupport.atlassian.net/browse/BA-462" TargetMode="External"/><Relationship Id="rId7" Type="http://schemas.openxmlformats.org/officeDocument/2006/relationships/hyperlink" Target="https://hanssupport.atlassian.net/browse/BA-466" TargetMode="External"/><Relationship Id="rId2" Type="http://schemas.openxmlformats.org/officeDocument/2006/relationships/hyperlink" Target="https://hanssupport.atlassian.net/browse/BA-461" TargetMode="External"/><Relationship Id="rId1" Type="http://schemas.openxmlformats.org/officeDocument/2006/relationships/hyperlink" Target="https://hanssupport.atlassian.net/browse/BA-460" TargetMode="External"/><Relationship Id="rId6" Type="http://schemas.openxmlformats.org/officeDocument/2006/relationships/hyperlink" Target="https://hanssupport.atlassian.net/browse/BA-465" TargetMode="External"/><Relationship Id="rId5" Type="http://schemas.openxmlformats.org/officeDocument/2006/relationships/hyperlink" Target="https://hanssupport.atlassian.net/browse/BA-464" TargetMode="External"/><Relationship Id="rId4" Type="http://schemas.openxmlformats.org/officeDocument/2006/relationships/hyperlink" Target="https://hanssupport.atlassian.net/browse/BA-463" TargetMode="External"/></Relationships>
</file>

<file path=xl/worksheets/_rels/sheet46.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hyperlink" Target="https://hanssupport.atlassian.net/browse/BA-478" TargetMode="External"/><Relationship Id="rId7" Type="http://schemas.openxmlformats.org/officeDocument/2006/relationships/hyperlink" Target="https://hanssupport.atlassian.net/browse/BA-481" TargetMode="External"/><Relationship Id="rId2" Type="http://schemas.openxmlformats.org/officeDocument/2006/relationships/hyperlink" Target="https://hanssupport.atlassian.net/browse/BA-477" TargetMode="External"/><Relationship Id="rId1" Type="http://schemas.openxmlformats.org/officeDocument/2006/relationships/hyperlink" Target="https://hanssupport.atlassian.net/browse/BA-476" TargetMode="External"/><Relationship Id="rId6" Type="http://schemas.openxmlformats.org/officeDocument/2006/relationships/hyperlink" Target="https://hanssupport.atlassian.net/browse/BA-481" TargetMode="External"/><Relationship Id="rId5" Type="http://schemas.openxmlformats.org/officeDocument/2006/relationships/hyperlink" Target="https://hanssupport.atlassian.net/browse/BA-480" TargetMode="External"/><Relationship Id="rId4" Type="http://schemas.openxmlformats.org/officeDocument/2006/relationships/hyperlink" Target="https://hanssupport.atlassian.net/browse/BA-479"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https://hanssupport.atlassian.net/browse/BA-474" TargetMode="External"/><Relationship Id="rId3" Type="http://schemas.openxmlformats.org/officeDocument/2006/relationships/hyperlink" Target="https://hanssupport.atlassian.net/browse/BA-469" TargetMode="External"/><Relationship Id="rId7" Type="http://schemas.openxmlformats.org/officeDocument/2006/relationships/hyperlink" Target="https://hanssupport.atlassian.net/browse/BA-473" TargetMode="External"/><Relationship Id="rId2" Type="http://schemas.openxmlformats.org/officeDocument/2006/relationships/hyperlink" Target="https://hanssupport.atlassian.net/browse/BA-468" TargetMode="External"/><Relationship Id="rId1" Type="http://schemas.openxmlformats.org/officeDocument/2006/relationships/hyperlink" Target="https://hanssupport.atlassian.net/browse/BA-467" TargetMode="External"/><Relationship Id="rId6" Type="http://schemas.openxmlformats.org/officeDocument/2006/relationships/hyperlink" Target="https://hanssupport.atlassian.net/browse/BA-472" TargetMode="External"/><Relationship Id="rId5" Type="http://schemas.openxmlformats.org/officeDocument/2006/relationships/hyperlink" Target="https://hanssupport.atlassian.net/browse/BA-471" TargetMode="External"/><Relationship Id="rId4" Type="http://schemas.openxmlformats.org/officeDocument/2006/relationships/hyperlink" Target="https://hanssupport.atlassian.net/browse/BA-470" TargetMode="External"/><Relationship Id="rId9"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dimension ref="A1:V47"/>
  <sheetViews>
    <sheetView tabSelected="1" workbookViewId="0">
      <pane ySplit="1" topLeftCell="A2" activePane="bottomLeft" state="frozen"/>
      <selection pane="bottomLeft"/>
    </sheetView>
  </sheetViews>
  <sheetFormatPr defaultRowHeight="15"/>
  <cols>
    <col min="1" max="1" width="9.140625" style="45"/>
    <col min="2" max="2" width="16.5703125" style="45" customWidth="1"/>
    <col min="3" max="3" width="38.7109375" style="45" customWidth="1"/>
    <col min="4" max="4" width="13.28515625" style="45" customWidth="1"/>
    <col min="5" max="5" width="28" style="45" customWidth="1"/>
    <col min="6" max="6" width="19.42578125" style="45" customWidth="1"/>
    <col min="7" max="7" width="17.28515625" style="45" customWidth="1"/>
    <col min="8" max="8" width="27.5703125" style="45" customWidth="1"/>
    <col min="9" max="9" width="22.42578125" style="45" customWidth="1"/>
    <col min="10" max="10" width="18.7109375" style="45" customWidth="1"/>
    <col min="11" max="11" width="17.7109375" style="45" customWidth="1"/>
    <col min="12" max="13" width="18.140625" style="45" customWidth="1"/>
    <col min="14" max="14" width="17.28515625" style="45" customWidth="1"/>
    <col min="15" max="15" width="41.42578125" style="89" customWidth="1"/>
    <col min="16" max="16" width="29.5703125" style="45" customWidth="1"/>
    <col min="17" max="17" width="29.140625" style="45" customWidth="1"/>
    <col min="18" max="18" width="21.28515625" style="45" customWidth="1"/>
    <col min="19" max="19" width="20" style="45" customWidth="1"/>
    <col min="20" max="20" width="37.7109375" style="45" customWidth="1"/>
    <col min="21" max="21" width="85.140625" style="89" customWidth="1"/>
    <col min="22" max="16384" width="9.140625" style="45"/>
  </cols>
  <sheetData>
    <row r="1" spans="1:22" s="73" customFormat="1" ht="32.25" customHeight="1">
      <c r="A1" s="74" t="s">
        <v>3930</v>
      </c>
      <c r="B1" s="75" t="s">
        <v>3931</v>
      </c>
      <c r="C1" s="75" t="s">
        <v>3932</v>
      </c>
      <c r="D1" s="75" t="s">
        <v>3933</v>
      </c>
      <c r="E1" s="75" t="s">
        <v>3934</v>
      </c>
      <c r="F1" s="75" t="s">
        <v>3935</v>
      </c>
      <c r="G1" s="75" t="s">
        <v>3936</v>
      </c>
      <c r="H1" s="75" t="s">
        <v>3937</v>
      </c>
      <c r="I1" s="75" t="s">
        <v>3938</v>
      </c>
      <c r="J1" s="75" t="s">
        <v>3939</v>
      </c>
      <c r="K1" s="75" t="s">
        <v>3940</v>
      </c>
      <c r="L1" s="75" t="s">
        <v>3941</v>
      </c>
      <c r="M1" s="75" t="s">
        <v>3968</v>
      </c>
      <c r="N1" s="75" t="s">
        <v>3942</v>
      </c>
      <c r="O1" s="75" t="s">
        <v>3943</v>
      </c>
      <c r="P1" s="75" t="s">
        <v>3944</v>
      </c>
      <c r="Q1" s="75" t="s">
        <v>3945</v>
      </c>
      <c r="R1" s="75" t="s">
        <v>3946</v>
      </c>
      <c r="S1" s="75" t="s">
        <v>3947</v>
      </c>
      <c r="T1" s="73" t="s">
        <v>4571</v>
      </c>
      <c r="U1" s="73" t="s">
        <v>4353</v>
      </c>
    </row>
    <row r="2" spans="1:22" s="44" customFormat="1" ht="37.5" customHeight="1">
      <c r="A2" s="68">
        <v>1</v>
      </c>
      <c r="B2" s="80" t="s">
        <v>22</v>
      </c>
      <c r="C2" s="80" t="s">
        <v>23</v>
      </c>
      <c r="D2" s="80">
        <v>55</v>
      </c>
      <c r="E2" s="80">
        <v>42</v>
      </c>
      <c r="F2" s="80">
        <v>13</v>
      </c>
      <c r="G2" s="80"/>
      <c r="H2" s="80">
        <v>13</v>
      </c>
      <c r="I2" s="80">
        <v>13</v>
      </c>
      <c r="J2" s="82" t="s">
        <v>3948</v>
      </c>
      <c r="K2" s="82">
        <v>45968</v>
      </c>
      <c r="L2" s="82">
        <v>46045</v>
      </c>
      <c r="M2" s="82" t="s">
        <v>4486</v>
      </c>
      <c r="N2" s="82" t="s">
        <v>4171</v>
      </c>
      <c r="O2" s="95"/>
      <c r="P2" s="81"/>
      <c r="Q2" s="70" t="str">
        <f>HYPERLINK("#'Bank_BRO'!A1","Bank_BRO")</f>
        <v>Bank_BRO</v>
      </c>
      <c r="R2" s="82" t="s">
        <v>3949</v>
      </c>
      <c r="S2" s="95"/>
      <c r="T2" s="5" t="s">
        <v>4762</v>
      </c>
      <c r="U2" s="5"/>
    </row>
    <row r="3" spans="1:22" ht="31.5">
      <c r="A3" s="79">
        <v>2</v>
      </c>
      <c r="B3" s="80" t="s">
        <v>22</v>
      </c>
      <c r="C3" s="80" t="s">
        <v>279</v>
      </c>
      <c r="D3" s="80">
        <v>75</v>
      </c>
      <c r="E3" s="80">
        <v>45</v>
      </c>
      <c r="F3" s="80">
        <v>30</v>
      </c>
      <c r="G3" s="80"/>
      <c r="H3" s="80">
        <v>30</v>
      </c>
      <c r="I3" s="80">
        <v>30</v>
      </c>
      <c r="J3" s="82" t="s">
        <v>3948</v>
      </c>
      <c r="K3" s="82">
        <v>45975</v>
      </c>
      <c r="L3" s="82">
        <v>46034</v>
      </c>
      <c r="M3" s="82" t="s">
        <v>4486</v>
      </c>
      <c r="N3" s="82" t="s">
        <v>4171</v>
      </c>
      <c r="O3" s="83"/>
      <c r="P3" s="81"/>
      <c r="Q3" s="70" t="str">
        <f>HYPERLINK("#'CFS Master'!A1","CFS Master")</f>
        <v>CFS Master</v>
      </c>
      <c r="R3" s="82" t="s">
        <v>3949</v>
      </c>
      <c r="S3" s="84"/>
      <c r="T3" s="5" t="s">
        <v>4572</v>
      </c>
      <c r="U3" s="5"/>
    </row>
    <row r="4" spans="1:22" ht="31.5">
      <c r="A4" s="79">
        <v>3</v>
      </c>
      <c r="B4" s="80" t="s">
        <v>22</v>
      </c>
      <c r="C4" s="80" t="s">
        <v>6086</v>
      </c>
      <c r="D4" s="80">
        <v>29</v>
      </c>
      <c r="E4" s="80">
        <v>27</v>
      </c>
      <c r="F4" s="80">
        <v>2</v>
      </c>
      <c r="G4" s="80"/>
      <c r="H4" s="80">
        <v>2</v>
      </c>
      <c r="I4" s="80">
        <v>2</v>
      </c>
      <c r="J4" s="82" t="s">
        <v>3948</v>
      </c>
      <c r="K4" s="82">
        <v>45983</v>
      </c>
      <c r="L4" s="82">
        <v>46028</v>
      </c>
      <c r="M4" s="82" t="s">
        <v>3159</v>
      </c>
      <c r="N4" s="82" t="s">
        <v>4171</v>
      </c>
      <c r="O4" s="95"/>
      <c r="P4" s="81"/>
      <c r="Q4" s="70" t="str">
        <f>HYPERLINK("#'Currency'!A1","Currency")</f>
        <v>Currency</v>
      </c>
      <c r="R4" s="82" t="s">
        <v>3949</v>
      </c>
      <c r="S4" s="84"/>
      <c r="T4" s="5" t="s">
        <v>4572</v>
      </c>
      <c r="U4" s="5"/>
    </row>
    <row r="5" spans="1:22" ht="31.5">
      <c r="A5" s="79">
        <v>4</v>
      </c>
      <c r="B5" s="80" t="s">
        <v>22</v>
      </c>
      <c r="C5" s="80" t="s">
        <v>6087</v>
      </c>
      <c r="D5" s="80">
        <v>29</v>
      </c>
      <c r="E5" s="80">
        <v>19</v>
      </c>
      <c r="F5" s="80">
        <v>10</v>
      </c>
      <c r="G5" s="80"/>
      <c r="H5" s="80">
        <v>10</v>
      </c>
      <c r="I5" s="80">
        <v>10</v>
      </c>
      <c r="J5" s="82" t="s">
        <v>3948</v>
      </c>
      <c r="K5" s="82">
        <v>45986</v>
      </c>
      <c r="L5" s="82">
        <v>46055</v>
      </c>
      <c r="M5" s="82" t="s">
        <v>3159</v>
      </c>
      <c r="N5" s="82" t="s">
        <v>4171</v>
      </c>
      <c r="O5" s="95"/>
      <c r="P5" s="81"/>
      <c r="Q5" s="70" t="str">
        <f>HYPERLINK("#'RITC'!A1","RITC")</f>
        <v>RITC</v>
      </c>
      <c r="R5" s="82" t="s">
        <v>3949</v>
      </c>
      <c r="S5" s="84"/>
      <c r="T5" s="5" t="s">
        <v>4572</v>
      </c>
      <c r="U5" s="5"/>
    </row>
    <row r="6" spans="1:22" ht="31.5">
      <c r="A6" s="40">
        <v>5</v>
      </c>
      <c r="B6" s="76" t="s">
        <v>22</v>
      </c>
      <c r="C6" s="76" t="s">
        <v>6091</v>
      </c>
      <c r="D6" s="76">
        <v>21</v>
      </c>
      <c r="E6" s="76">
        <v>14</v>
      </c>
      <c r="F6" s="76">
        <v>7</v>
      </c>
      <c r="G6" s="76"/>
      <c r="H6" s="76">
        <v>7</v>
      </c>
      <c r="I6" s="76"/>
      <c r="J6" s="78" t="s">
        <v>3948</v>
      </c>
      <c r="K6" s="78">
        <v>45990</v>
      </c>
      <c r="N6" s="78" t="s">
        <v>1223</v>
      </c>
      <c r="O6" s="5"/>
      <c r="P6" s="77"/>
      <c r="Q6" s="36" t="str">
        <f>HYPERLINK("#'Port'!A1","Port")</f>
        <v>Port</v>
      </c>
      <c r="R6" s="78" t="s">
        <v>3949</v>
      </c>
      <c r="T6" s="89"/>
    </row>
    <row r="7" spans="1:22" ht="31.5">
      <c r="A7" s="40">
        <v>6</v>
      </c>
      <c r="B7" s="76" t="s">
        <v>22</v>
      </c>
      <c r="C7" s="76" t="s">
        <v>6092</v>
      </c>
      <c r="D7" s="76">
        <v>0</v>
      </c>
      <c r="E7" s="76"/>
      <c r="F7" s="76"/>
      <c r="G7" s="76"/>
      <c r="H7" s="76"/>
      <c r="I7" s="76"/>
      <c r="J7" s="78" t="s">
        <v>3948</v>
      </c>
      <c r="K7" s="76"/>
      <c r="N7" s="78" t="s">
        <v>1223</v>
      </c>
      <c r="O7" s="5"/>
      <c r="P7" s="77"/>
      <c r="Q7" s="36" t="str">
        <f>HYPERLINK("#'Loading &amp; CHA Port'!A1","Loading &amp; CHA Port")</f>
        <v>Loading &amp; CHA Port</v>
      </c>
      <c r="R7" s="78" t="s">
        <v>3949</v>
      </c>
      <c r="T7" s="89"/>
    </row>
    <row r="8" spans="1:22" ht="31.5">
      <c r="A8" s="81">
        <v>7</v>
      </c>
      <c r="B8" s="80" t="s">
        <v>22</v>
      </c>
      <c r="C8" s="80" t="s">
        <v>6088</v>
      </c>
      <c r="D8" s="80">
        <v>20</v>
      </c>
      <c r="E8" s="80">
        <v>15</v>
      </c>
      <c r="F8" s="80">
        <v>5</v>
      </c>
      <c r="G8" s="80"/>
      <c r="H8" s="80">
        <v>5</v>
      </c>
      <c r="I8" s="80">
        <v>5</v>
      </c>
      <c r="J8" s="82" t="s">
        <v>3948</v>
      </c>
      <c r="K8" s="82">
        <v>45992</v>
      </c>
      <c r="L8" s="82">
        <v>46035</v>
      </c>
      <c r="M8" s="82" t="s">
        <v>3159</v>
      </c>
      <c r="N8" s="82" t="s">
        <v>4171</v>
      </c>
      <c r="O8" s="95"/>
      <c r="P8" s="81"/>
      <c r="Q8" s="70" t="str">
        <f>HYPERLINK("#'Zone Master'!A1","Zone Master")</f>
        <v>Zone Master</v>
      </c>
      <c r="R8" s="82" t="s">
        <v>3949</v>
      </c>
      <c r="S8" s="83"/>
      <c r="T8" s="5" t="s">
        <v>4572</v>
      </c>
      <c r="U8" s="5"/>
    </row>
    <row r="9" spans="1:22" s="44" customFormat="1" ht="31.5">
      <c r="A9" s="79">
        <v>8</v>
      </c>
      <c r="B9" s="80" t="s">
        <v>22</v>
      </c>
      <c r="C9" s="80" t="s">
        <v>6089</v>
      </c>
      <c r="D9" s="80">
        <v>25</v>
      </c>
      <c r="E9" s="80">
        <v>17</v>
      </c>
      <c r="F9" s="80">
        <v>8</v>
      </c>
      <c r="G9" s="80"/>
      <c r="H9" s="80">
        <v>8</v>
      </c>
      <c r="I9" s="80">
        <v>8</v>
      </c>
      <c r="J9" s="82" t="s">
        <v>3948</v>
      </c>
      <c r="K9" s="82">
        <v>45992</v>
      </c>
      <c r="L9" s="82">
        <v>46079</v>
      </c>
      <c r="M9" s="82" t="s">
        <v>3159</v>
      </c>
      <c r="N9" s="82" t="s">
        <v>4171</v>
      </c>
      <c r="O9" s="95"/>
      <c r="P9" s="80"/>
      <c r="Q9" s="70" t="str">
        <f>HYPERLINK("#'Country Master'!A1","Country Master")</f>
        <v>Country Master</v>
      </c>
      <c r="R9" s="82" t="s">
        <v>3949</v>
      </c>
      <c r="S9" s="84"/>
      <c r="T9" s="5" t="s">
        <v>4762</v>
      </c>
      <c r="U9" s="15" t="s">
        <v>5669</v>
      </c>
    </row>
    <row r="10" spans="1:22" ht="31.5">
      <c r="A10" s="81">
        <v>9</v>
      </c>
      <c r="B10" s="80" t="s">
        <v>22</v>
      </c>
      <c r="C10" s="80" t="s">
        <v>6090</v>
      </c>
      <c r="D10" s="80">
        <v>23</v>
      </c>
      <c r="E10" s="80">
        <v>18</v>
      </c>
      <c r="F10" s="80">
        <v>5</v>
      </c>
      <c r="G10" s="80"/>
      <c r="H10" s="80">
        <v>5</v>
      </c>
      <c r="I10" s="80">
        <v>5</v>
      </c>
      <c r="J10" s="82" t="s">
        <v>3948</v>
      </c>
      <c r="K10" s="82">
        <v>45993</v>
      </c>
      <c r="L10" s="82">
        <v>46055</v>
      </c>
      <c r="M10" s="82" t="s">
        <v>3159</v>
      </c>
      <c r="N10" s="82" t="s">
        <v>4171</v>
      </c>
      <c r="O10" s="95"/>
      <c r="P10" s="125"/>
      <c r="Q10" s="70" t="str">
        <f>HYPERLINK("#'Region Master'!A1","Region Master")</f>
        <v>Region Master</v>
      </c>
      <c r="R10" s="82" t="s">
        <v>3949</v>
      </c>
      <c r="S10" s="84"/>
      <c r="T10" s="5" t="s">
        <v>4572</v>
      </c>
      <c r="U10" s="5"/>
      <c r="V10" s="89"/>
    </row>
    <row r="11" spans="1:22" ht="31.5">
      <c r="A11" s="79">
        <v>10</v>
      </c>
      <c r="B11" s="80" t="s">
        <v>22</v>
      </c>
      <c r="C11" s="80" t="s">
        <v>6093</v>
      </c>
      <c r="D11" s="80">
        <v>26</v>
      </c>
      <c r="E11" s="80">
        <v>17</v>
      </c>
      <c r="F11" s="80">
        <v>9</v>
      </c>
      <c r="G11" s="80"/>
      <c r="H11" s="80">
        <v>9</v>
      </c>
      <c r="I11" s="80">
        <v>9</v>
      </c>
      <c r="J11" s="82" t="s">
        <v>3948</v>
      </c>
      <c r="K11" s="82">
        <v>45994</v>
      </c>
      <c r="L11" s="82">
        <v>46086</v>
      </c>
      <c r="M11" s="82" t="s">
        <v>3159</v>
      </c>
      <c r="N11" s="82" t="s">
        <v>4171</v>
      </c>
      <c r="O11" s="95"/>
      <c r="P11" s="84"/>
      <c r="Q11" s="70" t="str">
        <f>HYPERLINK("#'FF Port Master'!A1","FF Port Master")</f>
        <v>FF Port Master</v>
      </c>
      <c r="R11" s="82" t="s">
        <v>3949</v>
      </c>
      <c r="S11" s="84"/>
      <c r="T11" s="5" t="s">
        <v>4572</v>
      </c>
      <c r="U11" s="5"/>
    </row>
    <row r="12" spans="1:22" ht="31.5">
      <c r="A12" s="40">
        <v>11</v>
      </c>
      <c r="B12" s="85" t="s">
        <v>22</v>
      </c>
      <c r="C12" s="85" t="s">
        <v>6094</v>
      </c>
      <c r="D12" s="85">
        <v>19</v>
      </c>
      <c r="E12" s="85">
        <v>11</v>
      </c>
      <c r="F12" s="85">
        <v>8</v>
      </c>
      <c r="G12" s="85"/>
      <c r="H12" s="85">
        <v>8</v>
      </c>
      <c r="I12" s="88"/>
      <c r="J12" s="78" t="s">
        <v>3948</v>
      </c>
      <c r="K12" s="86">
        <v>45995</v>
      </c>
      <c r="N12" s="78" t="s">
        <v>1223</v>
      </c>
      <c r="O12" s="5"/>
      <c r="Q12" s="36" t="str">
        <f>HYPERLINK("#'Action Master'!A1","Action Master")</f>
        <v>Action Master</v>
      </c>
      <c r="R12" s="78" t="s">
        <v>3949</v>
      </c>
    </row>
    <row r="13" spans="1:22" ht="31.5">
      <c r="A13" s="40">
        <v>12</v>
      </c>
      <c r="B13" s="85" t="s">
        <v>22</v>
      </c>
      <c r="C13" s="85" t="s">
        <v>6095</v>
      </c>
      <c r="D13" s="85">
        <v>16</v>
      </c>
      <c r="E13" s="85">
        <v>10</v>
      </c>
      <c r="F13" s="85">
        <v>6</v>
      </c>
      <c r="G13" s="85"/>
      <c r="H13" s="85">
        <v>6</v>
      </c>
      <c r="I13" s="88"/>
      <c r="J13" s="78" t="s">
        <v>3948</v>
      </c>
      <c r="K13" s="86">
        <v>46000</v>
      </c>
      <c r="N13" s="78" t="s">
        <v>1223</v>
      </c>
      <c r="O13" s="5"/>
      <c r="Q13" s="36" t="str">
        <f>HYPERLINK("#'Period Master'!A1","Period Master")</f>
        <v>Period Master</v>
      </c>
      <c r="R13" s="78" t="s">
        <v>3949</v>
      </c>
    </row>
    <row r="14" spans="1:22" ht="31.5">
      <c r="A14" s="79">
        <v>13</v>
      </c>
      <c r="B14" s="80" t="s">
        <v>22</v>
      </c>
      <c r="C14" s="80" t="s">
        <v>1867</v>
      </c>
      <c r="D14" s="80">
        <v>18</v>
      </c>
      <c r="E14" s="80">
        <v>12</v>
      </c>
      <c r="F14" s="80">
        <v>6</v>
      </c>
      <c r="G14" s="80"/>
      <c r="H14" s="80">
        <v>6</v>
      </c>
      <c r="I14" s="80">
        <v>6</v>
      </c>
      <c r="J14" s="82" t="s">
        <v>3948</v>
      </c>
      <c r="K14" s="82">
        <v>46000</v>
      </c>
      <c r="L14" s="82">
        <v>46079</v>
      </c>
      <c r="M14" s="82" t="s">
        <v>3159</v>
      </c>
      <c r="N14" s="82" t="s">
        <v>4171</v>
      </c>
      <c r="O14" s="95"/>
      <c r="P14" s="84"/>
      <c r="Q14" s="70" t="str">
        <f>HYPERLINK("#'Cost Center Master'!A1","Cost Center Master")</f>
        <v>Cost Center Master</v>
      </c>
      <c r="R14" s="82" t="s">
        <v>3949</v>
      </c>
      <c r="S14" s="84"/>
      <c r="T14" s="5" t="s">
        <v>4762</v>
      </c>
      <c r="U14" s="15" t="s">
        <v>5672</v>
      </c>
    </row>
    <row r="15" spans="1:22" ht="31.5">
      <c r="A15" s="79">
        <v>14</v>
      </c>
      <c r="B15" s="80" t="s">
        <v>22</v>
      </c>
      <c r="C15" s="80" t="s">
        <v>6096</v>
      </c>
      <c r="D15" s="80">
        <v>18</v>
      </c>
      <c r="E15" s="80">
        <v>12</v>
      </c>
      <c r="F15" s="80">
        <v>6</v>
      </c>
      <c r="G15" s="80"/>
      <c r="H15" s="80">
        <v>6</v>
      </c>
      <c r="I15" s="80">
        <v>6</v>
      </c>
      <c r="J15" s="82" t="s">
        <v>3948</v>
      </c>
      <c r="K15" s="82">
        <v>46001</v>
      </c>
      <c r="L15" s="82">
        <v>46079</v>
      </c>
      <c r="M15" s="82" t="s">
        <v>3159</v>
      </c>
      <c r="N15" s="82" t="s">
        <v>4171</v>
      </c>
      <c r="O15" s="95"/>
      <c r="P15" s="84"/>
      <c r="Q15" s="70" t="str">
        <f>HYPERLINK("#'IMO Master'!A1","IMO Master")</f>
        <v>IMO Master</v>
      </c>
      <c r="R15" s="82" t="s">
        <v>3949</v>
      </c>
      <c r="S15" s="84"/>
      <c r="T15" s="5" t="s">
        <v>4762</v>
      </c>
      <c r="U15" s="91" t="s">
        <v>5669</v>
      </c>
    </row>
    <row r="16" spans="1:22" ht="31.5">
      <c r="A16" s="81">
        <v>15</v>
      </c>
      <c r="B16" s="80" t="s">
        <v>22</v>
      </c>
      <c r="C16" s="80" t="s">
        <v>6097</v>
      </c>
      <c r="D16" s="80">
        <v>15</v>
      </c>
      <c r="E16" s="80">
        <v>9</v>
      </c>
      <c r="F16" s="80">
        <v>6</v>
      </c>
      <c r="G16" s="80"/>
      <c r="H16" s="80">
        <v>6</v>
      </c>
      <c r="I16" s="80">
        <v>6</v>
      </c>
      <c r="J16" s="82" t="s">
        <v>3948</v>
      </c>
      <c r="K16" s="82">
        <v>46001</v>
      </c>
      <c r="L16" s="82">
        <v>46055</v>
      </c>
      <c r="M16" s="82" t="s">
        <v>3159</v>
      </c>
      <c r="N16" s="82" t="s">
        <v>4171</v>
      </c>
      <c r="O16" s="95"/>
      <c r="P16" s="84"/>
      <c r="Q16" s="70" t="str">
        <f>HYPERLINK("#'Unit Master'!A1","Unit Master")</f>
        <v>Unit Master</v>
      </c>
      <c r="R16" s="82" t="s">
        <v>3949</v>
      </c>
      <c r="S16" s="84"/>
      <c r="T16" s="5" t="s">
        <v>4572</v>
      </c>
      <c r="U16" s="5"/>
    </row>
    <row r="17" spans="1:21" ht="31.5">
      <c r="A17" s="79">
        <v>16</v>
      </c>
      <c r="B17" s="80" t="s">
        <v>22</v>
      </c>
      <c r="C17" s="80" t="s">
        <v>6098</v>
      </c>
      <c r="D17" s="80">
        <v>23</v>
      </c>
      <c r="E17" s="80">
        <v>17</v>
      </c>
      <c r="F17" s="80">
        <v>6</v>
      </c>
      <c r="G17" s="80"/>
      <c r="H17" s="80">
        <v>6</v>
      </c>
      <c r="I17" s="80">
        <v>6</v>
      </c>
      <c r="J17" s="82" t="s">
        <v>3948</v>
      </c>
      <c r="K17" s="82">
        <v>46002</v>
      </c>
      <c r="L17" s="82">
        <v>46063</v>
      </c>
      <c r="M17" s="82" t="s">
        <v>3159</v>
      </c>
      <c r="N17" s="82" t="s">
        <v>4171</v>
      </c>
      <c r="O17" s="95"/>
      <c r="P17" s="84"/>
      <c r="Q17" s="70" t="str">
        <f>HYPERLINK("#'CHA Service'!A1","CHA Service")</f>
        <v>CHA Service</v>
      </c>
      <c r="R17" s="82" t="s">
        <v>3949</v>
      </c>
      <c r="S17" s="84"/>
      <c r="T17" s="5" t="s">
        <v>4762</v>
      </c>
    </row>
    <row r="18" spans="1:21" ht="31.5">
      <c r="A18" s="40">
        <v>17</v>
      </c>
      <c r="B18" s="76" t="s">
        <v>22</v>
      </c>
      <c r="C18" s="87" t="s">
        <v>5051</v>
      </c>
      <c r="D18" s="87">
        <v>60</v>
      </c>
      <c r="E18" s="76">
        <v>42</v>
      </c>
      <c r="F18" s="87">
        <v>13</v>
      </c>
      <c r="G18" s="87">
        <v>5</v>
      </c>
      <c r="H18" s="76">
        <v>13</v>
      </c>
      <c r="I18" s="1"/>
      <c r="J18" s="78" t="s">
        <v>3948</v>
      </c>
      <c r="K18" s="78">
        <v>46003</v>
      </c>
      <c r="L18" s="44"/>
      <c r="M18" s="44"/>
      <c r="N18" s="78" t="s">
        <v>1223</v>
      </c>
      <c r="O18" s="5"/>
      <c r="P18" s="44"/>
      <c r="Q18" s="36" t="str">
        <f>HYPERLINK("#'Pricing'!A1","Pricing")</f>
        <v>Pricing</v>
      </c>
      <c r="R18" s="78" t="s">
        <v>3949</v>
      </c>
      <c r="S18" s="44"/>
    </row>
    <row r="19" spans="1:21" s="138" customFormat="1" ht="41.25" customHeight="1">
      <c r="A19" s="40">
        <v>18</v>
      </c>
      <c r="B19" s="134" t="s">
        <v>22</v>
      </c>
      <c r="C19" s="135" t="s">
        <v>4761</v>
      </c>
      <c r="D19" s="136">
        <v>59</v>
      </c>
      <c r="E19" s="134">
        <v>33</v>
      </c>
      <c r="F19" s="136">
        <v>20</v>
      </c>
      <c r="G19" s="136">
        <v>6</v>
      </c>
      <c r="H19" s="134">
        <v>20</v>
      </c>
      <c r="I19" s="40"/>
      <c r="J19" s="137" t="s">
        <v>3948</v>
      </c>
      <c r="K19" s="137">
        <v>46007</v>
      </c>
      <c r="N19" s="137" t="s">
        <v>1223</v>
      </c>
      <c r="O19" s="89"/>
      <c r="Q19" s="43" t="str">
        <f>HYPERLINK("#'Sea Charge Master'!A1","Sea Charge Master")</f>
        <v>Sea Charge Master</v>
      </c>
      <c r="R19" s="137" t="s">
        <v>3949</v>
      </c>
      <c r="S19" s="137"/>
      <c r="U19" s="89"/>
    </row>
    <row r="20" spans="1:21" ht="31.5">
      <c r="A20" s="79">
        <v>19</v>
      </c>
      <c r="B20" s="80" t="s">
        <v>22</v>
      </c>
      <c r="C20" s="80" t="s">
        <v>4576</v>
      </c>
      <c r="D20" s="80">
        <v>30</v>
      </c>
      <c r="E20" s="80">
        <v>23</v>
      </c>
      <c r="F20" s="80">
        <v>7</v>
      </c>
      <c r="G20" s="80"/>
      <c r="H20" s="80">
        <v>7</v>
      </c>
      <c r="I20" s="80">
        <v>7</v>
      </c>
      <c r="J20" s="82" t="s">
        <v>3948</v>
      </c>
      <c r="K20" s="82">
        <v>46011</v>
      </c>
      <c r="L20" s="82">
        <v>46079</v>
      </c>
      <c r="M20" s="82" t="s">
        <v>3159</v>
      </c>
      <c r="N20" s="82" t="s">
        <v>4171</v>
      </c>
      <c r="O20" s="140"/>
      <c r="P20" s="84"/>
      <c r="Q20" s="70" t="str">
        <f>HYPERLINK("#'Segment Master'!A1","Segment Master")</f>
        <v>Segment Master</v>
      </c>
      <c r="R20" s="82" t="s">
        <v>3949</v>
      </c>
      <c r="S20" s="84"/>
      <c r="T20" s="5" t="s">
        <v>4762</v>
      </c>
    </row>
    <row r="21" spans="1:21" ht="31.5">
      <c r="A21" s="79">
        <v>20</v>
      </c>
      <c r="B21" s="80" t="s">
        <v>22</v>
      </c>
      <c r="C21" s="80" t="s">
        <v>6084</v>
      </c>
      <c r="D21" s="80">
        <v>25</v>
      </c>
      <c r="E21" s="80">
        <v>17</v>
      </c>
      <c r="F21" s="80">
        <v>8</v>
      </c>
      <c r="G21" s="80"/>
      <c r="H21" s="80">
        <v>8</v>
      </c>
      <c r="I21" s="80">
        <v>8</v>
      </c>
      <c r="J21" s="82" t="s">
        <v>3948</v>
      </c>
      <c r="K21" s="82">
        <v>46011</v>
      </c>
      <c r="L21" s="82">
        <v>46079</v>
      </c>
      <c r="M21" s="82" t="s">
        <v>3159</v>
      </c>
      <c r="N21" s="82" t="s">
        <v>4171</v>
      </c>
      <c r="O21" s="95"/>
      <c r="P21" s="84"/>
      <c r="Q21" s="70" t="str">
        <f>HYPERLINK("#'Trigger Master'!A1","Trigger Master")</f>
        <v>Trigger Master</v>
      </c>
      <c r="R21" s="82" t="s">
        <v>3949</v>
      </c>
      <c r="S21" s="84"/>
      <c r="T21" s="5" t="s">
        <v>4762</v>
      </c>
    </row>
    <row r="22" spans="1:21" ht="31.5">
      <c r="A22" s="79">
        <v>21</v>
      </c>
      <c r="B22" s="80" t="s">
        <v>22</v>
      </c>
      <c r="C22" s="80" t="s">
        <v>3429</v>
      </c>
      <c r="D22" s="80">
        <v>15</v>
      </c>
      <c r="E22" s="80">
        <v>10</v>
      </c>
      <c r="F22" s="80">
        <v>5</v>
      </c>
      <c r="G22" s="80"/>
      <c r="H22" s="80">
        <v>5</v>
      </c>
      <c r="I22" s="80">
        <v>5</v>
      </c>
      <c r="J22" s="82" t="s">
        <v>3948</v>
      </c>
      <c r="K22" s="82">
        <v>46013</v>
      </c>
      <c r="L22" s="82">
        <v>46090</v>
      </c>
      <c r="M22" s="82" t="s">
        <v>3159</v>
      </c>
      <c r="N22" s="82" t="s">
        <v>4171</v>
      </c>
      <c r="O22" s="95"/>
      <c r="P22" s="84"/>
      <c r="Q22" s="70" t="str">
        <f>HYPERLINK("#'Principle Line HBL Master'!A1","Principle Line HBL Master")</f>
        <v>Principle Line HBL Master</v>
      </c>
      <c r="R22" s="82" t="s">
        <v>3949</v>
      </c>
      <c r="S22" s="84"/>
      <c r="T22" s="5" t="s">
        <v>4762</v>
      </c>
    </row>
    <row r="23" spans="1:21" ht="31.5">
      <c r="A23" s="79">
        <v>22</v>
      </c>
      <c r="B23" s="80" t="s">
        <v>22</v>
      </c>
      <c r="C23" s="80" t="s">
        <v>6099</v>
      </c>
      <c r="D23" s="80">
        <v>19</v>
      </c>
      <c r="E23" s="80">
        <v>13</v>
      </c>
      <c r="F23" s="80">
        <v>6</v>
      </c>
      <c r="G23" s="80"/>
      <c r="H23" s="80">
        <v>6</v>
      </c>
      <c r="I23" s="80">
        <v>6</v>
      </c>
      <c r="J23" s="82" t="s">
        <v>3948</v>
      </c>
      <c r="K23" s="82">
        <v>46014</v>
      </c>
      <c r="L23" s="82">
        <v>46090</v>
      </c>
      <c r="M23" s="82" t="s">
        <v>3159</v>
      </c>
      <c r="N23" s="82" t="s">
        <v>4171</v>
      </c>
      <c r="O23" s="95"/>
      <c r="P23" s="84"/>
      <c r="Q23" s="70" t="str">
        <f>HYPERLINK("#'Project Type Master'!A1","Project Type Master")</f>
        <v>Project Type Master</v>
      </c>
      <c r="R23" s="82" t="s">
        <v>3949</v>
      </c>
      <c r="S23" s="84"/>
      <c r="T23" s="5" t="s">
        <v>4762</v>
      </c>
    </row>
    <row r="24" spans="1:21" ht="31.5">
      <c r="A24" s="79">
        <v>23</v>
      </c>
      <c r="B24" s="80" t="s">
        <v>22</v>
      </c>
      <c r="C24" s="80" t="s">
        <v>3430</v>
      </c>
      <c r="D24" s="80">
        <v>23</v>
      </c>
      <c r="E24" s="80">
        <v>17</v>
      </c>
      <c r="F24" s="80">
        <v>6</v>
      </c>
      <c r="G24" s="80"/>
      <c r="H24" s="80">
        <v>6</v>
      </c>
      <c r="I24" s="80">
        <v>6</v>
      </c>
      <c r="J24" s="82" t="s">
        <v>3948</v>
      </c>
      <c r="K24" s="82">
        <v>46014</v>
      </c>
      <c r="L24" s="82">
        <v>46090</v>
      </c>
      <c r="M24" s="82" t="s">
        <v>3159</v>
      </c>
      <c r="N24" s="82" t="s">
        <v>4171</v>
      </c>
      <c r="O24" s="95"/>
      <c r="P24" s="84"/>
      <c r="Q24" s="70" t="str">
        <f>HYPERLINK("#'Notes Master'!A1","Notes Master")</f>
        <v>Notes Master</v>
      </c>
      <c r="R24" s="82" t="s">
        <v>3949</v>
      </c>
      <c r="S24" s="84"/>
      <c r="T24" s="5" t="s">
        <v>4762</v>
      </c>
    </row>
    <row r="25" spans="1:21" ht="31.5">
      <c r="A25" s="79">
        <v>24</v>
      </c>
      <c r="B25" s="80" t="s">
        <v>22</v>
      </c>
      <c r="C25" s="80" t="s">
        <v>6100</v>
      </c>
      <c r="D25" s="80">
        <v>19</v>
      </c>
      <c r="E25" s="80">
        <v>13</v>
      </c>
      <c r="F25" s="80">
        <v>6</v>
      </c>
      <c r="G25" s="80"/>
      <c r="H25" s="80">
        <v>6</v>
      </c>
      <c r="I25" s="80">
        <v>6</v>
      </c>
      <c r="J25" s="82" t="s">
        <v>3948</v>
      </c>
      <c r="K25" s="82">
        <v>46015</v>
      </c>
      <c r="L25" s="82">
        <v>46090</v>
      </c>
      <c r="M25" s="82" t="s">
        <v>3159</v>
      </c>
      <c r="N25" s="82" t="s">
        <v>4171</v>
      </c>
      <c r="O25" s="95"/>
      <c r="P25" s="84"/>
      <c r="Q25" s="70" t="str">
        <f>HYPERLINK("#'Vessel'!A1","Vessel")</f>
        <v>Vessel</v>
      </c>
      <c r="R25" s="82" t="s">
        <v>3949</v>
      </c>
      <c r="S25" s="84"/>
      <c r="T25" s="5" t="s">
        <v>5840</v>
      </c>
    </row>
    <row r="26" spans="1:21" ht="31.5">
      <c r="A26" s="40">
        <v>25</v>
      </c>
      <c r="B26" s="76" t="s">
        <v>22</v>
      </c>
      <c r="C26" s="87" t="s">
        <v>6101</v>
      </c>
      <c r="D26" s="85">
        <v>76</v>
      </c>
      <c r="E26" s="76">
        <v>49</v>
      </c>
      <c r="F26" s="85">
        <v>27</v>
      </c>
      <c r="G26" s="85"/>
      <c r="H26" s="87">
        <v>18</v>
      </c>
      <c r="I26" s="40"/>
      <c r="J26" s="78" t="s">
        <v>3948</v>
      </c>
      <c r="K26" s="78">
        <v>46017</v>
      </c>
      <c r="N26" s="78" t="s">
        <v>1223</v>
      </c>
      <c r="O26" s="1"/>
      <c r="Q26" s="36" t="str">
        <f>HYPERLINK("#'Schedule'!A1","Schedule")</f>
        <v>Schedule</v>
      </c>
      <c r="R26" s="78" t="s">
        <v>3949</v>
      </c>
    </row>
    <row r="27" spans="1:21" ht="31.5">
      <c r="A27" s="40">
        <v>26</v>
      </c>
      <c r="B27" s="76" t="s">
        <v>22</v>
      </c>
      <c r="C27" s="87" t="s">
        <v>3905</v>
      </c>
      <c r="D27" s="85">
        <v>20</v>
      </c>
      <c r="E27" s="76">
        <v>12</v>
      </c>
      <c r="F27" s="85">
        <v>8</v>
      </c>
      <c r="G27" s="85"/>
      <c r="H27" s="87">
        <v>8</v>
      </c>
      <c r="J27" s="78" t="s">
        <v>3948</v>
      </c>
      <c r="K27" s="78">
        <v>46023</v>
      </c>
      <c r="N27" s="78" t="s">
        <v>1223</v>
      </c>
      <c r="O27" s="1"/>
      <c r="Q27" s="36" t="str">
        <f>HYPERLINK("#'Shipment Status'!A1","Shipment Status")</f>
        <v>Shipment Status</v>
      </c>
      <c r="R27" s="78" t="s">
        <v>3949</v>
      </c>
    </row>
    <row r="28" spans="1:21" ht="31.5">
      <c r="A28" s="40">
        <v>27</v>
      </c>
      <c r="B28" s="76" t="s">
        <v>22</v>
      </c>
      <c r="C28" s="87" t="s">
        <v>4037</v>
      </c>
      <c r="D28" s="85">
        <v>16</v>
      </c>
      <c r="E28" s="76">
        <v>11</v>
      </c>
      <c r="F28" s="85">
        <v>5</v>
      </c>
      <c r="G28" s="85"/>
      <c r="H28" s="87">
        <v>5</v>
      </c>
      <c r="J28" s="78" t="s">
        <v>3948</v>
      </c>
      <c r="K28" s="78">
        <v>46027</v>
      </c>
      <c r="N28" s="78" t="s">
        <v>1223</v>
      </c>
      <c r="Q28" s="36" t="str">
        <f>HYPERLINK("#'Destuffing'!A1","Destuffing")</f>
        <v>Destuffing</v>
      </c>
      <c r="R28" s="78" t="s">
        <v>3949</v>
      </c>
    </row>
    <row r="29" spans="1:21" ht="31.5">
      <c r="A29" s="40">
        <v>28</v>
      </c>
      <c r="B29" s="76" t="s">
        <v>22</v>
      </c>
      <c r="C29" s="87" t="s">
        <v>4763</v>
      </c>
      <c r="D29" s="85">
        <v>15</v>
      </c>
      <c r="E29" s="76">
        <v>14</v>
      </c>
      <c r="F29" s="85">
        <v>1</v>
      </c>
      <c r="H29" s="87">
        <v>1</v>
      </c>
      <c r="J29" s="78" t="s">
        <v>3948</v>
      </c>
      <c r="K29" s="78">
        <v>46027</v>
      </c>
      <c r="N29" s="78" t="s">
        <v>1223</v>
      </c>
      <c r="Q29" s="36" t="str">
        <f>HYPERLINK("#'Document'!A1","Document")</f>
        <v>Document</v>
      </c>
      <c r="R29" s="78" t="s">
        <v>3949</v>
      </c>
    </row>
    <row r="30" spans="1:21" ht="31.5">
      <c r="A30" s="40">
        <v>29</v>
      </c>
      <c r="B30" s="76" t="s">
        <v>22</v>
      </c>
      <c r="C30" s="87" t="s">
        <v>4764</v>
      </c>
      <c r="D30" s="85">
        <v>21</v>
      </c>
      <c r="E30" s="76">
        <v>10</v>
      </c>
      <c r="F30" s="85">
        <v>11</v>
      </c>
      <c r="H30" s="87">
        <v>11</v>
      </c>
      <c r="J30" s="78" t="s">
        <v>3948</v>
      </c>
      <c r="K30" s="78">
        <v>46028</v>
      </c>
      <c r="Q30" s="36" t="str">
        <f>HYPERLINK("#'Container'!A1","Container")</f>
        <v>Container</v>
      </c>
      <c r="R30" s="78" t="s">
        <v>3949</v>
      </c>
    </row>
    <row r="31" spans="1:21" ht="31.5">
      <c r="A31" s="79">
        <v>30</v>
      </c>
      <c r="B31" s="80" t="s">
        <v>22</v>
      </c>
      <c r="C31" s="80" t="s">
        <v>4765</v>
      </c>
      <c r="D31" s="80">
        <v>16</v>
      </c>
      <c r="E31" s="80">
        <v>7</v>
      </c>
      <c r="F31" s="80">
        <v>9</v>
      </c>
      <c r="G31" s="84"/>
      <c r="H31" s="80">
        <v>9</v>
      </c>
      <c r="I31" s="80">
        <v>9</v>
      </c>
      <c r="J31" s="82" t="s">
        <v>3948</v>
      </c>
      <c r="K31" s="82">
        <v>46030</v>
      </c>
      <c r="L31" s="82">
        <v>46063</v>
      </c>
      <c r="M31" s="84"/>
      <c r="N31" s="82" t="s">
        <v>4171</v>
      </c>
      <c r="O31" s="140"/>
      <c r="P31" s="84"/>
      <c r="Q31" s="70" t="str">
        <f>HYPERLINK("#'Stuffing Master'!A1","Stuffing Master")</f>
        <v>Stuffing Master</v>
      </c>
      <c r="R31" s="82" t="s">
        <v>3949</v>
      </c>
      <c r="S31" s="84"/>
      <c r="T31" s="5" t="s">
        <v>5840</v>
      </c>
    </row>
    <row r="32" spans="1:21" ht="31.5">
      <c r="A32" s="40">
        <v>31</v>
      </c>
      <c r="B32" s="76" t="s">
        <v>22</v>
      </c>
      <c r="C32" s="87" t="s">
        <v>4766</v>
      </c>
      <c r="D32" s="85">
        <v>13</v>
      </c>
      <c r="E32" s="76">
        <v>10</v>
      </c>
      <c r="F32" s="85">
        <v>3</v>
      </c>
      <c r="H32" s="87">
        <v>3</v>
      </c>
      <c r="J32" s="78" t="s">
        <v>3948</v>
      </c>
      <c r="K32" s="78">
        <v>46029</v>
      </c>
      <c r="N32" s="78" t="s">
        <v>1223</v>
      </c>
      <c r="Q32" s="36" t="str">
        <f>HYPERLINK("#'Daily Currency Rate'!A1","Daily Currency Rate")</f>
        <v>Daily Currency Rate</v>
      </c>
      <c r="R32" s="78" t="s">
        <v>3949</v>
      </c>
    </row>
    <row r="33" spans="1:19" ht="31.5">
      <c r="A33" s="40">
        <v>32</v>
      </c>
      <c r="B33" s="76" t="s">
        <v>22</v>
      </c>
      <c r="C33" s="87" t="s">
        <v>4767</v>
      </c>
      <c r="D33" s="85">
        <v>18</v>
      </c>
      <c r="E33" s="76">
        <v>11</v>
      </c>
      <c r="F33" s="85">
        <v>7</v>
      </c>
      <c r="H33" s="87">
        <v>7</v>
      </c>
      <c r="J33" s="78" t="s">
        <v>3948</v>
      </c>
      <c r="K33" s="78">
        <v>46030</v>
      </c>
      <c r="N33" s="78" t="s">
        <v>1223</v>
      </c>
      <c r="Q33" s="36" t="str">
        <f>HYPERLINK("#'Container Yard Master'!A1","Container Yard Master")</f>
        <v>Container Yard Master</v>
      </c>
      <c r="R33" s="78" t="s">
        <v>3949</v>
      </c>
    </row>
    <row r="34" spans="1:19" ht="31.5">
      <c r="A34" s="40">
        <v>33</v>
      </c>
      <c r="B34" s="76" t="s">
        <v>22</v>
      </c>
      <c r="C34" s="87" t="s">
        <v>4768</v>
      </c>
      <c r="D34" s="85">
        <v>38</v>
      </c>
      <c r="E34" s="76">
        <v>15</v>
      </c>
      <c r="F34" s="85">
        <v>20</v>
      </c>
      <c r="G34" s="85">
        <v>3</v>
      </c>
      <c r="H34" s="85">
        <v>7</v>
      </c>
      <c r="J34" s="78" t="s">
        <v>3948</v>
      </c>
      <c r="K34" s="78">
        <v>46036</v>
      </c>
      <c r="N34" s="78" t="s">
        <v>1223</v>
      </c>
      <c r="Q34" s="36" t="str">
        <f>HYPERLINK("#'Create Branch'!A1","Create Branch")</f>
        <v>Create Branch</v>
      </c>
      <c r="R34" s="78" t="s">
        <v>3949</v>
      </c>
    </row>
    <row r="35" spans="1:19" ht="31.5">
      <c r="A35" s="40">
        <v>34</v>
      </c>
      <c r="B35" s="76" t="s">
        <v>22</v>
      </c>
      <c r="C35" s="87" t="s">
        <v>6145</v>
      </c>
      <c r="D35" s="85">
        <v>14</v>
      </c>
      <c r="E35" s="76">
        <v>6</v>
      </c>
      <c r="F35" s="85">
        <v>8</v>
      </c>
      <c r="H35" s="87">
        <v>8</v>
      </c>
      <c r="J35" s="78" t="s">
        <v>3948</v>
      </c>
      <c r="K35" s="78">
        <v>46080</v>
      </c>
      <c r="N35" s="78" t="s">
        <v>1223</v>
      </c>
      <c r="Q35" s="36" t="str">
        <f>HYPERLINK("#'Shipment Plan Master'!A1","Shipment Plan Master")</f>
        <v>Shipment Plan Master</v>
      </c>
      <c r="R35" s="78" t="s">
        <v>3949</v>
      </c>
    </row>
    <row r="36" spans="1:19" ht="31.5">
      <c r="A36" s="40">
        <v>35</v>
      </c>
      <c r="B36" s="85" t="s">
        <v>22</v>
      </c>
      <c r="C36" s="85" t="s">
        <v>4885</v>
      </c>
      <c r="D36" s="85">
        <v>15</v>
      </c>
      <c r="E36" s="85"/>
      <c r="F36" s="85"/>
      <c r="G36" s="85"/>
      <c r="H36" s="85"/>
      <c r="I36" s="85"/>
      <c r="J36" s="86" t="s">
        <v>3948</v>
      </c>
      <c r="K36" s="86">
        <v>46052</v>
      </c>
      <c r="L36" s="58"/>
      <c r="M36" s="58"/>
      <c r="N36" s="86" t="s">
        <v>1223</v>
      </c>
      <c r="O36" s="16"/>
      <c r="P36" s="139"/>
      <c r="Q36" s="66" t="str">
        <f>HYPERLINK("#'CHA Port Master'!A1","CHA Port Master")</f>
        <v>CHA Port Master</v>
      </c>
      <c r="R36" s="86" t="s">
        <v>3949</v>
      </c>
      <c r="S36" s="58"/>
    </row>
    <row r="37" spans="1:19" ht="31.5">
      <c r="A37" s="40">
        <v>36</v>
      </c>
      <c r="B37" s="85" t="s">
        <v>22</v>
      </c>
      <c r="C37" s="85" t="s">
        <v>4976</v>
      </c>
      <c r="D37" s="85">
        <v>15</v>
      </c>
      <c r="E37" s="85"/>
      <c r="F37" s="85"/>
      <c r="G37" s="85"/>
      <c r="H37" s="85"/>
      <c r="I37" s="85"/>
      <c r="J37" s="86" t="s">
        <v>3948</v>
      </c>
      <c r="K37" s="86">
        <v>46053</v>
      </c>
      <c r="L37" s="58"/>
      <c r="M37" s="58"/>
      <c r="N37" s="86" t="s">
        <v>1223</v>
      </c>
      <c r="O37" s="16"/>
      <c r="P37" s="139"/>
      <c r="Q37" s="66" t="str">
        <f>HYPERLINK("#'Transporter Master'!A1","Transporter Master")</f>
        <v>Transporter Master</v>
      </c>
      <c r="R37" s="86" t="s">
        <v>3949</v>
      </c>
      <c r="S37" s="58"/>
    </row>
    <row r="38" spans="1:19" ht="31.5">
      <c r="A38" s="40">
        <v>37</v>
      </c>
      <c r="B38" s="85" t="s">
        <v>22</v>
      </c>
      <c r="C38" s="85" t="s">
        <v>5054</v>
      </c>
      <c r="D38" s="85">
        <v>25</v>
      </c>
      <c r="E38" s="85"/>
      <c r="F38" s="85"/>
      <c r="G38" s="85"/>
      <c r="H38" s="85"/>
      <c r="I38" s="85"/>
      <c r="J38" s="86" t="s">
        <v>3948</v>
      </c>
      <c r="K38" s="86">
        <v>46055</v>
      </c>
      <c r="L38" s="58"/>
      <c r="M38" s="58"/>
      <c r="N38" s="86" t="s">
        <v>1223</v>
      </c>
      <c r="O38" s="16"/>
      <c r="P38" s="139"/>
      <c r="Q38" s="66" t="str">
        <f>HYPERLINK("#'Drawback Schedule'!A1","Drawback Schedule")</f>
        <v>Drawback Schedule</v>
      </c>
      <c r="R38" s="86" t="s">
        <v>3949</v>
      </c>
      <c r="S38" s="58"/>
    </row>
    <row r="39" spans="1:19" ht="31.5">
      <c r="A39" s="40">
        <v>38</v>
      </c>
      <c r="B39" s="85" t="s">
        <v>22</v>
      </c>
      <c r="C39" s="85" t="s">
        <v>5194</v>
      </c>
      <c r="D39" s="85">
        <v>14</v>
      </c>
      <c r="E39" s="85"/>
      <c r="F39" s="85"/>
      <c r="G39" s="85"/>
      <c r="H39" s="85"/>
      <c r="I39" s="85"/>
      <c r="J39" s="86" t="s">
        <v>3948</v>
      </c>
      <c r="K39" s="86">
        <v>46057</v>
      </c>
      <c r="L39" s="58"/>
      <c r="M39" s="58"/>
      <c r="N39" s="86" t="s">
        <v>1223</v>
      </c>
      <c r="O39" s="16"/>
      <c r="P39" s="139"/>
      <c r="Q39" s="66" t="str">
        <f>HYPERLINK("#'EDI-Country'!A1","EDI-Country")</f>
        <v>EDI-Country</v>
      </c>
      <c r="R39" s="86" t="s">
        <v>3949</v>
      </c>
      <c r="S39" s="58"/>
    </row>
    <row r="40" spans="1:19" ht="31.5">
      <c r="A40" s="40">
        <v>39</v>
      </c>
      <c r="B40" s="85" t="s">
        <v>22</v>
      </c>
      <c r="C40" s="85" t="s">
        <v>5257</v>
      </c>
      <c r="D40" s="85">
        <v>5</v>
      </c>
      <c r="E40" s="85"/>
      <c r="F40" s="85"/>
      <c r="G40" s="85"/>
      <c r="H40" s="85"/>
      <c r="I40" s="85"/>
      <c r="J40" s="86" t="s">
        <v>3948</v>
      </c>
      <c r="K40" s="86">
        <v>46057</v>
      </c>
      <c r="L40" s="58"/>
      <c r="M40" s="58"/>
      <c r="N40" s="86" t="s">
        <v>1223</v>
      </c>
      <c r="O40" s="16"/>
      <c r="P40" s="139"/>
      <c r="Q40" s="66" t="str">
        <f>HYPERLINK("#'Licence Master New'!A1","Licence Master New")</f>
        <v>Licence Master New</v>
      </c>
      <c r="R40" s="86" t="s">
        <v>3949</v>
      </c>
      <c r="S40" s="58"/>
    </row>
    <row r="41" spans="1:19" ht="31.5">
      <c r="A41" s="40">
        <v>40</v>
      </c>
      <c r="B41" s="85" t="s">
        <v>22</v>
      </c>
      <c r="C41" s="85" t="s">
        <v>5365</v>
      </c>
      <c r="D41" s="85">
        <v>17</v>
      </c>
      <c r="E41" s="85"/>
      <c r="F41" s="85"/>
      <c r="G41" s="85"/>
      <c r="H41" s="85"/>
      <c r="I41" s="85"/>
      <c r="J41" s="86" t="s">
        <v>3948</v>
      </c>
      <c r="K41" s="86">
        <v>46058</v>
      </c>
      <c r="L41" s="58"/>
      <c r="M41" s="58"/>
      <c r="N41" s="86" t="s">
        <v>1223</v>
      </c>
      <c r="O41" s="16"/>
      <c r="P41" s="139"/>
      <c r="Q41" s="66" t="str">
        <f>HYPERLINK("#'eSanchit Code'!A1","eSanchit Code")</f>
        <v>eSanchit Code</v>
      </c>
      <c r="R41" s="86" t="s">
        <v>3949</v>
      </c>
      <c r="S41" s="58"/>
    </row>
    <row r="42" spans="1:19" ht="31.5">
      <c r="A42" s="40">
        <v>41</v>
      </c>
      <c r="B42" s="85" t="s">
        <v>22</v>
      </c>
      <c r="C42" s="85" t="s">
        <v>5384</v>
      </c>
      <c r="D42" s="85">
        <v>25</v>
      </c>
      <c r="E42" s="85"/>
      <c r="F42" s="85"/>
      <c r="G42" s="85"/>
      <c r="H42" s="85"/>
      <c r="I42" s="85"/>
      <c r="J42" s="86" t="s">
        <v>3948</v>
      </c>
      <c r="K42" s="86">
        <v>46059</v>
      </c>
      <c r="L42" s="58"/>
      <c r="M42" s="58"/>
      <c r="N42" s="86" t="s">
        <v>1223</v>
      </c>
      <c r="O42" s="16"/>
      <c r="P42" s="139"/>
      <c r="Q42" s="66" t="str">
        <f>HYPERLINK("#'CESS Schedule Master'!A1","CESS Schedule Master")</f>
        <v>CESS Schedule Master</v>
      </c>
      <c r="R42" s="86" t="s">
        <v>3949</v>
      </c>
      <c r="S42" s="58"/>
    </row>
    <row r="43" spans="1:19" ht="31.5">
      <c r="A43" s="40">
        <v>42</v>
      </c>
      <c r="B43" s="85" t="s">
        <v>22</v>
      </c>
      <c r="C43" s="85" t="s">
        <v>5482</v>
      </c>
      <c r="D43" s="85">
        <v>19</v>
      </c>
      <c r="E43" s="85"/>
      <c r="F43" s="85"/>
      <c r="G43" s="85"/>
      <c r="H43" s="85"/>
      <c r="I43" s="85"/>
      <c r="J43" s="86" t="s">
        <v>3948</v>
      </c>
      <c r="K43" s="86">
        <v>46060</v>
      </c>
      <c r="L43" s="58"/>
      <c r="M43" s="58"/>
      <c r="N43" s="86" t="s">
        <v>1223</v>
      </c>
      <c r="O43" s="16"/>
      <c r="P43" s="139"/>
      <c r="Q43" s="66" t="str">
        <f>HYPERLINK("#'Rodtep Master'!A1","Rodtep Master")</f>
        <v>Rodtep Master</v>
      </c>
      <c r="R43" s="86" t="s">
        <v>3949</v>
      </c>
      <c r="S43" s="58"/>
    </row>
    <row r="44" spans="1:19" ht="31.5">
      <c r="A44" s="40">
        <v>43</v>
      </c>
      <c r="B44" s="85" t="s">
        <v>22</v>
      </c>
      <c r="C44" s="85" t="s">
        <v>5560</v>
      </c>
      <c r="D44" s="85">
        <v>20</v>
      </c>
      <c r="E44" s="85"/>
      <c r="F44" s="85"/>
      <c r="G44" s="85"/>
      <c r="H44" s="85"/>
      <c r="I44" s="85"/>
      <c r="J44" s="86" t="s">
        <v>3948</v>
      </c>
      <c r="K44" s="86">
        <v>46062</v>
      </c>
      <c r="L44" s="58"/>
      <c r="M44" s="58"/>
      <c r="N44" s="86" t="s">
        <v>1223</v>
      </c>
      <c r="O44" s="16"/>
      <c r="P44" s="139"/>
      <c r="Q44" s="66" t="str">
        <f>HYPERLINK("#'Vehicle Owner Master'!A1","Vehicle Owner Master")</f>
        <v>Vehicle Owner Master</v>
      </c>
      <c r="R44" s="86" t="s">
        <v>3949</v>
      </c>
      <c r="S44" s="58"/>
    </row>
    <row r="45" spans="1:19" ht="31.5">
      <c r="A45" s="40">
        <v>44</v>
      </c>
      <c r="B45" s="85" t="s">
        <v>22</v>
      </c>
      <c r="C45" s="85" t="s">
        <v>5654</v>
      </c>
      <c r="D45" s="85">
        <v>26</v>
      </c>
      <c r="J45" s="86" t="s">
        <v>3948</v>
      </c>
      <c r="K45" s="86">
        <v>46063</v>
      </c>
      <c r="N45" s="86" t="s">
        <v>1223</v>
      </c>
      <c r="Q45" s="66" t="str">
        <f>HYPERLINK("#'Item Template Master'!A1","Item Template Master")</f>
        <v>Item Template Master</v>
      </c>
      <c r="R45" s="86" t="s">
        <v>3949</v>
      </c>
    </row>
    <row r="46" spans="1:19" ht="31.5">
      <c r="A46" s="40">
        <v>45</v>
      </c>
      <c r="B46" s="85" t="s">
        <v>22</v>
      </c>
      <c r="C46" s="85" t="s">
        <v>5785</v>
      </c>
      <c r="D46" s="85">
        <v>26</v>
      </c>
      <c r="J46" s="86" t="s">
        <v>3948</v>
      </c>
      <c r="K46" s="86">
        <v>46064</v>
      </c>
      <c r="N46" s="86" t="s">
        <v>1223</v>
      </c>
      <c r="Q46" s="66" t="str">
        <f>HYPERLINK("#'ROSL DBK'!A1","ROSL DBK")</f>
        <v>ROSL DBK</v>
      </c>
      <c r="R46" s="86" t="s">
        <v>3949</v>
      </c>
    </row>
    <row r="47" spans="1:19" ht="31.5">
      <c r="A47" s="40">
        <v>46</v>
      </c>
      <c r="B47" s="85" t="s">
        <v>22</v>
      </c>
      <c r="C47" s="85" t="s">
        <v>5903</v>
      </c>
      <c r="D47" s="85">
        <v>29</v>
      </c>
      <c r="J47" s="86" t="s">
        <v>3948</v>
      </c>
      <c r="K47" s="86">
        <v>46066</v>
      </c>
      <c r="N47" s="86" t="s">
        <v>1223</v>
      </c>
      <c r="Q47" s="66" t="str">
        <f>HYPERLINK("#'Licence Master'!A1","Licence Master")</f>
        <v>Licence Master</v>
      </c>
      <c r="R47" s="86" t="s">
        <v>3949</v>
      </c>
    </row>
  </sheetData>
  <hyperlinks>
    <hyperlink ref="U15" r:id="rId1"/>
    <hyperlink ref="U14" r:id="rId2"/>
    <hyperlink ref="U9" r:id="rId3"/>
  </hyperlinks>
  <pageMargins left="0.7" right="0.7" top="0.75" bottom="0.75" header="0.3" footer="0.3"/>
  <pageSetup paperSize="9" orientation="portrait" verticalDpi="0" r:id="rId4"/>
</worksheet>
</file>

<file path=xl/worksheets/sheet2.xml><?xml version="1.0" encoding="utf-8"?>
<worksheet xmlns="http://schemas.openxmlformats.org/spreadsheetml/2006/main" xmlns:r="http://schemas.openxmlformats.org/officeDocument/2006/relationships">
  <dimension ref="A1:V56"/>
  <sheetViews>
    <sheetView workbookViewId="0">
      <pane ySplit="1" topLeftCell="A54" activePane="bottomLeft" state="frozen"/>
      <selection pane="bottomLeft" activeCell="A55" sqref="A55"/>
    </sheetView>
  </sheetViews>
  <sheetFormatPr defaultRowHeight="15"/>
  <cols>
    <col min="1" max="1" width="8.140625" style="5" customWidth="1"/>
    <col min="2" max="2" width="18.140625" style="5" customWidth="1"/>
    <col min="3" max="3" width="14" style="5" customWidth="1"/>
    <col min="4" max="4" width="20.140625" style="1" customWidth="1"/>
    <col min="5" max="5" width="34" style="5" customWidth="1"/>
    <col min="6" max="6" width="19.7109375" style="5" customWidth="1"/>
    <col min="7" max="7" width="18.28515625" style="5" customWidth="1"/>
    <col min="8" max="8" width="50.28515625" style="5" customWidth="1"/>
    <col min="9" max="9" width="33.42578125" style="5" customWidth="1"/>
    <col min="10" max="10" width="26.85546875" style="5" customWidth="1"/>
    <col min="11" max="11" width="32" style="5" customWidth="1"/>
    <col min="12" max="12" width="34.5703125" style="5" customWidth="1"/>
    <col min="13" max="13" width="38.7109375" style="5" customWidth="1"/>
    <col min="14" max="14" width="14.42578125" style="5" customWidth="1"/>
    <col min="15" max="15" width="27.85546875" style="5" customWidth="1"/>
    <col min="16" max="16" width="19" style="5" customWidth="1"/>
    <col min="17" max="17" width="16.28515625" style="5" customWidth="1"/>
    <col min="18" max="18" width="16" style="5" customWidth="1"/>
    <col min="19" max="19" width="23.28515625" style="5" customWidth="1"/>
    <col min="20" max="20" width="23.7109375" style="5" customWidth="1"/>
    <col min="21" max="21" width="26.5703125" style="5" customWidth="1"/>
    <col min="22" max="22" width="15.140625" style="5" customWidth="1"/>
    <col min="23" max="16384" width="9.140625" style="5"/>
  </cols>
  <sheetData>
    <row r="1" spans="1:22" ht="31.5">
      <c r="A1" s="4" t="s">
        <v>0</v>
      </c>
      <c r="B1" s="4" t="s">
        <v>1</v>
      </c>
      <c r="C1" s="4" t="s">
        <v>2</v>
      </c>
      <c r="D1" s="38" t="s">
        <v>1221</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ht="255">
      <c r="A2" s="5">
        <v>1</v>
      </c>
      <c r="B2" s="5" t="s">
        <v>21</v>
      </c>
      <c r="E2" s="5" t="s">
        <v>30</v>
      </c>
      <c r="F2" s="5" t="s">
        <v>22</v>
      </c>
      <c r="G2" s="5" t="s">
        <v>23</v>
      </c>
      <c r="H2" s="5" t="s">
        <v>28</v>
      </c>
      <c r="I2" s="5" t="s">
        <v>43</v>
      </c>
      <c r="J2" s="5" t="s">
        <v>25</v>
      </c>
      <c r="K2" s="5" t="s">
        <v>45</v>
      </c>
      <c r="L2" s="5" t="s">
        <v>26</v>
      </c>
      <c r="M2" s="5" t="s">
        <v>27</v>
      </c>
      <c r="N2" s="6" t="s">
        <v>24</v>
      </c>
      <c r="O2" s="7" t="s">
        <v>48</v>
      </c>
      <c r="P2" s="8">
        <v>45968</v>
      </c>
    </row>
    <row r="3" spans="1:22" ht="300">
      <c r="A3" s="5">
        <v>2</v>
      </c>
      <c r="B3" s="5" t="s">
        <v>29</v>
      </c>
      <c r="E3" s="5" t="s">
        <v>30</v>
      </c>
      <c r="F3" s="5" t="s">
        <v>22</v>
      </c>
      <c r="G3" s="5" t="s">
        <v>23</v>
      </c>
      <c r="H3" s="5" t="s">
        <v>31</v>
      </c>
      <c r="I3" s="5" t="s">
        <v>43</v>
      </c>
      <c r="J3" s="5" t="s">
        <v>32</v>
      </c>
      <c r="K3" s="5" t="s">
        <v>45</v>
      </c>
      <c r="L3" s="5" t="s">
        <v>33</v>
      </c>
      <c r="M3" s="5" t="s">
        <v>34</v>
      </c>
      <c r="N3" s="6" t="s">
        <v>24</v>
      </c>
      <c r="O3" s="7" t="s">
        <v>48</v>
      </c>
      <c r="P3" s="8">
        <v>45968</v>
      </c>
    </row>
    <row r="4" spans="1:22" ht="315">
      <c r="A4" s="5">
        <v>3</v>
      </c>
      <c r="B4" s="5" t="s">
        <v>35</v>
      </c>
      <c r="E4" s="5" t="s">
        <v>30</v>
      </c>
      <c r="F4" s="5" t="s">
        <v>22</v>
      </c>
      <c r="G4" s="5" t="s">
        <v>23</v>
      </c>
      <c r="H4" s="5" t="s">
        <v>36</v>
      </c>
      <c r="I4" s="5" t="s">
        <v>43</v>
      </c>
      <c r="J4" s="5" t="s">
        <v>37</v>
      </c>
      <c r="K4" s="5" t="s">
        <v>45</v>
      </c>
      <c r="L4" s="5" t="s">
        <v>38</v>
      </c>
      <c r="M4" s="5" t="s">
        <v>39</v>
      </c>
      <c r="N4" s="6" t="s">
        <v>24</v>
      </c>
      <c r="O4" s="7" t="s">
        <v>48</v>
      </c>
      <c r="P4" s="8">
        <v>45968</v>
      </c>
    </row>
    <row r="5" spans="1:22" ht="360">
      <c r="A5" s="95">
        <v>4</v>
      </c>
      <c r="B5" s="95" t="s">
        <v>40</v>
      </c>
      <c r="C5" s="100" t="s">
        <v>341</v>
      </c>
      <c r="D5" s="70">
        <v>45973</v>
      </c>
      <c r="E5" s="95" t="s">
        <v>30</v>
      </c>
      <c r="F5" s="95" t="s">
        <v>22</v>
      </c>
      <c r="G5" s="95" t="s">
        <v>23</v>
      </c>
      <c r="H5" s="95" t="s">
        <v>41</v>
      </c>
      <c r="I5" s="95" t="s">
        <v>42</v>
      </c>
      <c r="J5" s="95" t="s">
        <v>44</v>
      </c>
      <c r="K5" s="95" t="s">
        <v>45</v>
      </c>
      <c r="L5" s="95" t="s">
        <v>46</v>
      </c>
      <c r="M5" s="95" t="s">
        <v>94</v>
      </c>
      <c r="N5" s="106" t="s">
        <v>24</v>
      </c>
      <c r="O5" s="98" t="s">
        <v>48</v>
      </c>
      <c r="P5" s="99">
        <v>45971</v>
      </c>
      <c r="Q5" s="95" t="s">
        <v>342</v>
      </c>
      <c r="R5" s="95" t="s">
        <v>1220</v>
      </c>
      <c r="S5" s="95" t="s">
        <v>4535</v>
      </c>
      <c r="T5" s="99" t="s">
        <v>1719</v>
      </c>
      <c r="U5" s="95"/>
      <c r="V5" s="95"/>
    </row>
    <row r="6" spans="1:22" ht="409.5">
      <c r="A6" s="5">
        <v>5</v>
      </c>
      <c r="B6" s="5" t="s">
        <v>49</v>
      </c>
      <c r="E6" s="5" t="s">
        <v>30</v>
      </c>
      <c r="F6" s="5" t="s">
        <v>22</v>
      </c>
      <c r="G6" s="5" t="s">
        <v>23</v>
      </c>
      <c r="H6" s="5" t="s">
        <v>84</v>
      </c>
      <c r="I6" s="5" t="s">
        <v>42</v>
      </c>
      <c r="J6" s="5" t="s">
        <v>50</v>
      </c>
      <c r="K6" s="5" t="s">
        <v>45</v>
      </c>
      <c r="L6" s="5" t="s">
        <v>51</v>
      </c>
      <c r="M6" s="5" t="s">
        <v>95</v>
      </c>
      <c r="N6" s="6" t="s">
        <v>274</v>
      </c>
      <c r="O6" s="7" t="s">
        <v>48</v>
      </c>
      <c r="P6" s="8">
        <v>45971</v>
      </c>
    </row>
    <row r="7" spans="1:22" ht="405">
      <c r="A7" s="5">
        <v>6</v>
      </c>
      <c r="B7" s="5" t="s">
        <v>52</v>
      </c>
      <c r="E7" s="5" t="s">
        <v>30</v>
      </c>
      <c r="F7" s="5" t="s">
        <v>22</v>
      </c>
      <c r="G7" s="5" t="s">
        <v>23</v>
      </c>
      <c r="H7" s="5" t="s">
        <v>339</v>
      </c>
      <c r="I7" s="5" t="s">
        <v>42</v>
      </c>
      <c r="J7" s="5" t="s">
        <v>340</v>
      </c>
      <c r="K7" s="5" t="s">
        <v>45</v>
      </c>
      <c r="L7" s="5" t="s">
        <v>354</v>
      </c>
      <c r="M7" s="9" t="s">
        <v>355</v>
      </c>
      <c r="N7" s="6" t="s">
        <v>24</v>
      </c>
      <c r="O7" s="7" t="s">
        <v>48</v>
      </c>
      <c r="P7" s="8">
        <v>45971</v>
      </c>
    </row>
    <row r="8" spans="1:22" ht="360">
      <c r="A8" s="9">
        <v>7</v>
      </c>
      <c r="B8" s="5" t="s">
        <v>53</v>
      </c>
      <c r="E8" s="5" t="s">
        <v>30</v>
      </c>
      <c r="F8" s="5" t="s">
        <v>22</v>
      </c>
      <c r="G8" s="5" t="s">
        <v>23</v>
      </c>
      <c r="H8" s="5" t="s">
        <v>70</v>
      </c>
      <c r="I8" s="5" t="s">
        <v>42</v>
      </c>
      <c r="J8" s="5" t="s">
        <v>54</v>
      </c>
      <c r="K8" s="5" t="s">
        <v>45</v>
      </c>
      <c r="L8" s="5" t="s">
        <v>69</v>
      </c>
      <c r="M8" s="9" t="s">
        <v>55</v>
      </c>
      <c r="N8" s="6" t="s">
        <v>24</v>
      </c>
      <c r="O8" s="7" t="s">
        <v>48</v>
      </c>
      <c r="P8" s="8">
        <v>45971</v>
      </c>
    </row>
    <row r="9" spans="1:22" ht="315">
      <c r="A9" s="9">
        <v>8</v>
      </c>
      <c r="B9" s="5" t="s">
        <v>56</v>
      </c>
      <c r="E9" s="5" t="s">
        <v>30</v>
      </c>
      <c r="F9" s="5" t="s">
        <v>22</v>
      </c>
      <c r="G9" s="5" t="s">
        <v>23</v>
      </c>
      <c r="H9" s="5" t="s">
        <v>335</v>
      </c>
      <c r="I9" s="5" t="s">
        <v>42</v>
      </c>
      <c r="J9" s="5" t="s">
        <v>336</v>
      </c>
      <c r="K9" s="5" t="s">
        <v>337</v>
      </c>
      <c r="L9" s="5" t="s">
        <v>338</v>
      </c>
      <c r="M9" s="9" t="s">
        <v>67</v>
      </c>
      <c r="N9" s="6" t="s">
        <v>274</v>
      </c>
      <c r="O9" s="7" t="s">
        <v>48</v>
      </c>
      <c r="P9" s="8">
        <v>45971</v>
      </c>
    </row>
    <row r="10" spans="1:22" ht="300">
      <c r="A10" s="95">
        <v>9</v>
      </c>
      <c r="B10" s="95" t="s">
        <v>59</v>
      </c>
      <c r="C10" s="100" t="s">
        <v>345</v>
      </c>
      <c r="D10" s="70">
        <v>45973</v>
      </c>
      <c r="E10" s="95" t="s">
        <v>30</v>
      </c>
      <c r="F10" s="95" t="s">
        <v>22</v>
      </c>
      <c r="G10" s="95" t="s">
        <v>23</v>
      </c>
      <c r="H10" s="95" t="s">
        <v>71</v>
      </c>
      <c r="I10" s="95" t="s">
        <v>42</v>
      </c>
      <c r="J10" s="95" t="s">
        <v>72</v>
      </c>
      <c r="K10" s="95" t="s">
        <v>77</v>
      </c>
      <c r="L10" s="95" t="s">
        <v>73</v>
      </c>
      <c r="M10" s="95" t="s">
        <v>74</v>
      </c>
      <c r="N10" s="106" t="s">
        <v>24</v>
      </c>
      <c r="O10" s="98" t="s">
        <v>48</v>
      </c>
      <c r="P10" s="99">
        <v>45971</v>
      </c>
      <c r="Q10" s="95" t="s">
        <v>342</v>
      </c>
      <c r="R10" s="95" t="s">
        <v>1220</v>
      </c>
      <c r="S10" s="95" t="s">
        <v>1720</v>
      </c>
      <c r="T10" s="99" t="s">
        <v>1719</v>
      </c>
      <c r="U10" s="95"/>
      <c r="V10" s="95"/>
    </row>
    <row r="11" spans="1:22" ht="300">
      <c r="A11" s="95">
        <v>10</v>
      </c>
      <c r="B11" s="95" t="s">
        <v>60</v>
      </c>
      <c r="C11" s="101" t="s">
        <v>343</v>
      </c>
      <c r="D11" s="102">
        <v>45973</v>
      </c>
      <c r="E11" s="95" t="s">
        <v>30</v>
      </c>
      <c r="F11" s="95" t="s">
        <v>22</v>
      </c>
      <c r="G11" s="95" t="s">
        <v>23</v>
      </c>
      <c r="H11" s="95" t="s">
        <v>76</v>
      </c>
      <c r="I11" s="95" t="s">
        <v>42</v>
      </c>
      <c r="J11" s="95" t="s">
        <v>75</v>
      </c>
      <c r="K11" s="95" t="s">
        <v>78</v>
      </c>
      <c r="L11" s="95" t="s">
        <v>79</v>
      </c>
      <c r="M11" s="95" t="s">
        <v>80</v>
      </c>
      <c r="N11" s="106" t="s">
        <v>24</v>
      </c>
      <c r="O11" s="98" t="s">
        <v>48</v>
      </c>
      <c r="P11" s="99">
        <v>45971</v>
      </c>
      <c r="Q11" s="95" t="s">
        <v>342</v>
      </c>
      <c r="R11" s="95" t="s">
        <v>1220</v>
      </c>
      <c r="S11" s="95" t="s">
        <v>1721</v>
      </c>
      <c r="T11" s="99" t="s">
        <v>1719</v>
      </c>
      <c r="U11" s="95"/>
      <c r="V11" s="95"/>
    </row>
    <row r="12" spans="1:22" ht="300">
      <c r="A12" s="95">
        <v>11</v>
      </c>
      <c r="B12" s="95" t="s">
        <v>66</v>
      </c>
      <c r="C12" s="100" t="s">
        <v>344</v>
      </c>
      <c r="D12" s="70">
        <v>45973</v>
      </c>
      <c r="E12" s="95" t="s">
        <v>30</v>
      </c>
      <c r="F12" s="95" t="s">
        <v>22</v>
      </c>
      <c r="G12" s="95" t="s">
        <v>23</v>
      </c>
      <c r="H12" s="95" t="s">
        <v>85</v>
      </c>
      <c r="I12" s="95" t="s">
        <v>42</v>
      </c>
      <c r="J12" s="95" t="s">
        <v>81</v>
      </c>
      <c r="K12" s="95" t="s">
        <v>82</v>
      </c>
      <c r="L12" s="95" t="s">
        <v>780</v>
      </c>
      <c r="M12" s="95" t="s">
        <v>83</v>
      </c>
      <c r="N12" s="106" t="s">
        <v>24</v>
      </c>
      <c r="O12" s="98" t="s">
        <v>48</v>
      </c>
      <c r="P12" s="99">
        <v>45971</v>
      </c>
      <c r="Q12" s="95" t="s">
        <v>342</v>
      </c>
      <c r="R12" s="95" t="s">
        <v>1220</v>
      </c>
      <c r="S12" s="95" t="s">
        <v>1721</v>
      </c>
      <c r="T12" s="99" t="s">
        <v>1719</v>
      </c>
      <c r="U12" s="95"/>
      <c r="V12" s="95"/>
    </row>
    <row r="13" spans="1:22" ht="315">
      <c r="A13" s="9">
        <v>12</v>
      </c>
      <c r="B13" s="5" t="s">
        <v>68</v>
      </c>
      <c r="E13" s="5" t="s">
        <v>30</v>
      </c>
      <c r="F13" s="5" t="s">
        <v>22</v>
      </c>
      <c r="G13" s="5" t="s">
        <v>23</v>
      </c>
      <c r="H13" s="5" t="s">
        <v>90</v>
      </c>
      <c r="I13" s="5" t="s">
        <v>42</v>
      </c>
      <c r="J13" s="5" t="s">
        <v>91</v>
      </c>
      <c r="K13" s="5" t="s">
        <v>89</v>
      </c>
      <c r="L13" s="5" t="s">
        <v>92</v>
      </c>
      <c r="M13" s="9" t="s">
        <v>93</v>
      </c>
      <c r="N13" s="6" t="s">
        <v>24</v>
      </c>
      <c r="O13" s="7" t="s">
        <v>48</v>
      </c>
      <c r="P13" s="8">
        <v>45971</v>
      </c>
    </row>
    <row r="14" spans="1:22" ht="300">
      <c r="A14" s="16">
        <v>13</v>
      </c>
      <c r="B14" s="16" t="s">
        <v>86</v>
      </c>
      <c r="C14" s="16"/>
      <c r="D14" s="24"/>
      <c r="E14" s="16" t="s">
        <v>30</v>
      </c>
      <c r="F14" s="16" t="s">
        <v>22</v>
      </c>
      <c r="G14" s="16" t="s">
        <v>23</v>
      </c>
      <c r="H14" s="16" t="s">
        <v>57</v>
      </c>
      <c r="I14" s="16" t="s">
        <v>42</v>
      </c>
      <c r="J14" s="16" t="s">
        <v>58</v>
      </c>
      <c r="K14" s="16" t="s">
        <v>45</v>
      </c>
      <c r="L14" s="16" t="s">
        <v>379</v>
      </c>
      <c r="M14" s="115" t="s">
        <v>4848</v>
      </c>
      <c r="N14" s="6" t="s">
        <v>24</v>
      </c>
      <c r="O14" s="17" t="s">
        <v>48</v>
      </c>
      <c r="P14" s="18">
        <v>45971</v>
      </c>
      <c r="Q14" s="16"/>
      <c r="R14" s="16"/>
    </row>
    <row r="15" spans="1:22" ht="330">
      <c r="A15" s="9">
        <v>14</v>
      </c>
      <c r="B15" s="5" t="s">
        <v>87</v>
      </c>
      <c r="E15" s="5" t="s">
        <v>30</v>
      </c>
      <c r="F15" s="5" t="s">
        <v>22</v>
      </c>
      <c r="G15" s="5" t="s">
        <v>23</v>
      </c>
      <c r="H15" s="5" t="s">
        <v>63</v>
      </c>
      <c r="I15" s="5" t="s">
        <v>61</v>
      </c>
      <c r="J15" s="5" t="s">
        <v>64</v>
      </c>
      <c r="K15" s="5" t="s">
        <v>62</v>
      </c>
      <c r="L15" s="5" t="s">
        <v>356</v>
      </c>
      <c r="M15" s="9" t="s">
        <v>65</v>
      </c>
      <c r="N15" s="6" t="s">
        <v>24</v>
      </c>
      <c r="O15" s="7" t="s">
        <v>48</v>
      </c>
      <c r="P15" s="8">
        <v>45971</v>
      </c>
    </row>
    <row r="16" spans="1:22" ht="285">
      <c r="A16" s="16">
        <v>15</v>
      </c>
      <c r="B16" s="16" t="s">
        <v>88</v>
      </c>
      <c r="C16" s="16"/>
      <c r="D16" s="24"/>
      <c r="E16" s="16" t="s">
        <v>30</v>
      </c>
      <c r="F16" s="16" t="s">
        <v>22</v>
      </c>
      <c r="G16" s="16" t="s">
        <v>23</v>
      </c>
      <c r="H16" s="16" t="s">
        <v>96</v>
      </c>
      <c r="I16" s="16" t="s">
        <v>61</v>
      </c>
      <c r="J16" s="16" t="s">
        <v>97</v>
      </c>
      <c r="K16" s="16" t="s">
        <v>62</v>
      </c>
      <c r="L16" s="16" t="s">
        <v>373</v>
      </c>
      <c r="M16" s="16" t="s">
        <v>258</v>
      </c>
      <c r="N16" s="6" t="s">
        <v>24</v>
      </c>
      <c r="O16" s="17" t="s">
        <v>48</v>
      </c>
      <c r="P16" s="18">
        <v>45971</v>
      </c>
    </row>
    <row r="17" spans="1:22" ht="300">
      <c r="A17" s="9">
        <v>16</v>
      </c>
      <c r="B17" s="5" t="s">
        <v>98</v>
      </c>
      <c r="E17" s="5" t="s">
        <v>30</v>
      </c>
      <c r="F17" s="5" t="s">
        <v>22</v>
      </c>
      <c r="G17" s="5" t="s">
        <v>23</v>
      </c>
      <c r="H17" s="5" t="s">
        <v>107</v>
      </c>
      <c r="I17" s="5" t="s">
        <v>99</v>
      </c>
      <c r="J17" s="5" t="s">
        <v>106</v>
      </c>
      <c r="K17" s="5" t="s">
        <v>105</v>
      </c>
      <c r="L17" s="5" t="s">
        <v>108</v>
      </c>
      <c r="M17" s="5" t="s">
        <v>109</v>
      </c>
      <c r="N17" s="6" t="s">
        <v>24</v>
      </c>
      <c r="O17" s="7" t="s">
        <v>48</v>
      </c>
      <c r="P17" s="8">
        <v>45971</v>
      </c>
    </row>
    <row r="18" spans="1:22" ht="405">
      <c r="A18" s="9">
        <v>17</v>
      </c>
      <c r="B18" s="5" t="s">
        <v>104</v>
      </c>
      <c r="E18" s="5" t="s">
        <v>30</v>
      </c>
      <c r="F18" s="5" t="s">
        <v>22</v>
      </c>
      <c r="G18" s="5" t="s">
        <v>23</v>
      </c>
      <c r="H18" s="5" t="s">
        <v>100</v>
      </c>
      <c r="I18" s="5" t="s">
        <v>101</v>
      </c>
      <c r="J18" s="5" t="s">
        <v>102</v>
      </c>
      <c r="K18" s="5" t="s">
        <v>103</v>
      </c>
      <c r="L18" s="5" t="s">
        <v>368</v>
      </c>
      <c r="M18" s="5" t="s">
        <v>367</v>
      </c>
      <c r="N18" s="6" t="s">
        <v>274</v>
      </c>
      <c r="O18" s="7" t="s">
        <v>48</v>
      </c>
      <c r="P18" s="8">
        <v>45971</v>
      </c>
    </row>
    <row r="19" spans="1:22" ht="360">
      <c r="A19" s="9">
        <v>18</v>
      </c>
      <c r="B19" s="5" t="s">
        <v>110</v>
      </c>
      <c r="E19" s="5" t="s">
        <v>30</v>
      </c>
      <c r="F19" s="5" t="s">
        <v>22</v>
      </c>
      <c r="G19" s="5" t="s">
        <v>23</v>
      </c>
      <c r="H19" s="5" t="s">
        <v>111</v>
      </c>
      <c r="I19" s="5" t="s">
        <v>42</v>
      </c>
      <c r="J19" s="5" t="s">
        <v>129</v>
      </c>
      <c r="K19" s="5" t="s">
        <v>114</v>
      </c>
      <c r="L19" s="9" t="s">
        <v>357</v>
      </c>
      <c r="M19" s="9" t="s">
        <v>258</v>
      </c>
      <c r="N19" s="6" t="s">
        <v>24</v>
      </c>
      <c r="O19" s="7" t="s">
        <v>48</v>
      </c>
      <c r="P19" s="8">
        <v>45971</v>
      </c>
    </row>
    <row r="20" spans="1:22" ht="300">
      <c r="A20" s="9">
        <v>19</v>
      </c>
      <c r="B20" s="5" t="s">
        <v>112</v>
      </c>
      <c r="E20" s="5" t="s">
        <v>30</v>
      </c>
      <c r="F20" s="5" t="s">
        <v>22</v>
      </c>
      <c r="G20" s="5" t="s">
        <v>23</v>
      </c>
      <c r="H20" s="5" t="s">
        <v>131</v>
      </c>
      <c r="I20" s="5" t="s">
        <v>136</v>
      </c>
      <c r="J20" s="5" t="s">
        <v>115</v>
      </c>
      <c r="K20" s="5" t="s">
        <v>4849</v>
      </c>
      <c r="L20" s="9" t="s">
        <v>4850</v>
      </c>
      <c r="M20" s="5" t="s">
        <v>361</v>
      </c>
      <c r="N20" s="6" t="s">
        <v>274</v>
      </c>
      <c r="O20" s="7" t="s">
        <v>48</v>
      </c>
      <c r="P20" s="8">
        <v>45971</v>
      </c>
    </row>
    <row r="21" spans="1:22" ht="300">
      <c r="A21" s="95">
        <v>20</v>
      </c>
      <c r="B21" s="95" t="s">
        <v>116</v>
      </c>
      <c r="C21" s="101" t="s">
        <v>346</v>
      </c>
      <c r="D21" s="102">
        <v>45973</v>
      </c>
      <c r="E21" s="95" t="s">
        <v>30</v>
      </c>
      <c r="F21" s="95" t="s">
        <v>22</v>
      </c>
      <c r="G21" s="95" t="s">
        <v>23</v>
      </c>
      <c r="H21" s="95" t="s">
        <v>113</v>
      </c>
      <c r="I21" s="95" t="s">
        <v>136</v>
      </c>
      <c r="J21" s="95" t="s">
        <v>117</v>
      </c>
      <c r="K21" s="95" t="s">
        <v>4851</v>
      </c>
      <c r="L21" s="95" t="s">
        <v>369</v>
      </c>
      <c r="M21" s="95" t="s">
        <v>4852</v>
      </c>
      <c r="N21" s="106" t="s">
        <v>24</v>
      </c>
      <c r="O21" s="98" t="s">
        <v>48</v>
      </c>
      <c r="P21" s="99">
        <v>45971</v>
      </c>
      <c r="Q21" s="95" t="s">
        <v>342</v>
      </c>
      <c r="R21" s="95" t="s">
        <v>1220</v>
      </c>
      <c r="S21" s="95" t="s">
        <v>1721</v>
      </c>
      <c r="T21" s="99" t="s">
        <v>1722</v>
      </c>
      <c r="U21" s="95"/>
      <c r="V21" s="95"/>
    </row>
    <row r="22" spans="1:22" ht="300">
      <c r="A22" s="9">
        <v>21</v>
      </c>
      <c r="B22" s="5" t="s">
        <v>118</v>
      </c>
      <c r="E22" s="10" t="s">
        <v>30</v>
      </c>
      <c r="F22" s="10" t="s">
        <v>22</v>
      </c>
      <c r="G22" s="10" t="s">
        <v>23</v>
      </c>
      <c r="H22" s="5" t="s">
        <v>119</v>
      </c>
      <c r="I22" s="5" t="s">
        <v>136</v>
      </c>
      <c r="J22" s="5" t="s">
        <v>120</v>
      </c>
      <c r="K22" s="5" t="s">
        <v>4854</v>
      </c>
      <c r="L22" s="9" t="s">
        <v>362</v>
      </c>
      <c r="M22" s="5" t="s">
        <v>4853</v>
      </c>
      <c r="N22" s="6" t="s">
        <v>24</v>
      </c>
      <c r="O22" s="7" t="s">
        <v>48</v>
      </c>
      <c r="P22" s="8">
        <v>45971</v>
      </c>
    </row>
    <row r="23" spans="1:22" ht="345">
      <c r="A23" s="95">
        <v>22</v>
      </c>
      <c r="B23" s="95" t="s">
        <v>121</v>
      </c>
      <c r="C23" s="100" t="s">
        <v>376</v>
      </c>
      <c r="D23" s="70">
        <v>45975</v>
      </c>
      <c r="E23" s="103" t="s">
        <v>30</v>
      </c>
      <c r="F23" s="103" t="s">
        <v>22</v>
      </c>
      <c r="G23" s="103" t="s">
        <v>23</v>
      </c>
      <c r="H23" s="95" t="s">
        <v>122</v>
      </c>
      <c r="I23" s="95" t="s">
        <v>136</v>
      </c>
      <c r="J23" s="95" t="s">
        <v>123</v>
      </c>
      <c r="K23" s="95" t="s">
        <v>377</v>
      </c>
      <c r="L23" s="95" t="s">
        <v>378</v>
      </c>
      <c r="M23" s="95" t="s">
        <v>566</v>
      </c>
      <c r="N23" s="106" t="s">
        <v>24</v>
      </c>
      <c r="O23" s="98" t="s">
        <v>48</v>
      </c>
      <c r="P23" s="99">
        <v>45971</v>
      </c>
      <c r="Q23" s="95" t="s">
        <v>342</v>
      </c>
      <c r="R23" s="95" t="s">
        <v>1220</v>
      </c>
      <c r="S23" s="95" t="s">
        <v>1721</v>
      </c>
      <c r="T23" s="99" t="s">
        <v>1723</v>
      </c>
      <c r="U23" s="95"/>
      <c r="V23" s="95"/>
    </row>
    <row r="24" spans="1:22" ht="405">
      <c r="A24" s="9">
        <v>23</v>
      </c>
      <c r="B24" s="5" t="s">
        <v>126</v>
      </c>
      <c r="E24" s="5" t="s">
        <v>30</v>
      </c>
      <c r="F24" s="5" t="s">
        <v>22</v>
      </c>
      <c r="G24" s="5" t="s">
        <v>23</v>
      </c>
      <c r="H24" s="5" t="s">
        <v>124</v>
      </c>
      <c r="I24" s="5" t="s">
        <v>136</v>
      </c>
      <c r="J24" s="5" t="s">
        <v>133</v>
      </c>
      <c r="K24" s="5" t="s">
        <v>125</v>
      </c>
      <c r="L24" s="5" t="s">
        <v>364</v>
      </c>
      <c r="M24" s="5" t="s">
        <v>363</v>
      </c>
      <c r="N24" s="6" t="s">
        <v>24</v>
      </c>
      <c r="O24" s="7" t="s">
        <v>48</v>
      </c>
      <c r="P24" s="8">
        <v>45971</v>
      </c>
    </row>
    <row r="25" spans="1:22" ht="360">
      <c r="A25" s="9">
        <v>24</v>
      </c>
      <c r="B25" s="5" t="s">
        <v>127</v>
      </c>
      <c r="E25" s="5" t="s">
        <v>30</v>
      </c>
      <c r="F25" s="5" t="s">
        <v>22</v>
      </c>
      <c r="G25" s="5" t="s">
        <v>23</v>
      </c>
      <c r="H25" s="5" t="s">
        <v>128</v>
      </c>
      <c r="I25" s="5" t="s">
        <v>136</v>
      </c>
      <c r="J25" s="5" t="s">
        <v>134</v>
      </c>
      <c r="K25" s="5" t="s">
        <v>130</v>
      </c>
      <c r="L25" s="9" t="s">
        <v>358</v>
      </c>
      <c r="M25" s="9" t="s">
        <v>258</v>
      </c>
      <c r="N25" s="6" t="s">
        <v>24</v>
      </c>
      <c r="O25" s="7" t="s">
        <v>48</v>
      </c>
      <c r="P25" s="8">
        <v>45971</v>
      </c>
    </row>
    <row r="26" spans="1:22" ht="300">
      <c r="A26" s="9">
        <v>25</v>
      </c>
      <c r="B26" s="5" t="s">
        <v>138</v>
      </c>
      <c r="E26" s="5" t="s">
        <v>30</v>
      </c>
      <c r="F26" s="5" t="s">
        <v>22</v>
      </c>
      <c r="G26" s="5" t="s">
        <v>23</v>
      </c>
      <c r="H26" s="5" t="s">
        <v>132</v>
      </c>
      <c r="I26" s="5" t="s">
        <v>136</v>
      </c>
      <c r="J26" s="5" t="s">
        <v>135</v>
      </c>
      <c r="K26" s="5" t="s">
        <v>137</v>
      </c>
      <c r="L26" s="9" t="s">
        <v>359</v>
      </c>
      <c r="M26" s="5" t="s">
        <v>360</v>
      </c>
      <c r="N26" s="6" t="s">
        <v>24</v>
      </c>
      <c r="O26" s="7" t="s">
        <v>48</v>
      </c>
      <c r="P26" s="8">
        <v>45971</v>
      </c>
    </row>
    <row r="27" spans="1:22" ht="315">
      <c r="A27" s="95">
        <v>26</v>
      </c>
      <c r="B27" s="95" t="s">
        <v>139</v>
      </c>
      <c r="C27" s="101" t="s">
        <v>347</v>
      </c>
      <c r="D27" s="102">
        <v>45974</v>
      </c>
      <c r="E27" s="95" t="s">
        <v>30</v>
      </c>
      <c r="F27" s="95" t="s">
        <v>22</v>
      </c>
      <c r="G27" s="95" t="s">
        <v>23</v>
      </c>
      <c r="H27" s="95" t="s">
        <v>140</v>
      </c>
      <c r="I27" s="95" t="s">
        <v>136</v>
      </c>
      <c r="J27" s="95" t="s">
        <v>142</v>
      </c>
      <c r="K27" s="95" t="s">
        <v>141</v>
      </c>
      <c r="L27" s="95" t="s">
        <v>370</v>
      </c>
      <c r="M27" s="95" t="s">
        <v>906</v>
      </c>
      <c r="N27" s="106" t="s">
        <v>24</v>
      </c>
      <c r="O27" s="98" t="s">
        <v>48</v>
      </c>
      <c r="P27" s="99">
        <v>45971</v>
      </c>
      <c r="Q27" s="95" t="s">
        <v>342</v>
      </c>
      <c r="R27" s="95" t="s">
        <v>1220</v>
      </c>
      <c r="S27" s="95" t="s">
        <v>1721</v>
      </c>
      <c r="T27" s="99" t="s">
        <v>1719</v>
      </c>
      <c r="U27" s="95"/>
      <c r="V27" s="95"/>
    </row>
    <row r="28" spans="1:22" ht="300">
      <c r="A28" s="5">
        <v>27</v>
      </c>
      <c r="B28" s="5" t="s">
        <v>143</v>
      </c>
      <c r="E28" s="5" t="s">
        <v>30</v>
      </c>
      <c r="F28" s="5" t="s">
        <v>22</v>
      </c>
      <c r="G28" s="5" t="s">
        <v>23</v>
      </c>
      <c r="H28" s="5" t="s">
        <v>146</v>
      </c>
      <c r="I28" s="5" t="s">
        <v>136</v>
      </c>
      <c r="J28" s="5" t="s">
        <v>144</v>
      </c>
      <c r="K28" s="5" t="s">
        <v>153</v>
      </c>
      <c r="L28" s="9" t="s">
        <v>365</v>
      </c>
      <c r="M28" s="5" t="s">
        <v>360</v>
      </c>
      <c r="N28" s="6" t="s">
        <v>24</v>
      </c>
      <c r="O28" s="7" t="s">
        <v>48</v>
      </c>
      <c r="P28" s="8">
        <v>45971</v>
      </c>
    </row>
    <row r="29" spans="1:22" ht="315">
      <c r="A29" s="5">
        <v>28</v>
      </c>
      <c r="B29" s="5" t="s">
        <v>145</v>
      </c>
      <c r="C29" s="42"/>
      <c r="D29" s="42"/>
      <c r="E29" s="5" t="s">
        <v>30</v>
      </c>
      <c r="F29" s="5" t="s">
        <v>22</v>
      </c>
      <c r="G29" s="5" t="s">
        <v>23</v>
      </c>
      <c r="H29" s="5" t="s">
        <v>149</v>
      </c>
      <c r="I29" s="5" t="s">
        <v>136</v>
      </c>
      <c r="J29" s="5" t="s">
        <v>147</v>
      </c>
      <c r="K29" s="5" t="s">
        <v>148</v>
      </c>
      <c r="L29" s="5" t="s">
        <v>352</v>
      </c>
      <c r="M29" s="5" t="s">
        <v>258</v>
      </c>
      <c r="N29" s="6" t="s">
        <v>24</v>
      </c>
      <c r="O29" s="7" t="s">
        <v>48</v>
      </c>
      <c r="P29" s="8">
        <v>45971</v>
      </c>
    </row>
    <row r="30" spans="1:22" ht="300">
      <c r="A30" s="5">
        <v>29</v>
      </c>
      <c r="B30" s="5" t="s">
        <v>150</v>
      </c>
      <c r="E30" s="5" t="s">
        <v>30</v>
      </c>
      <c r="F30" s="5" t="s">
        <v>22</v>
      </c>
      <c r="G30" s="5" t="s">
        <v>23</v>
      </c>
      <c r="H30" s="5" t="s">
        <v>151</v>
      </c>
      <c r="I30" s="5" t="s">
        <v>136</v>
      </c>
      <c r="J30" s="5" t="s">
        <v>152</v>
      </c>
      <c r="K30" s="5" t="s">
        <v>154</v>
      </c>
      <c r="L30" s="9" t="s">
        <v>366</v>
      </c>
      <c r="M30" s="5" t="s">
        <v>155</v>
      </c>
      <c r="N30" s="6" t="s">
        <v>24</v>
      </c>
      <c r="O30" s="7" t="s">
        <v>48</v>
      </c>
      <c r="P30" s="8">
        <v>45972</v>
      </c>
    </row>
    <row r="31" spans="1:22" ht="315">
      <c r="A31" s="5">
        <v>30</v>
      </c>
      <c r="B31" s="5" t="s">
        <v>156</v>
      </c>
      <c r="C31" s="42"/>
      <c r="D31" s="42"/>
      <c r="E31" s="5" t="s">
        <v>30</v>
      </c>
      <c r="F31" s="5" t="s">
        <v>22</v>
      </c>
      <c r="G31" s="5" t="s">
        <v>23</v>
      </c>
      <c r="H31" s="5" t="s">
        <v>157</v>
      </c>
      <c r="I31" s="5" t="s">
        <v>136</v>
      </c>
      <c r="J31" s="5" t="s">
        <v>147</v>
      </c>
      <c r="K31" s="5" t="s">
        <v>158</v>
      </c>
      <c r="L31" s="5" t="s">
        <v>353</v>
      </c>
      <c r="M31" s="5" t="s">
        <v>258</v>
      </c>
      <c r="N31" s="6" t="s">
        <v>24</v>
      </c>
      <c r="O31" s="7" t="s">
        <v>48</v>
      </c>
      <c r="P31" s="8">
        <v>45972</v>
      </c>
    </row>
    <row r="32" spans="1:22" ht="300">
      <c r="A32" s="5">
        <v>31</v>
      </c>
      <c r="B32" s="5" t="s">
        <v>159</v>
      </c>
      <c r="E32" s="5" t="s">
        <v>30</v>
      </c>
      <c r="F32" s="5" t="s">
        <v>22</v>
      </c>
      <c r="G32" s="5" t="s">
        <v>23</v>
      </c>
      <c r="H32" s="5" t="s">
        <v>161</v>
      </c>
      <c r="I32" s="5" t="s">
        <v>136</v>
      </c>
      <c r="J32" s="5" t="s">
        <v>162</v>
      </c>
      <c r="K32" s="5" t="s">
        <v>160</v>
      </c>
      <c r="L32" s="9" t="s">
        <v>163</v>
      </c>
      <c r="M32" s="5" t="s">
        <v>164</v>
      </c>
      <c r="N32" s="6" t="s">
        <v>24</v>
      </c>
      <c r="O32" s="7" t="s">
        <v>48</v>
      </c>
      <c r="P32" s="8">
        <v>45972</v>
      </c>
    </row>
    <row r="33" spans="1:22" ht="330">
      <c r="A33" s="95">
        <v>32</v>
      </c>
      <c r="B33" s="95" t="s">
        <v>165</v>
      </c>
      <c r="C33" s="101" t="s">
        <v>348</v>
      </c>
      <c r="D33" s="102">
        <v>45974</v>
      </c>
      <c r="E33" s="95" t="s">
        <v>30</v>
      </c>
      <c r="F33" s="95" t="s">
        <v>22</v>
      </c>
      <c r="G33" s="95" t="s">
        <v>23</v>
      </c>
      <c r="H33" s="95" t="s">
        <v>166</v>
      </c>
      <c r="I33" s="95" t="s">
        <v>136</v>
      </c>
      <c r="J33" s="95" t="s">
        <v>167</v>
      </c>
      <c r="K33" s="95" t="s">
        <v>168</v>
      </c>
      <c r="L33" s="95" t="s">
        <v>169</v>
      </c>
      <c r="M33" s="95" t="s">
        <v>170</v>
      </c>
      <c r="N33" s="106" t="s">
        <v>24</v>
      </c>
      <c r="O33" s="98" t="s">
        <v>48</v>
      </c>
      <c r="P33" s="99">
        <v>45972</v>
      </c>
      <c r="Q33" s="95" t="s">
        <v>3159</v>
      </c>
      <c r="R33" s="95" t="s">
        <v>4538</v>
      </c>
      <c r="S33" s="95" t="s">
        <v>4536</v>
      </c>
      <c r="T33" s="99" t="s">
        <v>4537</v>
      </c>
      <c r="U33" s="95"/>
      <c r="V33" s="95"/>
    </row>
    <row r="34" spans="1:22" ht="300">
      <c r="A34" s="5">
        <v>33</v>
      </c>
      <c r="B34" s="5" t="s">
        <v>171</v>
      </c>
      <c r="E34" s="5" t="s">
        <v>30</v>
      </c>
      <c r="F34" s="5" t="s">
        <v>22</v>
      </c>
      <c r="G34" s="5" t="s">
        <v>23</v>
      </c>
      <c r="H34" s="5" t="s">
        <v>172</v>
      </c>
      <c r="I34" s="5" t="s">
        <v>136</v>
      </c>
      <c r="J34" s="5" t="s">
        <v>173</v>
      </c>
      <c r="K34" s="1" t="s">
        <v>504</v>
      </c>
      <c r="L34" s="1" t="s">
        <v>505</v>
      </c>
      <c r="M34" s="1" t="s">
        <v>507</v>
      </c>
      <c r="N34" s="6" t="s">
        <v>24</v>
      </c>
      <c r="O34" s="7" t="s">
        <v>48</v>
      </c>
      <c r="P34" s="8">
        <v>45972</v>
      </c>
    </row>
    <row r="35" spans="1:22" ht="300">
      <c r="A35" s="95">
        <v>34</v>
      </c>
      <c r="B35" s="95" t="s">
        <v>174</v>
      </c>
      <c r="C35" s="101" t="s">
        <v>349</v>
      </c>
      <c r="D35" s="102">
        <v>45974</v>
      </c>
      <c r="E35" s="95" t="s">
        <v>30</v>
      </c>
      <c r="F35" s="95" t="s">
        <v>22</v>
      </c>
      <c r="G35" s="95" t="s">
        <v>23</v>
      </c>
      <c r="H35" s="95" t="s">
        <v>175</v>
      </c>
      <c r="I35" s="95" t="s">
        <v>136</v>
      </c>
      <c r="J35" s="95" t="s">
        <v>508</v>
      </c>
      <c r="K35" s="68" t="s">
        <v>504</v>
      </c>
      <c r="L35" s="68" t="s">
        <v>505</v>
      </c>
      <c r="M35" s="68" t="s">
        <v>506</v>
      </c>
      <c r="N35" s="106" t="s">
        <v>24</v>
      </c>
      <c r="O35" s="98" t="s">
        <v>48</v>
      </c>
      <c r="P35" s="99">
        <v>45972</v>
      </c>
      <c r="Q35" s="95" t="s">
        <v>342</v>
      </c>
      <c r="R35" s="95" t="s">
        <v>1220</v>
      </c>
      <c r="S35" s="95" t="s">
        <v>1721</v>
      </c>
      <c r="T35" s="99" t="s">
        <v>1725</v>
      </c>
      <c r="U35" s="95"/>
      <c r="V35" s="95"/>
    </row>
    <row r="36" spans="1:22" ht="315">
      <c r="A36" s="5">
        <v>35</v>
      </c>
      <c r="B36" s="5" t="s">
        <v>176</v>
      </c>
      <c r="E36" s="5" t="s">
        <v>30</v>
      </c>
      <c r="F36" s="5" t="s">
        <v>22</v>
      </c>
      <c r="G36" s="5" t="s">
        <v>23</v>
      </c>
      <c r="H36" s="5" t="s">
        <v>177</v>
      </c>
      <c r="I36" s="5" t="s">
        <v>136</v>
      </c>
      <c r="J36" s="5" t="s">
        <v>178</v>
      </c>
      <c r="K36" s="5" t="s">
        <v>179</v>
      </c>
      <c r="L36" s="5" t="s">
        <v>181</v>
      </c>
      <c r="M36" s="5" t="s">
        <v>180</v>
      </c>
      <c r="N36" s="6" t="s">
        <v>24</v>
      </c>
      <c r="O36" s="7" t="s">
        <v>48</v>
      </c>
      <c r="P36" s="8">
        <v>45972</v>
      </c>
    </row>
    <row r="37" spans="1:22" ht="315">
      <c r="A37" s="95">
        <v>36</v>
      </c>
      <c r="B37" s="95" t="s">
        <v>182</v>
      </c>
      <c r="C37" s="101" t="s">
        <v>350</v>
      </c>
      <c r="D37" s="102">
        <v>45974</v>
      </c>
      <c r="E37" s="95" t="s">
        <v>30</v>
      </c>
      <c r="F37" s="95" t="s">
        <v>22</v>
      </c>
      <c r="G37" s="95" t="s">
        <v>23</v>
      </c>
      <c r="H37" s="95" t="s">
        <v>183</v>
      </c>
      <c r="I37" s="95" t="s">
        <v>136</v>
      </c>
      <c r="J37" s="95" t="s">
        <v>184</v>
      </c>
      <c r="K37" s="95" t="s">
        <v>185</v>
      </c>
      <c r="L37" s="95" t="s">
        <v>186</v>
      </c>
      <c r="M37" s="95" t="s">
        <v>290</v>
      </c>
      <c r="N37" s="106" t="s">
        <v>24</v>
      </c>
      <c r="O37" s="98" t="s">
        <v>48</v>
      </c>
      <c r="P37" s="99">
        <v>45972</v>
      </c>
      <c r="Q37" s="95" t="s">
        <v>3159</v>
      </c>
      <c r="R37" s="95" t="s">
        <v>4538</v>
      </c>
      <c r="S37" s="95" t="s">
        <v>4536</v>
      </c>
      <c r="T37" s="99" t="s">
        <v>4537</v>
      </c>
      <c r="U37" s="95"/>
      <c r="V37" s="95"/>
    </row>
    <row r="38" spans="1:22" ht="390">
      <c r="A38" s="95">
        <v>37</v>
      </c>
      <c r="B38" s="95" t="s">
        <v>187</v>
      </c>
      <c r="C38" s="100" t="s">
        <v>371</v>
      </c>
      <c r="D38" s="70">
        <v>45974</v>
      </c>
      <c r="E38" s="95" t="s">
        <v>30</v>
      </c>
      <c r="F38" s="95" t="s">
        <v>22</v>
      </c>
      <c r="G38" s="95" t="s">
        <v>23</v>
      </c>
      <c r="H38" s="95" t="s">
        <v>188</v>
      </c>
      <c r="I38" s="95" t="s">
        <v>136</v>
      </c>
      <c r="J38" s="95" t="s">
        <v>189</v>
      </c>
      <c r="K38" s="95" t="s">
        <v>190</v>
      </c>
      <c r="L38" s="95" t="s">
        <v>516</v>
      </c>
      <c r="M38" s="95" t="s">
        <v>372</v>
      </c>
      <c r="N38" s="106" t="s">
        <v>24</v>
      </c>
      <c r="O38" s="98" t="s">
        <v>48</v>
      </c>
      <c r="P38" s="99">
        <v>45972</v>
      </c>
      <c r="Q38" s="95" t="s">
        <v>342</v>
      </c>
      <c r="R38" s="95" t="s">
        <v>1220</v>
      </c>
      <c r="S38" s="95" t="s">
        <v>1721</v>
      </c>
      <c r="T38" s="99" t="s">
        <v>1723</v>
      </c>
      <c r="U38" s="95"/>
      <c r="V38" s="95"/>
    </row>
    <row r="39" spans="1:22" ht="315">
      <c r="A39" s="5">
        <v>38</v>
      </c>
      <c r="B39" s="5" t="s">
        <v>191</v>
      </c>
      <c r="E39" s="5" t="s">
        <v>30</v>
      </c>
      <c r="F39" s="5" t="s">
        <v>22</v>
      </c>
      <c r="G39" s="5" t="s">
        <v>23</v>
      </c>
      <c r="H39" s="5" t="s">
        <v>192</v>
      </c>
      <c r="I39" s="5" t="s">
        <v>136</v>
      </c>
      <c r="J39" s="5" t="s">
        <v>193</v>
      </c>
      <c r="K39" s="5" t="s">
        <v>194</v>
      </c>
      <c r="L39" s="5" t="s">
        <v>195</v>
      </c>
      <c r="M39" s="5" t="s">
        <v>196</v>
      </c>
      <c r="N39" s="6" t="s">
        <v>24</v>
      </c>
      <c r="O39" s="7" t="s">
        <v>48</v>
      </c>
      <c r="P39" s="8">
        <v>45972</v>
      </c>
    </row>
    <row r="40" spans="1:22" ht="345">
      <c r="A40" s="5">
        <v>39</v>
      </c>
      <c r="B40" s="5" t="s">
        <v>197</v>
      </c>
      <c r="E40" s="5" t="s">
        <v>30</v>
      </c>
      <c r="F40" s="5" t="s">
        <v>22</v>
      </c>
      <c r="G40" s="5" t="s">
        <v>23</v>
      </c>
      <c r="H40" s="5" t="s">
        <v>198</v>
      </c>
      <c r="I40" s="5" t="s">
        <v>136</v>
      </c>
      <c r="J40" s="5" t="s">
        <v>199</v>
      </c>
      <c r="K40" s="5" t="s">
        <v>200</v>
      </c>
      <c r="L40" s="5" t="s">
        <v>201</v>
      </c>
      <c r="M40" s="5" t="s">
        <v>202</v>
      </c>
      <c r="N40" s="6" t="s">
        <v>24</v>
      </c>
      <c r="O40" s="7" t="s">
        <v>48</v>
      </c>
      <c r="P40" s="8">
        <v>45972</v>
      </c>
    </row>
    <row r="41" spans="1:22" ht="315">
      <c r="A41" s="5">
        <v>40</v>
      </c>
      <c r="B41" s="5" t="s">
        <v>203</v>
      </c>
      <c r="E41" s="5" t="s">
        <v>30</v>
      </c>
      <c r="F41" s="5" t="s">
        <v>22</v>
      </c>
      <c r="G41" s="5" t="s">
        <v>23</v>
      </c>
      <c r="H41" s="5" t="s">
        <v>204</v>
      </c>
      <c r="I41" s="5" t="s">
        <v>136</v>
      </c>
      <c r="J41" s="5" t="s">
        <v>205</v>
      </c>
      <c r="K41" s="5" t="s">
        <v>207</v>
      </c>
      <c r="L41" s="5" t="s">
        <v>206</v>
      </c>
      <c r="M41" s="5" t="s">
        <v>196</v>
      </c>
      <c r="N41" s="6" t="s">
        <v>24</v>
      </c>
      <c r="O41" s="7" t="s">
        <v>48</v>
      </c>
      <c r="P41" s="8">
        <v>45972</v>
      </c>
    </row>
    <row r="42" spans="1:22" ht="345">
      <c r="A42" s="5">
        <v>41</v>
      </c>
      <c r="B42" s="5" t="s">
        <v>208</v>
      </c>
      <c r="E42" s="5" t="s">
        <v>30</v>
      </c>
      <c r="F42" s="5" t="s">
        <v>22</v>
      </c>
      <c r="G42" s="5" t="s">
        <v>23</v>
      </c>
      <c r="H42" s="5" t="s">
        <v>209</v>
      </c>
      <c r="I42" s="5" t="s">
        <v>136</v>
      </c>
      <c r="J42" s="5" t="s">
        <v>210</v>
      </c>
      <c r="K42" s="5" t="s">
        <v>200</v>
      </c>
      <c r="L42" s="5" t="s">
        <v>211</v>
      </c>
      <c r="M42" s="5" t="s">
        <v>202</v>
      </c>
      <c r="N42" s="6" t="s">
        <v>24</v>
      </c>
      <c r="O42" s="7" t="s">
        <v>48</v>
      </c>
      <c r="P42" s="8">
        <v>45972</v>
      </c>
    </row>
    <row r="43" spans="1:22" ht="300">
      <c r="A43" s="5">
        <v>42</v>
      </c>
      <c r="B43" s="5" t="s">
        <v>212</v>
      </c>
      <c r="E43" s="5" t="s">
        <v>30</v>
      </c>
      <c r="F43" s="5" t="s">
        <v>22</v>
      </c>
      <c r="G43" s="5" t="s">
        <v>23</v>
      </c>
      <c r="H43" s="5" t="s">
        <v>219</v>
      </c>
      <c r="I43" s="5" t="s">
        <v>136</v>
      </c>
      <c r="J43" s="5" t="s">
        <v>213</v>
      </c>
      <c r="K43" s="11" t="s">
        <v>214</v>
      </c>
      <c r="L43" s="5" t="s">
        <v>215</v>
      </c>
      <c r="M43" s="5" t="s">
        <v>216</v>
      </c>
      <c r="N43" s="6" t="s">
        <v>24</v>
      </c>
      <c r="O43" s="7" t="s">
        <v>48</v>
      </c>
      <c r="P43" s="8">
        <v>45972</v>
      </c>
    </row>
    <row r="44" spans="1:22" ht="300">
      <c r="A44" s="5">
        <v>43</v>
      </c>
      <c r="B44" s="5" t="s">
        <v>217</v>
      </c>
      <c r="E44" s="5" t="s">
        <v>30</v>
      </c>
      <c r="F44" s="5" t="s">
        <v>22</v>
      </c>
      <c r="G44" s="5" t="s">
        <v>23</v>
      </c>
      <c r="H44" s="5" t="s">
        <v>218</v>
      </c>
      <c r="I44" s="5" t="s">
        <v>136</v>
      </c>
      <c r="J44" s="5" t="s">
        <v>220</v>
      </c>
      <c r="K44" s="5" t="s">
        <v>221</v>
      </c>
      <c r="L44" s="5" t="s">
        <v>222</v>
      </c>
      <c r="M44" s="5" t="s">
        <v>223</v>
      </c>
      <c r="N44" s="6" t="s">
        <v>24</v>
      </c>
      <c r="O44" s="7" t="s">
        <v>48</v>
      </c>
      <c r="P44" s="8">
        <v>45972</v>
      </c>
    </row>
    <row r="45" spans="1:22" ht="330">
      <c r="A45" s="5">
        <v>44</v>
      </c>
      <c r="B45" s="5" t="s">
        <v>224</v>
      </c>
      <c r="E45" s="5" t="s">
        <v>30</v>
      </c>
      <c r="F45" s="5" t="s">
        <v>22</v>
      </c>
      <c r="G45" s="5" t="s">
        <v>23</v>
      </c>
      <c r="H45" s="5" t="s">
        <v>226</v>
      </c>
      <c r="I45" s="5" t="s">
        <v>136</v>
      </c>
      <c r="J45" s="5" t="s">
        <v>227</v>
      </c>
      <c r="K45" s="5" t="s">
        <v>225</v>
      </c>
      <c r="L45" s="5" t="s">
        <v>228</v>
      </c>
      <c r="M45" s="5" t="s">
        <v>229</v>
      </c>
      <c r="N45" s="6" t="s">
        <v>274</v>
      </c>
      <c r="O45" s="7" t="s">
        <v>48</v>
      </c>
      <c r="P45" s="8">
        <v>45972</v>
      </c>
    </row>
    <row r="46" spans="1:22" ht="345">
      <c r="A46" s="5">
        <v>45</v>
      </c>
      <c r="B46" s="5" t="s">
        <v>230</v>
      </c>
      <c r="E46" s="5" t="s">
        <v>30</v>
      </c>
      <c r="F46" s="5" t="s">
        <v>22</v>
      </c>
      <c r="G46" s="5" t="s">
        <v>23</v>
      </c>
      <c r="H46" s="5" t="s">
        <v>231</v>
      </c>
      <c r="I46" s="5" t="s">
        <v>136</v>
      </c>
      <c r="J46" s="5" t="s">
        <v>232</v>
      </c>
      <c r="K46" s="5" t="s">
        <v>234</v>
      </c>
      <c r="L46" s="5" t="s">
        <v>233</v>
      </c>
      <c r="M46" s="5" t="s">
        <v>375</v>
      </c>
      <c r="N46" s="6" t="s">
        <v>274</v>
      </c>
      <c r="O46" s="7" t="s">
        <v>48</v>
      </c>
      <c r="P46" s="8">
        <v>45972</v>
      </c>
    </row>
    <row r="47" spans="1:22" ht="345">
      <c r="A47" s="5">
        <v>46</v>
      </c>
      <c r="B47" s="5" t="s">
        <v>235</v>
      </c>
      <c r="E47" s="5" t="s">
        <v>30</v>
      </c>
      <c r="F47" s="5" t="s">
        <v>22</v>
      </c>
      <c r="G47" s="5" t="s">
        <v>23</v>
      </c>
      <c r="H47" s="5" t="s">
        <v>236</v>
      </c>
      <c r="I47" s="5" t="s">
        <v>136</v>
      </c>
      <c r="J47" s="5" t="s">
        <v>237</v>
      </c>
      <c r="K47" s="10" t="s">
        <v>239</v>
      </c>
      <c r="L47" s="5" t="s">
        <v>238</v>
      </c>
      <c r="M47" s="5" t="s">
        <v>240</v>
      </c>
      <c r="N47" s="6" t="s">
        <v>24</v>
      </c>
      <c r="O47" s="7" t="s">
        <v>48</v>
      </c>
      <c r="P47" s="8">
        <v>45972</v>
      </c>
    </row>
    <row r="48" spans="1:22" ht="360">
      <c r="A48" s="5">
        <v>47</v>
      </c>
      <c r="B48" s="5" t="s">
        <v>241</v>
      </c>
      <c r="E48" s="5" t="s">
        <v>30</v>
      </c>
      <c r="F48" s="5" t="s">
        <v>22</v>
      </c>
      <c r="G48" s="5" t="s">
        <v>23</v>
      </c>
      <c r="H48" s="5" t="s">
        <v>242</v>
      </c>
      <c r="I48" s="5" t="s">
        <v>136</v>
      </c>
      <c r="J48" s="5" t="s">
        <v>246</v>
      </c>
      <c r="K48" s="5" t="s">
        <v>243</v>
      </c>
      <c r="L48" s="5" t="s">
        <v>244</v>
      </c>
      <c r="M48" s="5" t="s">
        <v>245</v>
      </c>
      <c r="N48" s="6" t="s">
        <v>24</v>
      </c>
      <c r="O48" s="7" t="s">
        <v>48</v>
      </c>
      <c r="P48" s="8">
        <v>45972</v>
      </c>
    </row>
    <row r="49" spans="1:22" ht="405">
      <c r="A49" s="95">
        <v>48</v>
      </c>
      <c r="B49" s="95" t="s">
        <v>247</v>
      </c>
      <c r="C49" s="101" t="s">
        <v>351</v>
      </c>
      <c r="D49" s="102">
        <v>45974</v>
      </c>
      <c r="E49" s="95" t="s">
        <v>30</v>
      </c>
      <c r="F49" s="95" t="s">
        <v>22</v>
      </c>
      <c r="G49" s="95" t="s">
        <v>23</v>
      </c>
      <c r="H49" s="95" t="s">
        <v>248</v>
      </c>
      <c r="I49" s="95" t="s">
        <v>136</v>
      </c>
      <c r="J49" s="95" t="s">
        <v>249</v>
      </c>
      <c r="K49" s="95" t="s">
        <v>250</v>
      </c>
      <c r="L49" s="95" t="s">
        <v>251</v>
      </c>
      <c r="M49" s="95" t="s">
        <v>252</v>
      </c>
      <c r="N49" s="106" t="s">
        <v>24</v>
      </c>
      <c r="O49" s="98" t="s">
        <v>48</v>
      </c>
      <c r="P49" s="99">
        <v>45972</v>
      </c>
      <c r="Q49" s="95" t="s">
        <v>342</v>
      </c>
      <c r="R49" s="95" t="s">
        <v>1220</v>
      </c>
      <c r="S49" s="95" t="s">
        <v>1721</v>
      </c>
      <c r="T49" s="99" t="s">
        <v>1724</v>
      </c>
      <c r="U49" s="95"/>
      <c r="V49" s="95"/>
    </row>
    <row r="50" spans="1:22" ht="300">
      <c r="A50" s="5">
        <v>49</v>
      </c>
      <c r="B50" s="5" t="s">
        <v>253</v>
      </c>
      <c r="E50" s="5" t="s">
        <v>30</v>
      </c>
      <c r="F50" s="5" t="s">
        <v>22</v>
      </c>
      <c r="G50" s="5" t="s">
        <v>23</v>
      </c>
      <c r="H50" s="5" t="s">
        <v>254</v>
      </c>
      <c r="I50" s="5" t="s">
        <v>136</v>
      </c>
      <c r="J50" s="5" t="s">
        <v>256</v>
      </c>
      <c r="K50" s="5" t="s">
        <v>255</v>
      </c>
      <c r="L50" s="5" t="s">
        <v>257</v>
      </c>
      <c r="M50" s="5" t="s">
        <v>258</v>
      </c>
      <c r="N50" s="6" t="s">
        <v>24</v>
      </c>
      <c r="O50" s="7" t="s">
        <v>48</v>
      </c>
      <c r="P50" s="8">
        <v>45972</v>
      </c>
    </row>
    <row r="51" spans="1:22" ht="270">
      <c r="A51" s="5">
        <v>50</v>
      </c>
      <c r="B51" s="5" t="s">
        <v>259</v>
      </c>
      <c r="E51" s="5" t="s">
        <v>30</v>
      </c>
      <c r="F51" s="5" t="s">
        <v>22</v>
      </c>
      <c r="G51" s="5" t="s">
        <v>23</v>
      </c>
      <c r="H51" s="5" t="s">
        <v>716</v>
      </c>
      <c r="I51" s="5" t="s">
        <v>136</v>
      </c>
      <c r="J51" s="5" t="s">
        <v>260</v>
      </c>
      <c r="K51" s="5" t="s">
        <v>255</v>
      </c>
      <c r="L51" s="5" t="s">
        <v>280</v>
      </c>
      <c r="M51" s="5" t="s">
        <v>1609</v>
      </c>
      <c r="N51" s="6" t="s">
        <v>274</v>
      </c>
      <c r="O51" s="7" t="s">
        <v>48</v>
      </c>
      <c r="P51" s="8">
        <v>45973</v>
      </c>
    </row>
    <row r="52" spans="1:22" ht="285">
      <c r="A52" s="95">
        <v>51</v>
      </c>
      <c r="B52" s="95" t="s">
        <v>261</v>
      </c>
      <c r="C52" s="101" t="s">
        <v>374</v>
      </c>
      <c r="D52" s="102">
        <v>45974</v>
      </c>
      <c r="E52" s="95" t="s">
        <v>30</v>
      </c>
      <c r="F52" s="95" t="s">
        <v>22</v>
      </c>
      <c r="G52" s="95" t="s">
        <v>23</v>
      </c>
      <c r="H52" s="95" t="s">
        <v>262</v>
      </c>
      <c r="I52" s="95" t="s">
        <v>136</v>
      </c>
      <c r="J52" s="95" t="s">
        <v>263</v>
      </c>
      <c r="K52" s="95" t="s">
        <v>255</v>
      </c>
      <c r="L52" s="95" t="s">
        <v>264</v>
      </c>
      <c r="M52" s="95" t="s">
        <v>265</v>
      </c>
      <c r="N52" s="106" t="s">
        <v>24</v>
      </c>
      <c r="O52" s="98" t="s">
        <v>48</v>
      </c>
      <c r="P52" s="99">
        <v>45973</v>
      </c>
      <c r="Q52" s="95" t="s">
        <v>342</v>
      </c>
      <c r="R52" s="95" t="s">
        <v>1220</v>
      </c>
      <c r="S52" s="95" t="s">
        <v>1721</v>
      </c>
      <c r="T52" s="99" t="s">
        <v>1724</v>
      </c>
      <c r="U52" s="95"/>
      <c r="V52" s="95"/>
    </row>
    <row r="53" spans="1:22" ht="300">
      <c r="A53" s="16">
        <v>52</v>
      </c>
      <c r="B53" s="16" t="s">
        <v>266</v>
      </c>
      <c r="C53" s="67"/>
      <c r="D53" s="66"/>
      <c r="E53" s="16" t="s">
        <v>30</v>
      </c>
      <c r="F53" s="16" t="s">
        <v>22</v>
      </c>
      <c r="G53" s="16" t="s">
        <v>23</v>
      </c>
      <c r="H53" s="16" t="s">
        <v>267</v>
      </c>
      <c r="I53" s="16" t="s">
        <v>136</v>
      </c>
      <c r="J53" s="16" t="s">
        <v>268</v>
      </c>
      <c r="K53" s="16" t="s">
        <v>255</v>
      </c>
      <c r="L53" s="16" t="s">
        <v>269</v>
      </c>
      <c r="M53" s="16" t="s">
        <v>6059</v>
      </c>
      <c r="N53" s="6" t="s">
        <v>274</v>
      </c>
      <c r="O53" s="17" t="s">
        <v>48</v>
      </c>
      <c r="P53" s="18">
        <v>45973</v>
      </c>
      <c r="Q53" s="16" t="s">
        <v>342</v>
      </c>
      <c r="R53" s="16" t="s">
        <v>1726</v>
      </c>
      <c r="S53" s="16" t="s">
        <v>1222</v>
      </c>
      <c r="T53" s="16"/>
    </row>
    <row r="54" spans="1:22" ht="285">
      <c r="A54" s="5">
        <v>53</v>
      </c>
      <c r="B54" s="5" t="s">
        <v>270</v>
      </c>
      <c r="E54" s="5" t="s">
        <v>30</v>
      </c>
      <c r="F54" s="5" t="s">
        <v>22</v>
      </c>
      <c r="G54" s="5" t="s">
        <v>23</v>
      </c>
      <c r="H54" s="5" t="s">
        <v>271</v>
      </c>
      <c r="I54" s="5" t="s">
        <v>136</v>
      </c>
      <c r="J54" s="5" t="s">
        <v>724</v>
      </c>
      <c r="K54" s="5" t="s">
        <v>255</v>
      </c>
      <c r="L54" s="5" t="s">
        <v>272</v>
      </c>
      <c r="M54" s="5" t="s">
        <v>273</v>
      </c>
      <c r="N54" s="6" t="s">
        <v>274</v>
      </c>
      <c r="O54" s="7" t="s">
        <v>48</v>
      </c>
      <c r="P54" s="8">
        <v>45973</v>
      </c>
    </row>
    <row r="55" spans="1:22" ht="285">
      <c r="A55" s="5">
        <v>54</v>
      </c>
      <c r="B55" s="5" t="s">
        <v>275</v>
      </c>
      <c r="E55" s="5" t="s">
        <v>30</v>
      </c>
      <c r="F55" s="5" t="s">
        <v>22</v>
      </c>
      <c r="G55" s="5" t="s">
        <v>23</v>
      </c>
      <c r="H55" s="5" t="s">
        <v>276</v>
      </c>
      <c r="I55" s="5" t="s">
        <v>136</v>
      </c>
      <c r="J55" s="5" t="s">
        <v>277</v>
      </c>
      <c r="K55" s="5" t="s">
        <v>255</v>
      </c>
      <c r="L55" s="5" t="s">
        <v>278</v>
      </c>
      <c r="M55" s="5" t="s">
        <v>6060</v>
      </c>
      <c r="N55" s="6" t="s">
        <v>274</v>
      </c>
      <c r="O55" s="7" t="s">
        <v>48</v>
      </c>
      <c r="P55" s="8">
        <v>45975</v>
      </c>
    </row>
    <row r="56" spans="1:22" ht="270">
      <c r="A56" s="5">
        <v>55</v>
      </c>
      <c r="B56" s="5" t="s">
        <v>281</v>
      </c>
      <c r="E56" s="5" t="s">
        <v>30</v>
      </c>
      <c r="F56" s="5" t="s">
        <v>22</v>
      </c>
      <c r="G56" s="5" t="s">
        <v>23</v>
      </c>
      <c r="H56" s="5" t="s">
        <v>282</v>
      </c>
      <c r="I56" s="5" t="s">
        <v>136</v>
      </c>
      <c r="J56" s="5" t="s">
        <v>283</v>
      </c>
      <c r="K56" s="5" t="s">
        <v>255</v>
      </c>
      <c r="L56" s="5" t="s">
        <v>284</v>
      </c>
      <c r="M56" s="5" t="s">
        <v>216</v>
      </c>
      <c r="N56" s="6" t="s">
        <v>24</v>
      </c>
      <c r="O56" s="7" t="s">
        <v>48</v>
      </c>
      <c r="P56" s="8">
        <v>45973</v>
      </c>
    </row>
  </sheetData>
  <autoFilter ref="A1:V56">
    <filterColumn colId="13"/>
  </autoFilter>
  <hyperlinks>
    <hyperlink ref="C5" r:id="rId1" display="https://hanssupport.atlassian.net/browse/BA-136"/>
    <hyperlink ref="C10" r:id="rId2" display="https://hanssupport.atlassian.net/browse/BA-137"/>
    <hyperlink ref="C11" r:id="rId3" display="https://hanssupport.atlassian.net/browse/BA-138"/>
    <hyperlink ref="C12" r:id="rId4" display="https://hanssupport.atlassian.net/browse/BA-139"/>
    <hyperlink ref="C21" r:id="rId5" display="https://hanssupport.atlassian.net/browse/BA-140"/>
    <hyperlink ref="C27" r:id="rId6" display="https://hanssupport.atlassian.net/browse/BA-141"/>
    <hyperlink ref="C33" r:id="rId7" display="https://hanssupport.atlassian.net/browse/BA-144"/>
    <hyperlink ref="C35" r:id="rId8" display="https://hanssupport.atlassian.net/browse/BA-145"/>
    <hyperlink ref="C37" r:id="rId9" display="https://hanssupport.atlassian.net/browse/BA-146"/>
    <hyperlink ref="C49" r:id="rId10" display="https://hanssupport.atlassian.net/browse/BA-147"/>
    <hyperlink ref="C38" r:id="rId11" display="https://hanssupport.atlassian.net/browse/BA-148"/>
    <hyperlink ref="C52" r:id="rId12" display="https://hanssupport.atlassian.net/browse/BA-149"/>
    <hyperlink ref="C23" r:id="rId13" display="https://hanssupport.atlassian.net/browse/BA-151"/>
  </hyperlinks>
  <pageMargins left="0.7" right="0.7" top="0.75" bottom="0.75" header="0.3" footer="0.3"/>
  <pageSetup paperSize="9" orientation="portrait" verticalDpi="0" r:id="rId14"/>
</worksheet>
</file>

<file path=xl/worksheets/sheet3.xml><?xml version="1.0" encoding="utf-8"?>
<worksheet xmlns="http://schemas.openxmlformats.org/spreadsheetml/2006/main" xmlns:r="http://schemas.openxmlformats.org/officeDocument/2006/relationships">
  <dimension ref="A1:V76"/>
  <sheetViews>
    <sheetView topLeftCell="I1" workbookViewId="0">
      <pane ySplit="1" topLeftCell="A72" activePane="bottomLeft" state="frozen"/>
      <selection pane="bottomLeft" activeCell="L73" sqref="L73"/>
    </sheetView>
  </sheetViews>
  <sheetFormatPr defaultRowHeight="15"/>
  <cols>
    <col min="1" max="1" width="14.28515625" style="1" customWidth="1"/>
    <col min="2" max="2" width="19.7109375" style="1" customWidth="1"/>
    <col min="3" max="3" width="16.140625" style="1" customWidth="1"/>
    <col min="4" max="4" width="20.28515625" style="1" customWidth="1"/>
    <col min="5" max="5" width="16.7109375" style="1" customWidth="1"/>
    <col min="6" max="6" width="17" style="1" customWidth="1"/>
    <col min="7" max="7" width="19.140625" style="1" customWidth="1"/>
    <col min="8" max="8" width="49.7109375" style="1" customWidth="1"/>
    <col min="9" max="9" width="37.7109375" style="1" customWidth="1"/>
    <col min="10" max="10" width="42.42578125" style="1" customWidth="1"/>
    <col min="11" max="11" width="33.28515625" style="1" customWidth="1"/>
    <col min="12" max="12" width="42.7109375" style="1" customWidth="1"/>
    <col min="13" max="13" width="40.7109375" style="1" customWidth="1"/>
    <col min="14" max="14" width="14.140625" style="1" customWidth="1"/>
    <col min="15" max="15" width="27.5703125" style="1" customWidth="1"/>
    <col min="16" max="16" width="19" style="1" customWidth="1"/>
    <col min="17" max="18" width="14.42578125" style="1" customWidth="1"/>
    <col min="19" max="19" width="20.5703125" style="1" customWidth="1"/>
    <col min="20" max="20" width="22.42578125" style="1" customWidth="1"/>
    <col min="21" max="21" width="26.28515625" style="1" customWidth="1"/>
    <col min="22" max="22" width="15.7109375" style="1" customWidth="1"/>
    <col min="23" max="16384" width="9.140625" style="1"/>
  </cols>
  <sheetData>
    <row r="1" spans="1:22" ht="31.5">
      <c r="A1" s="13" t="s">
        <v>0</v>
      </c>
      <c r="B1" s="13" t="s">
        <v>1</v>
      </c>
      <c r="C1" s="13" t="s">
        <v>2</v>
      </c>
      <c r="D1" s="38" t="s">
        <v>1221</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255">
      <c r="A2" s="1">
        <v>1</v>
      </c>
      <c r="B2" s="1" t="s">
        <v>285</v>
      </c>
      <c r="E2" s="1" t="s">
        <v>30</v>
      </c>
      <c r="F2" s="1" t="s">
        <v>22</v>
      </c>
      <c r="G2" s="1" t="s">
        <v>279</v>
      </c>
      <c r="H2" s="1" t="s">
        <v>286</v>
      </c>
      <c r="I2" s="1" t="s">
        <v>43</v>
      </c>
      <c r="J2" s="1" t="s">
        <v>287</v>
      </c>
      <c r="K2" s="1" t="s">
        <v>45</v>
      </c>
      <c r="L2" s="1" t="s">
        <v>288</v>
      </c>
      <c r="M2" s="1" t="s">
        <v>289</v>
      </c>
      <c r="N2" s="3" t="s">
        <v>24</v>
      </c>
      <c r="O2" s="2" t="s">
        <v>48</v>
      </c>
      <c r="P2" s="12">
        <v>45975</v>
      </c>
    </row>
    <row r="3" spans="1:22" ht="225">
      <c r="A3" s="68">
        <v>2</v>
      </c>
      <c r="B3" s="68" t="s">
        <v>294</v>
      </c>
      <c r="C3" s="69" t="s">
        <v>567</v>
      </c>
      <c r="D3" s="70">
        <v>45978</v>
      </c>
      <c r="E3" s="68" t="s">
        <v>30</v>
      </c>
      <c r="F3" s="68" t="s">
        <v>22</v>
      </c>
      <c r="G3" s="68" t="s">
        <v>279</v>
      </c>
      <c r="H3" s="68" t="s">
        <v>291</v>
      </c>
      <c r="I3" s="68" t="s">
        <v>43</v>
      </c>
      <c r="J3" s="68" t="s">
        <v>292</v>
      </c>
      <c r="K3" s="68" t="s">
        <v>45</v>
      </c>
      <c r="L3" s="68" t="s">
        <v>293</v>
      </c>
      <c r="M3" s="68" t="s">
        <v>296</v>
      </c>
      <c r="N3" s="3" t="s">
        <v>24</v>
      </c>
      <c r="O3" s="71" t="s">
        <v>48</v>
      </c>
      <c r="P3" s="72">
        <v>45975</v>
      </c>
      <c r="Q3" s="95" t="s">
        <v>342</v>
      </c>
      <c r="R3" s="95" t="s">
        <v>1220</v>
      </c>
      <c r="S3" s="68" t="s">
        <v>1721</v>
      </c>
      <c r="T3" s="72" t="s">
        <v>1727</v>
      </c>
      <c r="U3" s="68"/>
      <c r="V3" s="68"/>
    </row>
    <row r="4" spans="1:22" ht="195">
      <c r="A4" s="1">
        <v>3</v>
      </c>
      <c r="B4" s="1" t="s">
        <v>295</v>
      </c>
      <c r="E4" s="1" t="s">
        <v>30</v>
      </c>
      <c r="F4" s="1" t="s">
        <v>22</v>
      </c>
      <c r="G4" s="1" t="s">
        <v>279</v>
      </c>
      <c r="H4" s="1" t="s">
        <v>297</v>
      </c>
      <c r="I4" s="1" t="s">
        <v>43</v>
      </c>
      <c r="J4" s="1" t="s">
        <v>298</v>
      </c>
      <c r="K4" s="1" t="s">
        <v>45</v>
      </c>
      <c r="L4" s="1" t="s">
        <v>299</v>
      </c>
      <c r="M4" s="1" t="s">
        <v>1192</v>
      </c>
      <c r="N4" s="3" t="s">
        <v>274</v>
      </c>
      <c r="O4" s="2" t="s">
        <v>48</v>
      </c>
      <c r="P4" s="12">
        <v>45975</v>
      </c>
    </row>
    <row r="5" spans="1:22" ht="195">
      <c r="A5" s="1">
        <v>4</v>
      </c>
      <c r="B5" s="1" t="s">
        <v>300</v>
      </c>
      <c r="E5" s="1" t="s">
        <v>30</v>
      </c>
      <c r="F5" s="1" t="s">
        <v>22</v>
      </c>
      <c r="G5" s="1" t="s">
        <v>279</v>
      </c>
      <c r="H5" s="1" t="s">
        <v>301</v>
      </c>
      <c r="I5" s="1" t="s">
        <v>43</v>
      </c>
      <c r="J5" s="1" t="s">
        <v>302</v>
      </c>
      <c r="K5" s="1" t="s">
        <v>45</v>
      </c>
      <c r="L5" s="1" t="s">
        <v>303</v>
      </c>
      <c r="M5" s="14" t="s">
        <v>304</v>
      </c>
      <c r="N5" s="3" t="s">
        <v>274</v>
      </c>
      <c r="O5" s="2" t="s">
        <v>48</v>
      </c>
      <c r="P5" s="12">
        <v>45975</v>
      </c>
    </row>
    <row r="6" spans="1:22" ht="195">
      <c r="A6" s="68">
        <v>5</v>
      </c>
      <c r="B6" s="68" t="s">
        <v>305</v>
      </c>
      <c r="C6" s="69" t="s">
        <v>737</v>
      </c>
      <c r="D6" s="70">
        <v>45979</v>
      </c>
      <c r="E6" s="68" t="s">
        <v>30</v>
      </c>
      <c r="F6" s="68" t="s">
        <v>22</v>
      </c>
      <c r="G6" s="68" t="s">
        <v>279</v>
      </c>
      <c r="H6" s="68" t="s">
        <v>306</v>
      </c>
      <c r="I6" s="68" t="s">
        <v>43</v>
      </c>
      <c r="J6" s="68" t="s">
        <v>307</v>
      </c>
      <c r="K6" s="68" t="s">
        <v>45</v>
      </c>
      <c r="L6" s="68" t="s">
        <v>308</v>
      </c>
      <c r="M6" s="68" t="s">
        <v>309</v>
      </c>
      <c r="N6" s="3" t="s">
        <v>24</v>
      </c>
      <c r="O6" s="71" t="s">
        <v>48</v>
      </c>
      <c r="P6" s="72">
        <v>45975</v>
      </c>
      <c r="Q6" s="68" t="s">
        <v>342</v>
      </c>
      <c r="R6" s="68" t="s">
        <v>1220</v>
      </c>
      <c r="S6" s="68" t="s">
        <v>1721</v>
      </c>
      <c r="T6" s="72" t="s">
        <v>1728</v>
      </c>
      <c r="U6" s="68"/>
      <c r="V6" s="68"/>
    </row>
    <row r="7" spans="1:22" ht="195">
      <c r="A7" s="1">
        <v>6</v>
      </c>
      <c r="B7" s="1" t="s">
        <v>310</v>
      </c>
      <c r="E7" s="1" t="s">
        <v>30</v>
      </c>
      <c r="F7" s="1" t="s">
        <v>22</v>
      </c>
      <c r="G7" s="1" t="s">
        <v>279</v>
      </c>
      <c r="H7" s="1" t="s">
        <v>311</v>
      </c>
      <c r="I7" s="1" t="s">
        <v>43</v>
      </c>
      <c r="J7" s="1" t="s">
        <v>312</v>
      </c>
      <c r="K7" s="1" t="s">
        <v>45</v>
      </c>
      <c r="L7" s="1" t="s">
        <v>313</v>
      </c>
      <c r="M7" s="1" t="s">
        <v>314</v>
      </c>
      <c r="N7" s="3" t="s">
        <v>24</v>
      </c>
      <c r="O7" s="2" t="s">
        <v>48</v>
      </c>
      <c r="P7" s="12">
        <v>45975</v>
      </c>
    </row>
    <row r="8" spans="1:22" ht="210">
      <c r="A8" s="68">
        <v>7</v>
      </c>
      <c r="B8" s="68" t="s">
        <v>315</v>
      </c>
      <c r="C8" s="69" t="s">
        <v>781</v>
      </c>
      <c r="D8" s="70">
        <v>45981</v>
      </c>
      <c r="E8" s="68" t="s">
        <v>30</v>
      </c>
      <c r="F8" s="68" t="s">
        <v>22</v>
      </c>
      <c r="G8" s="68" t="s">
        <v>279</v>
      </c>
      <c r="H8" s="68" t="s">
        <v>317</v>
      </c>
      <c r="I8" s="68" t="s">
        <v>43</v>
      </c>
      <c r="J8" s="68" t="s">
        <v>318</v>
      </c>
      <c r="K8" s="68" t="s">
        <v>316</v>
      </c>
      <c r="L8" s="68" t="s">
        <v>319</v>
      </c>
      <c r="M8" s="68" t="s">
        <v>320</v>
      </c>
      <c r="N8" s="3" t="s">
        <v>24</v>
      </c>
      <c r="O8" s="71" t="s">
        <v>48</v>
      </c>
      <c r="P8" s="72">
        <v>45975</v>
      </c>
      <c r="Q8" s="68" t="s">
        <v>342</v>
      </c>
      <c r="R8" s="68" t="s">
        <v>1220</v>
      </c>
      <c r="S8" s="68" t="s">
        <v>1721</v>
      </c>
      <c r="T8" s="72" t="s">
        <v>1728</v>
      </c>
      <c r="U8" s="68"/>
      <c r="V8" s="68"/>
    </row>
    <row r="9" spans="1:22" ht="240">
      <c r="A9" s="68">
        <v>8</v>
      </c>
      <c r="B9" s="68" t="s">
        <v>321</v>
      </c>
      <c r="C9" s="69" t="s">
        <v>568</v>
      </c>
      <c r="D9" s="70">
        <v>45978</v>
      </c>
      <c r="E9" s="68" t="s">
        <v>30</v>
      </c>
      <c r="F9" s="68" t="s">
        <v>22</v>
      </c>
      <c r="G9" s="68" t="s">
        <v>279</v>
      </c>
      <c r="H9" s="68" t="s">
        <v>322</v>
      </c>
      <c r="I9" s="68" t="s">
        <v>43</v>
      </c>
      <c r="J9" s="68" t="s">
        <v>323</v>
      </c>
      <c r="K9" s="68" t="s">
        <v>324</v>
      </c>
      <c r="L9" s="68" t="s">
        <v>325</v>
      </c>
      <c r="M9" s="68" t="s">
        <v>326</v>
      </c>
      <c r="N9" s="3" t="s">
        <v>24</v>
      </c>
      <c r="O9" s="71" t="s">
        <v>48</v>
      </c>
      <c r="P9" s="72">
        <v>45975</v>
      </c>
      <c r="Q9" s="68" t="s">
        <v>342</v>
      </c>
      <c r="R9" s="68" t="s">
        <v>1220</v>
      </c>
      <c r="S9" s="68" t="s">
        <v>1721</v>
      </c>
      <c r="T9" s="72" t="s">
        <v>1727</v>
      </c>
      <c r="U9" s="68"/>
      <c r="V9" s="68"/>
    </row>
    <row r="10" spans="1:22" ht="240">
      <c r="A10" s="1">
        <v>9</v>
      </c>
      <c r="B10" s="1" t="s">
        <v>331</v>
      </c>
      <c r="E10" s="1" t="s">
        <v>30</v>
      </c>
      <c r="F10" s="1" t="s">
        <v>22</v>
      </c>
      <c r="G10" s="1" t="s">
        <v>279</v>
      </c>
      <c r="H10" s="1" t="s">
        <v>329</v>
      </c>
      <c r="I10" s="1" t="s">
        <v>43</v>
      </c>
      <c r="J10" s="1" t="s">
        <v>327</v>
      </c>
      <c r="K10" s="1" t="s">
        <v>328</v>
      </c>
      <c r="L10" s="1" t="s">
        <v>330</v>
      </c>
      <c r="M10" s="1" t="s">
        <v>258</v>
      </c>
      <c r="N10" s="28" t="s">
        <v>24</v>
      </c>
      <c r="O10" s="2" t="s">
        <v>48</v>
      </c>
      <c r="P10" s="12">
        <v>45975</v>
      </c>
    </row>
    <row r="11" spans="1:22" ht="255">
      <c r="A11" s="1">
        <v>10</v>
      </c>
      <c r="B11" s="1" t="s">
        <v>332</v>
      </c>
      <c r="E11" s="1" t="s">
        <v>30</v>
      </c>
      <c r="F11" s="1" t="s">
        <v>22</v>
      </c>
      <c r="G11" s="1" t="s">
        <v>279</v>
      </c>
      <c r="H11" s="1" t="s">
        <v>380</v>
      </c>
      <c r="I11" s="1" t="s">
        <v>43</v>
      </c>
      <c r="J11" s="1" t="s">
        <v>382</v>
      </c>
      <c r="K11" s="1" t="s">
        <v>381</v>
      </c>
      <c r="L11" s="1" t="s">
        <v>384</v>
      </c>
      <c r="M11" s="1" t="s">
        <v>383</v>
      </c>
      <c r="N11" s="3" t="s">
        <v>24</v>
      </c>
      <c r="O11" s="2" t="s">
        <v>48</v>
      </c>
      <c r="P11" s="12">
        <v>45975</v>
      </c>
    </row>
    <row r="12" spans="1:22" ht="210">
      <c r="A12" s="1">
        <v>11</v>
      </c>
      <c r="B12" s="1" t="s">
        <v>385</v>
      </c>
      <c r="E12" s="1" t="s">
        <v>30</v>
      </c>
      <c r="F12" s="1" t="s">
        <v>22</v>
      </c>
      <c r="G12" s="1" t="s">
        <v>279</v>
      </c>
      <c r="H12" s="1" t="s">
        <v>387</v>
      </c>
      <c r="I12" s="21" t="s">
        <v>42</v>
      </c>
      <c r="J12" s="1" t="s">
        <v>388</v>
      </c>
      <c r="K12" s="1" t="s">
        <v>386</v>
      </c>
      <c r="L12" s="1" t="s">
        <v>389</v>
      </c>
      <c r="M12" s="1" t="s">
        <v>390</v>
      </c>
      <c r="N12" s="3" t="s">
        <v>24</v>
      </c>
      <c r="O12" s="2" t="s">
        <v>48</v>
      </c>
      <c r="P12" s="12">
        <v>45975</v>
      </c>
    </row>
    <row r="13" spans="1:22" ht="240">
      <c r="A13" s="68">
        <v>12</v>
      </c>
      <c r="B13" s="68" t="s">
        <v>391</v>
      </c>
      <c r="C13" s="69" t="s">
        <v>571</v>
      </c>
      <c r="D13" s="70">
        <v>45978</v>
      </c>
      <c r="E13" s="68" t="s">
        <v>30</v>
      </c>
      <c r="F13" s="68" t="s">
        <v>22</v>
      </c>
      <c r="G13" s="68" t="s">
        <v>279</v>
      </c>
      <c r="H13" s="68" t="s">
        <v>570</v>
      </c>
      <c r="I13" s="68" t="s">
        <v>42</v>
      </c>
      <c r="J13" s="68" t="s">
        <v>392</v>
      </c>
      <c r="K13" s="68" t="s">
        <v>393</v>
      </c>
      <c r="L13" s="68" t="s">
        <v>569</v>
      </c>
      <c r="M13" s="68" t="s">
        <v>782</v>
      </c>
      <c r="N13" s="3" t="s">
        <v>24</v>
      </c>
      <c r="O13" s="71" t="s">
        <v>48</v>
      </c>
      <c r="P13" s="72">
        <v>45975</v>
      </c>
      <c r="Q13" s="68" t="s">
        <v>342</v>
      </c>
      <c r="R13" s="68" t="s">
        <v>1220</v>
      </c>
      <c r="S13" s="68" t="s">
        <v>1721</v>
      </c>
      <c r="T13" s="72" t="s">
        <v>1727</v>
      </c>
      <c r="U13" s="68"/>
      <c r="V13" s="68"/>
    </row>
    <row r="14" spans="1:22" ht="120">
      <c r="A14" s="68">
        <v>13</v>
      </c>
      <c r="B14" s="68" t="s">
        <v>394</v>
      </c>
      <c r="C14" s="69" t="s">
        <v>572</v>
      </c>
      <c r="D14" s="70">
        <v>45978</v>
      </c>
      <c r="E14" s="68" t="s">
        <v>30</v>
      </c>
      <c r="F14" s="68" t="s">
        <v>22</v>
      </c>
      <c r="G14" s="68" t="s">
        <v>279</v>
      </c>
      <c r="H14" s="68" t="s">
        <v>396</v>
      </c>
      <c r="I14" s="68" t="s">
        <v>42</v>
      </c>
      <c r="J14" s="68" t="s">
        <v>395</v>
      </c>
      <c r="K14" s="68" t="s">
        <v>397</v>
      </c>
      <c r="L14" s="68" t="s">
        <v>398</v>
      </c>
      <c r="M14" s="68" t="s">
        <v>399</v>
      </c>
      <c r="N14" s="3" t="s">
        <v>24</v>
      </c>
      <c r="O14" s="71" t="s">
        <v>48</v>
      </c>
      <c r="P14" s="72">
        <v>45975</v>
      </c>
      <c r="Q14" s="68" t="s">
        <v>342</v>
      </c>
      <c r="R14" s="68" t="s">
        <v>1220</v>
      </c>
      <c r="S14" s="68" t="s">
        <v>1721</v>
      </c>
      <c r="T14" s="72" t="s">
        <v>1727</v>
      </c>
      <c r="U14" s="68"/>
      <c r="V14" s="68"/>
    </row>
    <row r="15" spans="1:22" ht="120">
      <c r="A15" s="24">
        <v>14</v>
      </c>
      <c r="B15" s="24" t="s">
        <v>400</v>
      </c>
      <c r="C15" s="24"/>
      <c r="D15" s="24"/>
      <c r="E15" s="24" t="s">
        <v>30</v>
      </c>
      <c r="F15" s="24" t="s">
        <v>22</v>
      </c>
      <c r="G15" s="24" t="s">
        <v>279</v>
      </c>
      <c r="H15" s="24" t="s">
        <v>741</v>
      </c>
      <c r="I15" s="25" t="s">
        <v>42</v>
      </c>
      <c r="J15" s="24" t="s">
        <v>742</v>
      </c>
      <c r="K15" s="24" t="s">
        <v>749</v>
      </c>
      <c r="L15" s="24" t="s">
        <v>743</v>
      </c>
      <c r="M15" s="24" t="s">
        <v>744</v>
      </c>
      <c r="N15" s="3" t="s">
        <v>24</v>
      </c>
      <c r="O15" s="2" t="s">
        <v>48</v>
      </c>
      <c r="P15" s="12">
        <v>45975</v>
      </c>
    </row>
    <row r="16" spans="1:22" ht="120">
      <c r="A16" s="24">
        <v>15</v>
      </c>
      <c r="B16" s="24" t="s">
        <v>401</v>
      </c>
      <c r="C16" s="24"/>
      <c r="D16" s="24"/>
      <c r="E16" s="24" t="s">
        <v>30</v>
      </c>
      <c r="F16" s="24" t="s">
        <v>22</v>
      </c>
      <c r="G16" s="24" t="s">
        <v>279</v>
      </c>
      <c r="H16" s="24" t="s">
        <v>745</v>
      </c>
      <c r="I16" s="25" t="s">
        <v>42</v>
      </c>
      <c r="J16" s="24" t="s">
        <v>746</v>
      </c>
      <c r="K16" s="29" t="s">
        <v>750</v>
      </c>
      <c r="L16" s="24" t="s">
        <v>747</v>
      </c>
      <c r="M16" s="24" t="s">
        <v>748</v>
      </c>
      <c r="N16" s="3" t="s">
        <v>24</v>
      </c>
      <c r="O16" s="2" t="s">
        <v>48</v>
      </c>
      <c r="P16" s="12">
        <v>45975</v>
      </c>
    </row>
    <row r="17" spans="1:22" ht="114">
      <c r="A17" s="1">
        <v>16</v>
      </c>
      <c r="B17" s="1" t="s">
        <v>402</v>
      </c>
      <c r="E17" s="1" t="s">
        <v>30</v>
      </c>
      <c r="F17" s="1" t="s">
        <v>22</v>
      </c>
      <c r="G17" s="1" t="s">
        <v>279</v>
      </c>
      <c r="H17" s="1" t="s">
        <v>403</v>
      </c>
      <c r="I17" s="21" t="s">
        <v>42</v>
      </c>
      <c r="J17" s="1" t="s">
        <v>404</v>
      </c>
      <c r="K17" s="1" t="s">
        <v>255</v>
      </c>
      <c r="L17" s="1" t="s">
        <v>405</v>
      </c>
      <c r="M17" s="1" t="s">
        <v>406</v>
      </c>
      <c r="N17" s="3" t="s">
        <v>24</v>
      </c>
      <c r="O17" s="2" t="s">
        <v>48</v>
      </c>
      <c r="P17" s="12">
        <v>45975</v>
      </c>
    </row>
    <row r="18" spans="1:22" ht="195">
      <c r="A18" s="1">
        <v>17</v>
      </c>
      <c r="B18" s="1" t="s">
        <v>407</v>
      </c>
      <c r="E18" s="1" t="s">
        <v>30</v>
      </c>
      <c r="F18" s="1" t="s">
        <v>22</v>
      </c>
      <c r="G18" s="1" t="s">
        <v>279</v>
      </c>
      <c r="H18" s="1" t="s">
        <v>408</v>
      </c>
      <c r="I18" s="21" t="s">
        <v>42</v>
      </c>
      <c r="J18" s="1" t="s">
        <v>409</v>
      </c>
      <c r="K18" s="5" t="s">
        <v>413</v>
      </c>
      <c r="L18" s="5" t="s">
        <v>412</v>
      </c>
      <c r="M18" s="5" t="s">
        <v>411</v>
      </c>
      <c r="N18" s="3" t="s">
        <v>24</v>
      </c>
      <c r="O18" s="2" t="s">
        <v>48</v>
      </c>
      <c r="P18" s="12">
        <v>45975</v>
      </c>
    </row>
    <row r="19" spans="1:22" ht="120">
      <c r="A19" s="1">
        <v>18</v>
      </c>
      <c r="B19" s="1" t="s">
        <v>414</v>
      </c>
      <c r="E19" s="1" t="s">
        <v>30</v>
      </c>
      <c r="F19" s="1" t="s">
        <v>22</v>
      </c>
      <c r="G19" s="1" t="s">
        <v>279</v>
      </c>
      <c r="H19" s="1" t="s">
        <v>415</v>
      </c>
      <c r="I19" s="21" t="s">
        <v>42</v>
      </c>
      <c r="J19" s="1" t="s">
        <v>416</v>
      </c>
      <c r="K19" s="1" t="s">
        <v>443</v>
      </c>
      <c r="L19" s="1" t="s">
        <v>417</v>
      </c>
      <c r="M19" s="1" t="s">
        <v>418</v>
      </c>
      <c r="N19" s="3" t="s">
        <v>24</v>
      </c>
      <c r="O19" s="2" t="s">
        <v>48</v>
      </c>
      <c r="P19" s="12">
        <v>45976</v>
      </c>
    </row>
    <row r="20" spans="1:22" ht="195">
      <c r="A20" s="1">
        <v>19</v>
      </c>
      <c r="B20" s="1" t="s">
        <v>419</v>
      </c>
      <c r="E20" s="1" t="s">
        <v>30</v>
      </c>
      <c r="F20" s="1" t="s">
        <v>22</v>
      </c>
      <c r="G20" s="1" t="s">
        <v>279</v>
      </c>
      <c r="H20" s="1" t="s">
        <v>420</v>
      </c>
      <c r="I20" s="21" t="s">
        <v>42</v>
      </c>
      <c r="J20" s="1" t="s">
        <v>409</v>
      </c>
      <c r="K20" s="5" t="s">
        <v>410</v>
      </c>
      <c r="L20" s="5" t="s">
        <v>368</v>
      </c>
      <c r="M20" s="5" t="s">
        <v>421</v>
      </c>
      <c r="N20" s="3" t="s">
        <v>24</v>
      </c>
      <c r="O20" s="2" t="s">
        <v>48</v>
      </c>
      <c r="P20" s="12">
        <v>45976</v>
      </c>
    </row>
    <row r="21" spans="1:22" ht="120">
      <c r="A21" s="1">
        <v>20</v>
      </c>
      <c r="B21" s="1" t="s">
        <v>422</v>
      </c>
      <c r="E21" s="1" t="s">
        <v>30</v>
      </c>
      <c r="F21" s="1" t="s">
        <v>22</v>
      </c>
      <c r="G21" s="1" t="s">
        <v>279</v>
      </c>
      <c r="H21" s="1" t="s">
        <v>423</v>
      </c>
      <c r="I21" s="21" t="s">
        <v>42</v>
      </c>
      <c r="J21" s="1" t="s">
        <v>424</v>
      </c>
      <c r="K21" s="1" t="s">
        <v>442</v>
      </c>
      <c r="L21" s="1" t="s">
        <v>425</v>
      </c>
      <c r="M21" s="1" t="s">
        <v>426</v>
      </c>
      <c r="N21" s="3" t="s">
        <v>24</v>
      </c>
      <c r="O21" s="2" t="s">
        <v>48</v>
      </c>
      <c r="P21" s="12">
        <v>45976</v>
      </c>
    </row>
    <row r="22" spans="1:22" ht="114">
      <c r="A22" s="1">
        <v>21</v>
      </c>
      <c r="B22" s="1" t="s">
        <v>427</v>
      </c>
      <c r="E22" s="1" t="s">
        <v>30</v>
      </c>
      <c r="F22" s="1" t="s">
        <v>22</v>
      </c>
      <c r="G22" s="1" t="s">
        <v>279</v>
      </c>
      <c r="H22" s="5" t="s">
        <v>428</v>
      </c>
      <c r="I22" s="21" t="s">
        <v>42</v>
      </c>
      <c r="J22" s="1" t="s">
        <v>429</v>
      </c>
      <c r="K22" s="5" t="s">
        <v>430</v>
      </c>
      <c r="L22" s="1" t="s">
        <v>431</v>
      </c>
      <c r="M22" s="1" t="s">
        <v>432</v>
      </c>
      <c r="N22" s="3" t="s">
        <v>24</v>
      </c>
      <c r="O22" s="2" t="s">
        <v>48</v>
      </c>
      <c r="P22" s="12">
        <v>45976</v>
      </c>
    </row>
    <row r="23" spans="1:22" ht="195">
      <c r="A23" s="1">
        <v>22</v>
      </c>
      <c r="B23" s="1" t="s">
        <v>433</v>
      </c>
      <c r="E23" s="1" t="s">
        <v>30</v>
      </c>
      <c r="F23" s="1" t="s">
        <v>22</v>
      </c>
      <c r="G23" s="1" t="s">
        <v>279</v>
      </c>
      <c r="H23" s="1" t="s">
        <v>451</v>
      </c>
      <c r="I23" s="21" t="s">
        <v>42</v>
      </c>
      <c r="J23" s="1" t="s">
        <v>409</v>
      </c>
      <c r="K23" s="5" t="s">
        <v>434</v>
      </c>
      <c r="L23" s="5" t="s">
        <v>435</v>
      </c>
      <c r="M23" s="5" t="s">
        <v>436</v>
      </c>
      <c r="N23" s="3" t="s">
        <v>24</v>
      </c>
      <c r="O23" s="2" t="s">
        <v>48</v>
      </c>
      <c r="P23" s="12">
        <v>45976</v>
      </c>
    </row>
    <row r="24" spans="1:22" ht="120">
      <c r="A24" s="1">
        <v>23</v>
      </c>
      <c r="B24" s="1" t="s">
        <v>437</v>
      </c>
      <c r="E24" s="1" t="s">
        <v>30</v>
      </c>
      <c r="F24" s="1" t="s">
        <v>22</v>
      </c>
      <c r="G24" s="1" t="s">
        <v>279</v>
      </c>
      <c r="H24" s="5" t="s">
        <v>450</v>
      </c>
      <c r="I24" s="21" t="s">
        <v>42</v>
      </c>
      <c r="J24" s="1" t="s">
        <v>438</v>
      </c>
      <c r="K24" s="21" t="s">
        <v>439</v>
      </c>
      <c r="L24" s="1" t="s">
        <v>440</v>
      </c>
      <c r="M24" s="1" t="s">
        <v>441</v>
      </c>
      <c r="N24" s="3" t="s">
        <v>24</v>
      </c>
      <c r="O24" s="2" t="s">
        <v>48</v>
      </c>
      <c r="P24" s="12">
        <v>45976</v>
      </c>
    </row>
    <row r="25" spans="1:22" ht="114">
      <c r="A25" s="1">
        <v>24</v>
      </c>
      <c r="B25" s="1" t="s">
        <v>444</v>
      </c>
      <c r="E25" s="1" t="s">
        <v>30</v>
      </c>
      <c r="F25" s="1" t="s">
        <v>22</v>
      </c>
      <c r="G25" s="1" t="s">
        <v>279</v>
      </c>
      <c r="H25" s="5" t="s">
        <v>452</v>
      </c>
      <c r="I25" s="21" t="s">
        <v>42</v>
      </c>
      <c r="J25" s="1" t="s">
        <v>445</v>
      </c>
      <c r="K25" s="22" t="s">
        <v>446</v>
      </c>
      <c r="L25" s="1" t="s">
        <v>447</v>
      </c>
      <c r="M25" s="1" t="s">
        <v>448</v>
      </c>
      <c r="N25" s="3" t="s">
        <v>24</v>
      </c>
      <c r="O25" s="2" t="s">
        <v>48</v>
      </c>
      <c r="P25" s="12">
        <v>45976</v>
      </c>
    </row>
    <row r="26" spans="1:22" ht="120">
      <c r="A26" s="68">
        <v>25</v>
      </c>
      <c r="B26" s="68" t="s">
        <v>449</v>
      </c>
      <c r="C26" s="69" t="s">
        <v>573</v>
      </c>
      <c r="D26" s="70">
        <v>45978</v>
      </c>
      <c r="E26" s="68" t="s">
        <v>30</v>
      </c>
      <c r="F26" s="68" t="s">
        <v>22</v>
      </c>
      <c r="G26" s="68" t="s">
        <v>279</v>
      </c>
      <c r="H26" s="95" t="s">
        <v>453</v>
      </c>
      <c r="I26" s="68" t="s">
        <v>42</v>
      </c>
      <c r="J26" s="68" t="s">
        <v>454</v>
      </c>
      <c r="K26" s="104" t="s">
        <v>455</v>
      </c>
      <c r="L26" s="68" t="s">
        <v>456</v>
      </c>
      <c r="M26" s="68" t="s">
        <v>457</v>
      </c>
      <c r="N26" s="3" t="s">
        <v>24</v>
      </c>
      <c r="O26" s="71" t="s">
        <v>48</v>
      </c>
      <c r="P26" s="72">
        <v>45976</v>
      </c>
      <c r="Q26" s="68" t="s">
        <v>342</v>
      </c>
      <c r="R26" s="68" t="s">
        <v>1220</v>
      </c>
      <c r="S26" s="68" t="s">
        <v>4540</v>
      </c>
      <c r="T26" s="72" t="s">
        <v>1727</v>
      </c>
      <c r="U26" s="68"/>
      <c r="V26" s="68"/>
    </row>
    <row r="27" spans="1:22" ht="114">
      <c r="A27" s="1">
        <v>26</v>
      </c>
      <c r="B27" s="1" t="s">
        <v>458</v>
      </c>
      <c r="E27" s="1" t="s">
        <v>30</v>
      </c>
      <c r="F27" s="1" t="s">
        <v>22</v>
      </c>
      <c r="G27" s="1" t="s">
        <v>279</v>
      </c>
      <c r="H27" s="5" t="s">
        <v>459</v>
      </c>
      <c r="I27" s="21" t="s">
        <v>42</v>
      </c>
      <c r="J27" s="1" t="s">
        <v>464</v>
      </c>
      <c r="K27" s="1" t="s">
        <v>460</v>
      </c>
      <c r="L27" s="1" t="s">
        <v>461</v>
      </c>
      <c r="M27" s="1" t="s">
        <v>462</v>
      </c>
      <c r="N27" s="3" t="s">
        <v>24</v>
      </c>
      <c r="O27" s="2" t="s">
        <v>48</v>
      </c>
      <c r="P27" s="12">
        <v>45976</v>
      </c>
    </row>
    <row r="28" spans="1:22" ht="180">
      <c r="A28" s="1">
        <v>27</v>
      </c>
      <c r="B28" s="1" t="s">
        <v>463</v>
      </c>
      <c r="E28" s="1" t="s">
        <v>30</v>
      </c>
      <c r="F28" s="1" t="s">
        <v>22</v>
      </c>
      <c r="G28" s="1" t="s">
        <v>279</v>
      </c>
      <c r="H28" s="5" t="s">
        <v>465</v>
      </c>
      <c r="I28" s="21" t="s">
        <v>42</v>
      </c>
      <c r="J28" s="1" t="s">
        <v>466</v>
      </c>
      <c r="K28" s="1" t="s">
        <v>467</v>
      </c>
      <c r="L28" s="1" t="s">
        <v>468</v>
      </c>
      <c r="M28" s="1" t="s">
        <v>469</v>
      </c>
      <c r="N28" s="3" t="s">
        <v>24</v>
      </c>
      <c r="O28" s="2" t="s">
        <v>48</v>
      </c>
      <c r="P28" s="12">
        <v>45976</v>
      </c>
    </row>
    <row r="29" spans="1:22" ht="114">
      <c r="A29" s="1">
        <v>28</v>
      </c>
      <c r="B29" s="1" t="s">
        <v>470</v>
      </c>
      <c r="E29" s="1" t="s">
        <v>30</v>
      </c>
      <c r="F29" s="1" t="s">
        <v>22</v>
      </c>
      <c r="G29" s="1" t="s">
        <v>279</v>
      </c>
      <c r="H29" s="5" t="s">
        <v>471</v>
      </c>
      <c r="I29" s="21" t="s">
        <v>42</v>
      </c>
      <c r="J29" s="1" t="s">
        <v>472</v>
      </c>
      <c r="K29" s="1" t="s">
        <v>473</v>
      </c>
      <c r="L29" s="1" t="s">
        <v>474</v>
      </c>
      <c r="M29" s="1" t="s">
        <v>475</v>
      </c>
      <c r="N29" s="3" t="s">
        <v>24</v>
      </c>
      <c r="O29" s="2" t="s">
        <v>48</v>
      </c>
      <c r="P29" s="12">
        <v>45976</v>
      </c>
    </row>
    <row r="30" spans="1:22" ht="135">
      <c r="A30" s="68">
        <v>29</v>
      </c>
      <c r="B30" s="68" t="s">
        <v>476</v>
      </c>
      <c r="C30" s="105" t="s">
        <v>577</v>
      </c>
      <c r="D30" s="102">
        <v>45978</v>
      </c>
      <c r="E30" s="68" t="s">
        <v>30</v>
      </c>
      <c r="F30" s="68" t="s">
        <v>22</v>
      </c>
      <c r="G30" s="68" t="s">
        <v>279</v>
      </c>
      <c r="H30" s="95" t="s">
        <v>477</v>
      </c>
      <c r="I30" s="68" t="s">
        <v>42</v>
      </c>
      <c r="J30" s="68" t="s">
        <v>478</v>
      </c>
      <c r="K30" s="68" t="s">
        <v>479</v>
      </c>
      <c r="L30" s="68" t="s">
        <v>480</v>
      </c>
      <c r="M30" s="68" t="s">
        <v>575</v>
      </c>
      <c r="N30" s="3" t="s">
        <v>24</v>
      </c>
      <c r="O30" s="71" t="s">
        <v>48</v>
      </c>
      <c r="P30" s="72">
        <v>45976</v>
      </c>
      <c r="Q30" s="68" t="s">
        <v>3159</v>
      </c>
      <c r="R30" s="68" t="s">
        <v>1220</v>
      </c>
      <c r="S30" s="68" t="s">
        <v>4540</v>
      </c>
      <c r="T30" s="72" t="s">
        <v>4539</v>
      </c>
      <c r="U30" s="68"/>
      <c r="V30" s="68"/>
    </row>
    <row r="31" spans="1:22" ht="120">
      <c r="A31" s="68">
        <v>30</v>
      </c>
      <c r="B31" s="68" t="s">
        <v>481</v>
      </c>
      <c r="C31" s="69" t="s">
        <v>574</v>
      </c>
      <c r="D31" s="70">
        <v>45978</v>
      </c>
      <c r="E31" s="68" t="s">
        <v>30</v>
      </c>
      <c r="F31" s="68" t="s">
        <v>22</v>
      </c>
      <c r="G31" s="68" t="s">
        <v>279</v>
      </c>
      <c r="H31" s="95" t="s">
        <v>482</v>
      </c>
      <c r="I31" s="97" t="s">
        <v>42</v>
      </c>
      <c r="J31" s="68" t="s">
        <v>483</v>
      </c>
      <c r="K31" s="68" t="s">
        <v>487</v>
      </c>
      <c r="L31" s="68" t="s">
        <v>484</v>
      </c>
      <c r="M31" s="68" t="s">
        <v>576</v>
      </c>
      <c r="N31" s="3" t="s">
        <v>24</v>
      </c>
      <c r="O31" s="71" t="s">
        <v>48</v>
      </c>
      <c r="P31" s="72">
        <v>45976</v>
      </c>
      <c r="Q31" s="68" t="s">
        <v>3159</v>
      </c>
      <c r="R31" s="68" t="s">
        <v>1220</v>
      </c>
      <c r="S31" s="68" t="s">
        <v>1721</v>
      </c>
      <c r="T31" s="72" t="s">
        <v>4539</v>
      </c>
      <c r="U31" s="68"/>
      <c r="V31" s="68"/>
    </row>
    <row r="32" spans="1:22" ht="114">
      <c r="A32" s="1">
        <v>31</v>
      </c>
      <c r="B32" s="1" t="s">
        <v>485</v>
      </c>
      <c r="E32" s="1" t="s">
        <v>30</v>
      </c>
      <c r="F32" s="1" t="s">
        <v>22</v>
      </c>
      <c r="G32" s="1" t="s">
        <v>279</v>
      </c>
      <c r="H32" s="5" t="s">
        <v>486</v>
      </c>
      <c r="I32" s="21" t="s">
        <v>42</v>
      </c>
      <c r="J32" s="1" t="s">
        <v>488</v>
      </c>
      <c r="K32" s="1" t="s">
        <v>489</v>
      </c>
      <c r="L32" s="5" t="s">
        <v>490</v>
      </c>
      <c r="M32" s="1" t="s">
        <v>783</v>
      </c>
      <c r="N32" s="3" t="s">
        <v>24</v>
      </c>
      <c r="O32" s="2" t="s">
        <v>48</v>
      </c>
      <c r="P32" s="12">
        <v>45976</v>
      </c>
    </row>
    <row r="33" spans="1:22" ht="120">
      <c r="A33" s="1">
        <v>32</v>
      </c>
      <c r="B33" s="1" t="s">
        <v>491</v>
      </c>
      <c r="C33" s="23"/>
      <c r="D33" s="23"/>
      <c r="E33" s="1" t="s">
        <v>30</v>
      </c>
      <c r="F33" s="1" t="s">
        <v>22</v>
      </c>
      <c r="G33" s="1" t="s">
        <v>279</v>
      </c>
      <c r="H33" s="5" t="s">
        <v>492</v>
      </c>
      <c r="I33" s="1" t="s">
        <v>42</v>
      </c>
      <c r="J33" s="1" t="s">
        <v>493</v>
      </c>
      <c r="K33" s="1" t="s">
        <v>494</v>
      </c>
      <c r="L33" s="1" t="s">
        <v>495</v>
      </c>
      <c r="M33" s="1" t="s">
        <v>784</v>
      </c>
      <c r="N33" s="3" t="s">
        <v>24</v>
      </c>
      <c r="O33" s="2" t="s">
        <v>48</v>
      </c>
      <c r="P33" s="12">
        <v>45976</v>
      </c>
      <c r="Q33" s="1" t="s">
        <v>342</v>
      </c>
      <c r="R33" s="1" t="s">
        <v>334</v>
      </c>
    </row>
    <row r="34" spans="1:22" ht="114">
      <c r="A34" s="68">
        <v>33</v>
      </c>
      <c r="B34" s="68" t="s">
        <v>496</v>
      </c>
      <c r="C34" s="69" t="s">
        <v>578</v>
      </c>
      <c r="D34" s="70">
        <v>45978</v>
      </c>
      <c r="E34" s="68" t="s">
        <v>30</v>
      </c>
      <c r="F34" s="68" t="s">
        <v>22</v>
      </c>
      <c r="G34" s="68" t="s">
        <v>279</v>
      </c>
      <c r="H34" s="95" t="s">
        <v>498</v>
      </c>
      <c r="I34" s="68" t="s">
        <v>42</v>
      </c>
      <c r="J34" s="68" t="s">
        <v>499</v>
      </c>
      <c r="K34" s="68" t="s">
        <v>497</v>
      </c>
      <c r="L34" s="68" t="s">
        <v>500</v>
      </c>
      <c r="M34" s="68" t="s">
        <v>501</v>
      </c>
      <c r="N34" s="3" t="s">
        <v>24</v>
      </c>
      <c r="O34" s="71" t="s">
        <v>48</v>
      </c>
      <c r="P34" s="72">
        <v>45976</v>
      </c>
      <c r="Q34" s="68" t="s">
        <v>342</v>
      </c>
      <c r="R34" s="68" t="s">
        <v>1220</v>
      </c>
      <c r="S34" s="68" t="s">
        <v>1721</v>
      </c>
      <c r="T34" s="72" t="s">
        <v>1727</v>
      </c>
      <c r="U34" s="68"/>
      <c r="V34" s="68"/>
    </row>
    <row r="35" spans="1:22" ht="180">
      <c r="A35" s="68">
        <v>34</v>
      </c>
      <c r="B35" s="68" t="s">
        <v>502</v>
      </c>
      <c r="C35" s="69" t="s">
        <v>579</v>
      </c>
      <c r="D35" s="70">
        <v>45978</v>
      </c>
      <c r="E35" s="68" t="s">
        <v>30</v>
      </c>
      <c r="F35" s="68" t="s">
        <v>22</v>
      </c>
      <c r="G35" s="68" t="s">
        <v>279</v>
      </c>
      <c r="H35" s="95" t="s">
        <v>510</v>
      </c>
      <c r="I35" s="68" t="s">
        <v>42</v>
      </c>
      <c r="J35" s="68" t="s">
        <v>503</v>
      </c>
      <c r="K35" s="68" t="s">
        <v>504</v>
      </c>
      <c r="L35" s="68" t="s">
        <v>505</v>
      </c>
      <c r="M35" s="68" t="s">
        <v>514</v>
      </c>
      <c r="N35" s="3" t="s">
        <v>24</v>
      </c>
      <c r="O35" s="71" t="s">
        <v>48</v>
      </c>
      <c r="P35" s="72">
        <v>45976</v>
      </c>
      <c r="Q35" s="68" t="s">
        <v>342</v>
      </c>
      <c r="R35" s="68" t="s">
        <v>1220</v>
      </c>
      <c r="S35" s="68" t="s">
        <v>1721</v>
      </c>
      <c r="T35" s="72" t="s">
        <v>1727</v>
      </c>
      <c r="U35" s="68"/>
      <c r="V35" s="68"/>
    </row>
    <row r="36" spans="1:22" ht="120">
      <c r="A36" s="68">
        <v>35</v>
      </c>
      <c r="B36" s="68" t="s">
        <v>509</v>
      </c>
      <c r="C36" s="69" t="s">
        <v>580</v>
      </c>
      <c r="D36" s="70">
        <v>45978</v>
      </c>
      <c r="E36" s="68" t="s">
        <v>30</v>
      </c>
      <c r="F36" s="68" t="s">
        <v>22</v>
      </c>
      <c r="G36" s="68" t="s">
        <v>279</v>
      </c>
      <c r="H36" s="95" t="s">
        <v>511</v>
      </c>
      <c r="I36" s="68" t="s">
        <v>42</v>
      </c>
      <c r="J36" s="68" t="s">
        <v>503</v>
      </c>
      <c r="K36" s="68" t="s">
        <v>512</v>
      </c>
      <c r="L36" s="68" t="s">
        <v>513</v>
      </c>
      <c r="M36" s="68" t="s">
        <v>515</v>
      </c>
      <c r="N36" s="3" t="s">
        <v>24</v>
      </c>
      <c r="O36" s="71" t="s">
        <v>48</v>
      </c>
      <c r="P36" s="72">
        <v>45976</v>
      </c>
      <c r="Q36" s="68" t="s">
        <v>342</v>
      </c>
      <c r="R36" s="68" t="s">
        <v>1220</v>
      </c>
      <c r="S36" s="68" t="s">
        <v>1721</v>
      </c>
      <c r="T36" s="72" t="s">
        <v>1727</v>
      </c>
      <c r="U36" s="68"/>
      <c r="V36" s="68"/>
    </row>
    <row r="37" spans="1:22" ht="114">
      <c r="A37" s="24">
        <v>36</v>
      </c>
      <c r="B37" s="24" t="s">
        <v>518</v>
      </c>
      <c r="C37" s="24"/>
      <c r="D37" s="24"/>
      <c r="E37" s="24" t="s">
        <v>30</v>
      </c>
      <c r="F37" s="24" t="s">
        <v>22</v>
      </c>
      <c r="G37" s="24" t="s">
        <v>279</v>
      </c>
      <c r="H37" s="16" t="s">
        <v>517</v>
      </c>
      <c r="I37" s="25" t="s">
        <v>42</v>
      </c>
      <c r="J37" s="24" t="s">
        <v>521</v>
      </c>
      <c r="K37" s="24" t="s">
        <v>738</v>
      </c>
      <c r="L37" s="24" t="s">
        <v>739</v>
      </c>
      <c r="M37" s="24" t="s">
        <v>740</v>
      </c>
      <c r="N37" s="3" t="s">
        <v>24</v>
      </c>
      <c r="O37" s="26" t="s">
        <v>48</v>
      </c>
      <c r="P37" s="27">
        <v>45976</v>
      </c>
    </row>
    <row r="38" spans="1:22" ht="114">
      <c r="A38" s="24">
        <v>37</v>
      </c>
      <c r="B38" s="24" t="s">
        <v>519</v>
      </c>
      <c r="C38" s="24"/>
      <c r="D38" s="24"/>
      <c r="E38" s="24" t="s">
        <v>30</v>
      </c>
      <c r="F38" s="24" t="s">
        <v>22</v>
      </c>
      <c r="G38" s="24" t="s">
        <v>279</v>
      </c>
      <c r="H38" s="16" t="s">
        <v>520</v>
      </c>
      <c r="I38" s="25" t="s">
        <v>42</v>
      </c>
      <c r="J38" s="24" t="s">
        <v>522</v>
      </c>
      <c r="K38" s="24" t="s">
        <v>738</v>
      </c>
      <c r="L38" s="24" t="s">
        <v>739</v>
      </c>
      <c r="M38" s="24" t="s">
        <v>740</v>
      </c>
      <c r="N38" s="3" t="s">
        <v>24</v>
      </c>
      <c r="O38" s="26" t="s">
        <v>48</v>
      </c>
      <c r="P38" s="27">
        <v>45976</v>
      </c>
    </row>
    <row r="39" spans="1:22" ht="165">
      <c r="A39" s="1">
        <v>38</v>
      </c>
      <c r="B39" s="1" t="s">
        <v>523</v>
      </c>
      <c r="E39" s="1" t="s">
        <v>30</v>
      </c>
      <c r="F39" s="1" t="s">
        <v>22</v>
      </c>
      <c r="G39" s="1" t="s">
        <v>279</v>
      </c>
      <c r="H39" s="5" t="s">
        <v>922</v>
      </c>
      <c r="I39" s="21" t="s">
        <v>42</v>
      </c>
      <c r="J39" s="1" t="s">
        <v>524</v>
      </c>
      <c r="K39" s="5" t="s">
        <v>194</v>
      </c>
      <c r="L39" s="5" t="s">
        <v>525</v>
      </c>
      <c r="M39" s="5" t="s">
        <v>196</v>
      </c>
      <c r="N39" s="3" t="s">
        <v>24</v>
      </c>
      <c r="O39" s="2" t="s">
        <v>48</v>
      </c>
      <c r="P39" s="12">
        <v>45976</v>
      </c>
    </row>
    <row r="40" spans="1:22" ht="195">
      <c r="A40" s="68">
        <v>39</v>
      </c>
      <c r="B40" s="68" t="s">
        <v>526</v>
      </c>
      <c r="C40" s="69" t="s">
        <v>583</v>
      </c>
      <c r="D40" s="70">
        <v>45978</v>
      </c>
      <c r="E40" s="68" t="s">
        <v>30</v>
      </c>
      <c r="F40" s="68" t="s">
        <v>22</v>
      </c>
      <c r="G40" s="68" t="s">
        <v>279</v>
      </c>
      <c r="H40" s="95" t="s">
        <v>527</v>
      </c>
      <c r="I40" s="68" t="s">
        <v>42</v>
      </c>
      <c r="J40" s="68" t="s">
        <v>528</v>
      </c>
      <c r="K40" s="95" t="s">
        <v>529</v>
      </c>
      <c r="L40" s="95" t="s">
        <v>530</v>
      </c>
      <c r="M40" s="95" t="s">
        <v>531</v>
      </c>
      <c r="N40" s="3" t="s">
        <v>24</v>
      </c>
      <c r="O40" s="71" t="s">
        <v>48</v>
      </c>
      <c r="P40" s="72">
        <v>45976</v>
      </c>
      <c r="Q40" s="68" t="s">
        <v>342</v>
      </c>
      <c r="R40" s="68" t="s">
        <v>1220</v>
      </c>
      <c r="S40" s="68" t="s">
        <v>1721</v>
      </c>
      <c r="T40" s="72" t="s">
        <v>1727</v>
      </c>
      <c r="U40" s="68"/>
      <c r="V40" s="68"/>
    </row>
    <row r="41" spans="1:22" ht="114">
      <c r="A41" s="68">
        <v>40</v>
      </c>
      <c r="B41" s="68" t="s">
        <v>532</v>
      </c>
      <c r="C41" s="69" t="s">
        <v>584</v>
      </c>
      <c r="D41" s="70">
        <v>45978</v>
      </c>
      <c r="E41" s="68" t="s">
        <v>30</v>
      </c>
      <c r="F41" s="68" t="s">
        <v>22</v>
      </c>
      <c r="G41" s="68" t="s">
        <v>279</v>
      </c>
      <c r="H41" s="95" t="s">
        <v>533</v>
      </c>
      <c r="I41" s="68" t="s">
        <v>42</v>
      </c>
      <c r="J41" s="68" t="s">
        <v>534</v>
      </c>
      <c r="K41" s="68" t="s">
        <v>535</v>
      </c>
      <c r="L41" s="68" t="s">
        <v>581</v>
      </c>
      <c r="M41" s="68" t="s">
        <v>582</v>
      </c>
      <c r="N41" s="3" t="s">
        <v>24</v>
      </c>
      <c r="O41" s="71" t="s">
        <v>48</v>
      </c>
      <c r="P41" s="72">
        <v>45978</v>
      </c>
      <c r="Q41" s="68" t="s">
        <v>342</v>
      </c>
      <c r="R41" s="68" t="s">
        <v>1220</v>
      </c>
      <c r="S41" s="68" t="s">
        <v>1721</v>
      </c>
      <c r="T41" s="72" t="s">
        <v>1727</v>
      </c>
      <c r="U41" s="68"/>
      <c r="V41" s="68"/>
    </row>
    <row r="42" spans="1:22" ht="150">
      <c r="A42" s="1">
        <v>41</v>
      </c>
      <c r="B42" s="1" t="s">
        <v>536</v>
      </c>
      <c r="E42" s="1" t="s">
        <v>30</v>
      </c>
      <c r="F42" s="1" t="s">
        <v>22</v>
      </c>
      <c r="G42" s="1" t="s">
        <v>279</v>
      </c>
      <c r="H42" s="5" t="s">
        <v>537</v>
      </c>
      <c r="I42" s="21" t="s">
        <v>42</v>
      </c>
      <c r="J42" s="1" t="s">
        <v>538</v>
      </c>
      <c r="K42" s="1" t="s">
        <v>539</v>
      </c>
      <c r="L42" s="1" t="s">
        <v>540</v>
      </c>
      <c r="M42" s="1" t="s">
        <v>541</v>
      </c>
      <c r="N42" s="3" t="s">
        <v>24</v>
      </c>
      <c r="O42" s="2" t="s">
        <v>48</v>
      </c>
      <c r="P42" s="12">
        <v>45978</v>
      </c>
    </row>
    <row r="43" spans="1:22" ht="300">
      <c r="A43" s="68">
        <v>42</v>
      </c>
      <c r="B43" s="68" t="s">
        <v>542</v>
      </c>
      <c r="C43" s="69" t="s">
        <v>585</v>
      </c>
      <c r="D43" s="70">
        <v>45978</v>
      </c>
      <c r="E43" s="68" t="s">
        <v>30</v>
      </c>
      <c r="F43" s="68" t="s">
        <v>22</v>
      </c>
      <c r="G43" s="68" t="s">
        <v>279</v>
      </c>
      <c r="H43" s="95" t="s">
        <v>543</v>
      </c>
      <c r="I43" s="68" t="s">
        <v>42</v>
      </c>
      <c r="J43" s="68" t="s">
        <v>544</v>
      </c>
      <c r="K43" s="68" t="s">
        <v>545</v>
      </c>
      <c r="L43" s="68" t="s">
        <v>546</v>
      </c>
      <c r="M43" s="68" t="s">
        <v>547</v>
      </c>
      <c r="N43" s="3" t="s">
        <v>24</v>
      </c>
      <c r="O43" s="71" t="s">
        <v>48</v>
      </c>
      <c r="P43" s="72">
        <v>45978</v>
      </c>
      <c r="Q43" s="68" t="s">
        <v>3159</v>
      </c>
      <c r="R43" s="68" t="s">
        <v>1220</v>
      </c>
      <c r="S43" s="68" t="s">
        <v>4540</v>
      </c>
      <c r="T43" s="72" t="s">
        <v>4539</v>
      </c>
      <c r="U43" s="68"/>
      <c r="V43" s="68"/>
    </row>
    <row r="44" spans="1:22" ht="114">
      <c r="A44" s="68">
        <v>43</v>
      </c>
      <c r="B44" s="68" t="s">
        <v>552</v>
      </c>
      <c r="C44" s="69" t="s">
        <v>586</v>
      </c>
      <c r="D44" s="70">
        <v>45978</v>
      </c>
      <c r="E44" s="68" t="s">
        <v>30</v>
      </c>
      <c r="F44" s="68" t="s">
        <v>22</v>
      </c>
      <c r="G44" s="68" t="s">
        <v>279</v>
      </c>
      <c r="H44" s="95" t="s">
        <v>548</v>
      </c>
      <c r="I44" s="68" t="s">
        <v>42</v>
      </c>
      <c r="J44" s="68" t="s">
        <v>538</v>
      </c>
      <c r="K44" s="68" t="s">
        <v>549</v>
      </c>
      <c r="L44" s="68" t="s">
        <v>550</v>
      </c>
      <c r="M44" s="68" t="s">
        <v>551</v>
      </c>
      <c r="N44" s="3" t="s">
        <v>24</v>
      </c>
      <c r="O44" s="71" t="s">
        <v>48</v>
      </c>
      <c r="P44" s="72">
        <v>45978</v>
      </c>
      <c r="Q44" s="68" t="s">
        <v>342</v>
      </c>
      <c r="R44" s="68" t="s">
        <v>1220</v>
      </c>
      <c r="S44" s="68" t="s">
        <v>1721</v>
      </c>
      <c r="T44" s="72" t="s">
        <v>1727</v>
      </c>
      <c r="U44" s="68"/>
      <c r="V44" s="68"/>
    </row>
    <row r="45" spans="1:22" ht="114">
      <c r="A45" s="1">
        <v>44</v>
      </c>
      <c r="B45" s="1" t="s">
        <v>553</v>
      </c>
      <c r="E45" s="1" t="s">
        <v>30</v>
      </c>
      <c r="F45" s="1" t="s">
        <v>22</v>
      </c>
      <c r="G45" s="1" t="s">
        <v>279</v>
      </c>
      <c r="H45" s="5" t="s">
        <v>554</v>
      </c>
      <c r="I45" s="21" t="s">
        <v>42</v>
      </c>
      <c r="J45" s="1" t="s">
        <v>555</v>
      </c>
      <c r="K45" s="1" t="s">
        <v>556</v>
      </c>
      <c r="L45" s="1" t="s">
        <v>557</v>
      </c>
      <c r="M45" s="1" t="s">
        <v>558</v>
      </c>
      <c r="N45" s="3" t="s">
        <v>24</v>
      </c>
      <c r="O45" s="2" t="s">
        <v>48</v>
      </c>
      <c r="P45" s="12">
        <v>45978</v>
      </c>
    </row>
    <row r="46" spans="1:22" ht="135">
      <c r="A46" s="68">
        <v>45</v>
      </c>
      <c r="B46" s="68" t="s">
        <v>559</v>
      </c>
      <c r="C46" s="69" t="s">
        <v>757</v>
      </c>
      <c r="D46" s="70">
        <v>45980</v>
      </c>
      <c r="E46" s="68" t="s">
        <v>30</v>
      </c>
      <c r="F46" s="68" t="s">
        <v>22</v>
      </c>
      <c r="G46" s="68" t="s">
        <v>279</v>
      </c>
      <c r="H46" s="95" t="s">
        <v>560</v>
      </c>
      <c r="I46" s="68" t="s">
        <v>42</v>
      </c>
      <c r="J46" s="68" t="s">
        <v>561</v>
      </c>
      <c r="K46" s="68" t="s">
        <v>562</v>
      </c>
      <c r="L46" s="68" t="s">
        <v>755</v>
      </c>
      <c r="M46" s="68" t="s">
        <v>756</v>
      </c>
      <c r="N46" s="3" t="s">
        <v>24</v>
      </c>
      <c r="O46" s="71" t="s">
        <v>48</v>
      </c>
      <c r="P46" s="72">
        <v>45978</v>
      </c>
      <c r="Q46" s="68" t="s">
        <v>342</v>
      </c>
      <c r="R46" s="68" t="s">
        <v>1220</v>
      </c>
      <c r="S46" s="68" t="s">
        <v>1721</v>
      </c>
      <c r="T46" s="72" t="s">
        <v>1727</v>
      </c>
      <c r="U46" s="68"/>
      <c r="V46" s="68"/>
    </row>
    <row r="47" spans="1:22" ht="120">
      <c r="A47" s="68">
        <v>46</v>
      </c>
      <c r="B47" s="68" t="s">
        <v>563</v>
      </c>
      <c r="C47" s="69" t="s">
        <v>589</v>
      </c>
      <c r="D47" s="70">
        <v>45978</v>
      </c>
      <c r="E47" s="68" t="s">
        <v>30</v>
      </c>
      <c r="F47" s="68" t="s">
        <v>22</v>
      </c>
      <c r="G47" s="68" t="s">
        <v>279</v>
      </c>
      <c r="H47" s="95" t="s">
        <v>564</v>
      </c>
      <c r="I47" s="68" t="s">
        <v>42</v>
      </c>
      <c r="J47" s="68" t="s">
        <v>565</v>
      </c>
      <c r="K47" s="68" t="s">
        <v>587</v>
      </c>
      <c r="L47" s="68" t="s">
        <v>603</v>
      </c>
      <c r="M47" s="68" t="s">
        <v>588</v>
      </c>
      <c r="N47" s="3" t="s">
        <v>24</v>
      </c>
      <c r="O47" s="71" t="s">
        <v>48</v>
      </c>
      <c r="P47" s="72">
        <v>45978</v>
      </c>
      <c r="Q47" s="68" t="s">
        <v>342</v>
      </c>
      <c r="R47" s="68" t="s">
        <v>1220</v>
      </c>
      <c r="S47" s="68" t="s">
        <v>1721</v>
      </c>
      <c r="T47" s="72" t="s">
        <v>1725</v>
      </c>
      <c r="U47" s="68"/>
      <c r="V47" s="68"/>
    </row>
    <row r="48" spans="1:22" ht="114">
      <c r="A48" s="1">
        <v>47</v>
      </c>
      <c r="B48" s="1" t="s">
        <v>590</v>
      </c>
      <c r="E48" s="1" t="s">
        <v>30</v>
      </c>
      <c r="F48" s="1" t="s">
        <v>22</v>
      </c>
      <c r="G48" s="1" t="s">
        <v>279</v>
      </c>
      <c r="H48" s="5" t="s">
        <v>598</v>
      </c>
      <c r="I48" s="21" t="s">
        <v>42</v>
      </c>
      <c r="J48" s="1" t="s">
        <v>591</v>
      </c>
      <c r="K48" s="1" t="s">
        <v>626</v>
      </c>
      <c r="L48" s="1" t="s">
        <v>592</v>
      </c>
      <c r="M48" s="1" t="s">
        <v>593</v>
      </c>
      <c r="N48" s="3" t="s">
        <v>24</v>
      </c>
      <c r="O48" s="2" t="s">
        <v>48</v>
      </c>
      <c r="P48" s="12">
        <v>45978</v>
      </c>
    </row>
    <row r="49" spans="1:22" ht="120">
      <c r="A49" s="68">
        <v>48</v>
      </c>
      <c r="B49" s="68" t="s">
        <v>596</v>
      </c>
      <c r="C49" s="69" t="s">
        <v>759</v>
      </c>
      <c r="D49" s="70">
        <v>45980</v>
      </c>
      <c r="E49" s="68" t="s">
        <v>30</v>
      </c>
      <c r="F49" s="68" t="s">
        <v>22</v>
      </c>
      <c r="G49" s="68" t="s">
        <v>279</v>
      </c>
      <c r="H49" s="95" t="s">
        <v>599</v>
      </c>
      <c r="I49" s="68" t="s">
        <v>42</v>
      </c>
      <c r="J49" s="68" t="s">
        <v>594</v>
      </c>
      <c r="K49" s="68" t="s">
        <v>595</v>
      </c>
      <c r="L49" s="68" t="s">
        <v>758</v>
      </c>
      <c r="M49" s="68" t="s">
        <v>760</v>
      </c>
      <c r="N49" s="3" t="s">
        <v>24</v>
      </c>
      <c r="O49" s="71" t="s">
        <v>48</v>
      </c>
      <c r="P49" s="72">
        <v>45978</v>
      </c>
      <c r="Q49" s="68" t="s">
        <v>342</v>
      </c>
      <c r="R49" s="68" t="s">
        <v>1220</v>
      </c>
      <c r="S49" s="68" t="s">
        <v>1721</v>
      </c>
      <c r="T49" s="72" t="s">
        <v>1725</v>
      </c>
      <c r="U49" s="68"/>
      <c r="V49" s="68"/>
    </row>
    <row r="50" spans="1:22" ht="114">
      <c r="A50" s="68">
        <v>49</v>
      </c>
      <c r="B50" s="68" t="s">
        <v>597</v>
      </c>
      <c r="C50" s="69" t="s">
        <v>761</v>
      </c>
      <c r="D50" s="70">
        <v>45980</v>
      </c>
      <c r="E50" s="68" t="s">
        <v>30</v>
      </c>
      <c r="F50" s="68" t="s">
        <v>22</v>
      </c>
      <c r="G50" s="68" t="s">
        <v>279</v>
      </c>
      <c r="H50" s="95" t="s">
        <v>600</v>
      </c>
      <c r="I50" s="68" t="s">
        <v>42</v>
      </c>
      <c r="J50" s="68" t="s">
        <v>601</v>
      </c>
      <c r="K50" s="68" t="s">
        <v>602</v>
      </c>
      <c r="L50" s="68" t="s">
        <v>604</v>
      </c>
      <c r="M50" s="68" t="s">
        <v>605</v>
      </c>
      <c r="N50" s="3" t="s">
        <v>24</v>
      </c>
      <c r="O50" s="71" t="s">
        <v>48</v>
      </c>
      <c r="P50" s="72">
        <v>45978</v>
      </c>
      <c r="Q50" s="68" t="s">
        <v>342</v>
      </c>
      <c r="R50" s="68" t="s">
        <v>1220</v>
      </c>
      <c r="S50" s="68" t="s">
        <v>1721</v>
      </c>
      <c r="T50" s="72" t="s">
        <v>1728</v>
      </c>
      <c r="U50" s="68"/>
      <c r="V50" s="68"/>
    </row>
    <row r="51" spans="1:22" ht="120">
      <c r="A51" s="1">
        <v>50</v>
      </c>
      <c r="B51" s="1" t="s">
        <v>606</v>
      </c>
      <c r="E51" s="1" t="s">
        <v>30</v>
      </c>
      <c r="F51" s="1" t="s">
        <v>22</v>
      </c>
      <c r="G51" s="1" t="s">
        <v>279</v>
      </c>
      <c r="H51" s="5" t="s">
        <v>607</v>
      </c>
      <c r="I51" s="1" t="s">
        <v>42</v>
      </c>
      <c r="J51" s="1" t="s">
        <v>608</v>
      </c>
      <c r="K51" s="1" t="s">
        <v>625</v>
      </c>
      <c r="L51" s="1" t="s">
        <v>609</v>
      </c>
      <c r="M51" s="1" t="s">
        <v>610</v>
      </c>
      <c r="N51" s="3" t="s">
        <v>24</v>
      </c>
      <c r="O51" s="2" t="s">
        <v>48</v>
      </c>
      <c r="P51" s="12">
        <v>45978</v>
      </c>
    </row>
    <row r="52" spans="1:22" ht="120">
      <c r="A52" s="68">
        <v>51</v>
      </c>
      <c r="B52" s="68" t="s">
        <v>615</v>
      </c>
      <c r="C52" s="69" t="s">
        <v>763</v>
      </c>
      <c r="D52" s="70">
        <v>45980</v>
      </c>
      <c r="E52" s="68" t="s">
        <v>30</v>
      </c>
      <c r="F52" s="68" t="s">
        <v>22</v>
      </c>
      <c r="G52" s="68" t="s">
        <v>279</v>
      </c>
      <c r="H52" s="95" t="s">
        <v>611</v>
      </c>
      <c r="I52" s="68" t="s">
        <v>42</v>
      </c>
      <c r="J52" s="68" t="s">
        <v>612</v>
      </c>
      <c r="K52" s="68" t="s">
        <v>624</v>
      </c>
      <c r="L52" s="68" t="s">
        <v>762</v>
      </c>
      <c r="M52" s="68" t="s">
        <v>613</v>
      </c>
      <c r="N52" s="3" t="s">
        <v>24</v>
      </c>
      <c r="O52" s="71" t="s">
        <v>48</v>
      </c>
      <c r="P52" s="72">
        <v>45978</v>
      </c>
      <c r="Q52" s="68" t="s">
        <v>342</v>
      </c>
      <c r="R52" s="68" t="s">
        <v>1220</v>
      </c>
      <c r="S52" s="68" t="s">
        <v>1721</v>
      </c>
      <c r="T52" s="72" t="s">
        <v>1728</v>
      </c>
      <c r="U52" s="68"/>
      <c r="V52" s="68"/>
    </row>
    <row r="53" spans="1:22" ht="120">
      <c r="A53" s="68">
        <v>52</v>
      </c>
      <c r="B53" s="68" t="s">
        <v>614</v>
      </c>
      <c r="C53" s="69" t="s">
        <v>764</v>
      </c>
      <c r="D53" s="70">
        <v>45980</v>
      </c>
      <c r="E53" s="68" t="s">
        <v>30</v>
      </c>
      <c r="F53" s="68" t="s">
        <v>22</v>
      </c>
      <c r="G53" s="68" t="s">
        <v>279</v>
      </c>
      <c r="H53" s="95" t="s">
        <v>616</v>
      </c>
      <c r="I53" s="68" t="s">
        <v>42</v>
      </c>
      <c r="J53" s="68" t="s">
        <v>617</v>
      </c>
      <c r="K53" s="68" t="s">
        <v>618</v>
      </c>
      <c r="L53" s="68" t="s">
        <v>619</v>
      </c>
      <c r="M53" s="68" t="s">
        <v>620</v>
      </c>
      <c r="N53" s="3" t="s">
        <v>24</v>
      </c>
      <c r="O53" s="71" t="s">
        <v>48</v>
      </c>
      <c r="P53" s="72">
        <v>45978</v>
      </c>
      <c r="Q53" s="68" t="s">
        <v>342</v>
      </c>
      <c r="R53" s="68" t="s">
        <v>1220</v>
      </c>
      <c r="S53" s="68" t="s">
        <v>1721</v>
      </c>
      <c r="T53" s="72" t="s">
        <v>1728</v>
      </c>
      <c r="U53" s="68"/>
      <c r="V53" s="68"/>
    </row>
    <row r="54" spans="1:22" ht="120">
      <c r="A54" s="1">
        <v>53</v>
      </c>
      <c r="B54" s="1" t="s">
        <v>621</v>
      </c>
      <c r="E54" s="1" t="s">
        <v>30</v>
      </c>
      <c r="F54" s="1" t="s">
        <v>22</v>
      </c>
      <c r="G54" s="1" t="s">
        <v>279</v>
      </c>
      <c r="H54" s="5" t="s">
        <v>622</v>
      </c>
      <c r="I54" s="1" t="s">
        <v>42</v>
      </c>
      <c r="J54" s="1" t="s">
        <v>623</v>
      </c>
      <c r="K54" s="1" t="s">
        <v>628</v>
      </c>
      <c r="L54" s="1" t="s">
        <v>627</v>
      </c>
      <c r="M54" s="1" t="s">
        <v>633</v>
      </c>
      <c r="N54" s="3" t="s">
        <v>24</v>
      </c>
      <c r="O54" s="2" t="s">
        <v>48</v>
      </c>
      <c r="P54" s="12">
        <v>45978</v>
      </c>
    </row>
    <row r="55" spans="1:22" ht="165">
      <c r="A55" s="68">
        <v>54</v>
      </c>
      <c r="B55" s="68" t="s">
        <v>629</v>
      </c>
      <c r="C55" s="69" t="s">
        <v>766</v>
      </c>
      <c r="D55" s="70">
        <v>45980</v>
      </c>
      <c r="E55" s="68" t="s">
        <v>30</v>
      </c>
      <c r="F55" s="68" t="s">
        <v>22</v>
      </c>
      <c r="G55" s="68" t="s">
        <v>279</v>
      </c>
      <c r="H55" s="95" t="s">
        <v>630</v>
      </c>
      <c r="I55" s="68" t="s">
        <v>42</v>
      </c>
      <c r="J55" s="68" t="s">
        <v>631</v>
      </c>
      <c r="K55" s="68" t="s">
        <v>632</v>
      </c>
      <c r="L55" s="68" t="s">
        <v>765</v>
      </c>
      <c r="M55" s="68" t="s">
        <v>634</v>
      </c>
      <c r="N55" s="3" t="s">
        <v>24</v>
      </c>
      <c r="O55" s="71" t="s">
        <v>48</v>
      </c>
      <c r="P55" s="72">
        <v>45978</v>
      </c>
      <c r="Q55" s="68" t="s">
        <v>342</v>
      </c>
      <c r="R55" s="68" t="s">
        <v>1220</v>
      </c>
      <c r="S55" s="68" t="s">
        <v>1721</v>
      </c>
      <c r="T55" s="72" t="s">
        <v>1728</v>
      </c>
      <c r="U55" s="68"/>
      <c r="V55" s="68"/>
    </row>
    <row r="56" spans="1:22" ht="114">
      <c r="A56" s="68">
        <v>55</v>
      </c>
      <c r="B56" s="68" t="s">
        <v>635</v>
      </c>
      <c r="C56" s="69" t="s">
        <v>767</v>
      </c>
      <c r="D56" s="70">
        <v>45980</v>
      </c>
      <c r="E56" s="68" t="s">
        <v>30</v>
      </c>
      <c r="F56" s="68" t="s">
        <v>22</v>
      </c>
      <c r="G56" s="68" t="s">
        <v>279</v>
      </c>
      <c r="H56" s="95" t="s">
        <v>636</v>
      </c>
      <c r="I56" s="68" t="s">
        <v>42</v>
      </c>
      <c r="J56" s="68" t="s">
        <v>637</v>
      </c>
      <c r="K56" s="68" t="s">
        <v>638</v>
      </c>
      <c r="L56" s="68" t="s">
        <v>639</v>
      </c>
      <c r="M56" s="68" t="s">
        <v>640</v>
      </c>
      <c r="N56" s="3" t="s">
        <v>24</v>
      </c>
      <c r="O56" s="71" t="s">
        <v>48</v>
      </c>
      <c r="P56" s="72">
        <v>45978</v>
      </c>
      <c r="Q56" s="68" t="s">
        <v>342</v>
      </c>
      <c r="R56" s="68" t="s">
        <v>1220</v>
      </c>
      <c r="S56" s="68" t="s">
        <v>1721</v>
      </c>
      <c r="T56" s="72" t="s">
        <v>1728</v>
      </c>
      <c r="U56" s="68"/>
      <c r="V56" s="68"/>
    </row>
    <row r="57" spans="1:22" ht="120">
      <c r="A57" s="1">
        <v>56</v>
      </c>
      <c r="B57" s="1" t="s">
        <v>641</v>
      </c>
      <c r="E57" s="1" t="s">
        <v>30</v>
      </c>
      <c r="F57" s="1" t="s">
        <v>22</v>
      </c>
      <c r="G57" s="1" t="s">
        <v>279</v>
      </c>
      <c r="H57" s="5" t="s">
        <v>642</v>
      </c>
      <c r="I57" s="1" t="s">
        <v>42</v>
      </c>
      <c r="J57" s="1" t="s">
        <v>643</v>
      </c>
      <c r="K57" s="1" t="s">
        <v>644</v>
      </c>
      <c r="L57" s="1" t="s">
        <v>627</v>
      </c>
      <c r="M57" s="1" t="s">
        <v>645</v>
      </c>
      <c r="N57" s="3" t="s">
        <v>24</v>
      </c>
      <c r="O57" s="2" t="s">
        <v>48</v>
      </c>
      <c r="P57" s="12">
        <v>45978</v>
      </c>
    </row>
    <row r="58" spans="1:22" ht="180">
      <c r="A58" s="68">
        <v>57</v>
      </c>
      <c r="B58" s="68" t="s">
        <v>646</v>
      </c>
      <c r="C58" s="69" t="s">
        <v>769</v>
      </c>
      <c r="D58" s="70">
        <v>45980</v>
      </c>
      <c r="E58" s="68" t="s">
        <v>30</v>
      </c>
      <c r="F58" s="68" t="s">
        <v>22</v>
      </c>
      <c r="G58" s="68" t="s">
        <v>279</v>
      </c>
      <c r="H58" s="95" t="s">
        <v>647</v>
      </c>
      <c r="I58" s="68" t="s">
        <v>42</v>
      </c>
      <c r="J58" s="68" t="s">
        <v>648</v>
      </c>
      <c r="K58" s="68" t="s">
        <v>649</v>
      </c>
      <c r="L58" s="68" t="s">
        <v>768</v>
      </c>
      <c r="M58" s="68" t="s">
        <v>650</v>
      </c>
      <c r="N58" s="3" t="s">
        <v>24</v>
      </c>
      <c r="O58" s="71" t="s">
        <v>48</v>
      </c>
      <c r="P58" s="72">
        <v>45978</v>
      </c>
      <c r="Q58" s="68" t="s">
        <v>342</v>
      </c>
      <c r="R58" s="68" t="s">
        <v>1220</v>
      </c>
      <c r="S58" s="68" t="s">
        <v>1721</v>
      </c>
      <c r="T58" s="72" t="s">
        <v>1728</v>
      </c>
      <c r="U58" s="68"/>
      <c r="V58" s="68"/>
    </row>
    <row r="59" spans="1:22" ht="114">
      <c r="A59" s="68">
        <v>58</v>
      </c>
      <c r="B59" s="68" t="s">
        <v>651</v>
      </c>
      <c r="C59" s="69" t="s">
        <v>770</v>
      </c>
      <c r="D59" s="70">
        <v>45980</v>
      </c>
      <c r="E59" s="68" t="s">
        <v>30</v>
      </c>
      <c r="F59" s="68" t="s">
        <v>22</v>
      </c>
      <c r="G59" s="68" t="s">
        <v>279</v>
      </c>
      <c r="H59" s="95" t="s">
        <v>652</v>
      </c>
      <c r="I59" s="68" t="s">
        <v>42</v>
      </c>
      <c r="J59" s="68" t="s">
        <v>653</v>
      </c>
      <c r="K59" s="68" t="s">
        <v>654</v>
      </c>
      <c r="L59" s="68" t="s">
        <v>655</v>
      </c>
      <c r="M59" s="68" t="s">
        <v>656</v>
      </c>
      <c r="N59" s="3" t="s">
        <v>24</v>
      </c>
      <c r="O59" s="71" t="s">
        <v>48</v>
      </c>
      <c r="P59" s="72">
        <v>45978</v>
      </c>
      <c r="Q59" s="68" t="s">
        <v>342</v>
      </c>
      <c r="R59" s="68" t="s">
        <v>1220</v>
      </c>
      <c r="S59" s="68" t="s">
        <v>1721</v>
      </c>
      <c r="T59" s="72" t="s">
        <v>1728</v>
      </c>
      <c r="U59" s="68"/>
      <c r="V59" s="68"/>
    </row>
    <row r="60" spans="1:22" ht="120">
      <c r="A60" s="1">
        <v>59</v>
      </c>
      <c r="B60" s="1" t="s">
        <v>657</v>
      </c>
      <c r="E60" s="1" t="s">
        <v>30</v>
      </c>
      <c r="F60" s="1" t="s">
        <v>22</v>
      </c>
      <c r="G60" s="1" t="s">
        <v>279</v>
      </c>
      <c r="H60" s="5" t="s">
        <v>658</v>
      </c>
      <c r="I60" s="1" t="s">
        <v>42</v>
      </c>
      <c r="J60" s="1" t="s">
        <v>659</v>
      </c>
      <c r="K60" s="1" t="s">
        <v>660</v>
      </c>
      <c r="L60" s="1" t="s">
        <v>627</v>
      </c>
      <c r="M60" s="1" t="s">
        <v>661</v>
      </c>
      <c r="N60" s="3" t="s">
        <v>24</v>
      </c>
      <c r="O60" s="2" t="s">
        <v>48</v>
      </c>
      <c r="P60" s="12">
        <v>45978</v>
      </c>
    </row>
    <row r="61" spans="1:22" ht="180">
      <c r="A61" s="68">
        <v>60</v>
      </c>
      <c r="B61" s="68" t="s">
        <v>662</v>
      </c>
      <c r="C61" s="69" t="s">
        <v>772</v>
      </c>
      <c r="D61" s="70">
        <v>45980</v>
      </c>
      <c r="E61" s="68" t="s">
        <v>30</v>
      </c>
      <c r="F61" s="68" t="s">
        <v>22</v>
      </c>
      <c r="G61" s="68" t="s">
        <v>279</v>
      </c>
      <c r="H61" s="95" t="s">
        <v>663</v>
      </c>
      <c r="I61" s="68" t="s">
        <v>42</v>
      </c>
      <c r="J61" s="68" t="s">
        <v>664</v>
      </c>
      <c r="K61" s="68" t="s">
        <v>665</v>
      </c>
      <c r="L61" s="68" t="s">
        <v>771</v>
      </c>
      <c r="M61" s="68" t="s">
        <v>666</v>
      </c>
      <c r="N61" s="3" t="s">
        <v>24</v>
      </c>
      <c r="O61" s="71" t="s">
        <v>48</v>
      </c>
      <c r="P61" s="72">
        <v>45978</v>
      </c>
      <c r="Q61" s="68" t="s">
        <v>342</v>
      </c>
      <c r="R61" s="68" t="s">
        <v>1220</v>
      </c>
      <c r="S61" s="68" t="s">
        <v>1721</v>
      </c>
      <c r="T61" s="72" t="s">
        <v>1728</v>
      </c>
      <c r="U61" s="68"/>
      <c r="V61" s="68"/>
    </row>
    <row r="62" spans="1:22" ht="114">
      <c r="A62" s="68">
        <v>61</v>
      </c>
      <c r="B62" s="68" t="s">
        <v>667</v>
      </c>
      <c r="C62" s="69" t="s">
        <v>773</v>
      </c>
      <c r="D62" s="70">
        <v>45980</v>
      </c>
      <c r="E62" s="68" t="s">
        <v>30</v>
      </c>
      <c r="F62" s="68" t="s">
        <v>22</v>
      </c>
      <c r="G62" s="68" t="s">
        <v>279</v>
      </c>
      <c r="H62" s="95" t="s">
        <v>668</v>
      </c>
      <c r="I62" s="68" t="s">
        <v>42</v>
      </c>
      <c r="J62" s="68" t="s">
        <v>669</v>
      </c>
      <c r="K62" s="68" t="s">
        <v>670</v>
      </c>
      <c r="L62" s="68" t="s">
        <v>671</v>
      </c>
      <c r="M62" s="68" t="s">
        <v>672</v>
      </c>
      <c r="N62" s="3" t="s">
        <v>24</v>
      </c>
      <c r="O62" s="71" t="s">
        <v>48</v>
      </c>
      <c r="P62" s="72">
        <v>45978</v>
      </c>
      <c r="Q62" s="68" t="s">
        <v>342</v>
      </c>
      <c r="R62" s="68" t="s">
        <v>1220</v>
      </c>
      <c r="S62" s="68" t="s">
        <v>1721</v>
      </c>
      <c r="T62" s="72" t="s">
        <v>1728</v>
      </c>
      <c r="U62" s="68"/>
      <c r="V62" s="68"/>
    </row>
    <row r="63" spans="1:22" ht="120">
      <c r="A63" s="1">
        <v>62</v>
      </c>
      <c r="B63" s="1" t="s">
        <v>673</v>
      </c>
      <c r="E63" s="1" t="s">
        <v>30</v>
      </c>
      <c r="F63" s="1" t="s">
        <v>22</v>
      </c>
      <c r="G63" s="1" t="s">
        <v>279</v>
      </c>
      <c r="H63" s="5" t="s">
        <v>674</v>
      </c>
      <c r="I63" s="1" t="s">
        <v>42</v>
      </c>
      <c r="J63" s="1" t="s">
        <v>675</v>
      </c>
      <c r="K63" s="1" t="s">
        <v>676</v>
      </c>
      <c r="L63" s="1" t="s">
        <v>627</v>
      </c>
      <c r="M63" s="1" t="s">
        <v>677</v>
      </c>
      <c r="N63" s="3" t="s">
        <v>24</v>
      </c>
      <c r="O63" s="2" t="s">
        <v>48</v>
      </c>
      <c r="P63" s="12">
        <v>45978</v>
      </c>
    </row>
    <row r="64" spans="1:22" ht="180">
      <c r="A64" s="68">
        <v>63</v>
      </c>
      <c r="B64" s="68" t="s">
        <v>678</v>
      </c>
      <c r="C64" s="69" t="s">
        <v>775</v>
      </c>
      <c r="D64" s="70">
        <v>45980</v>
      </c>
      <c r="E64" s="68" t="s">
        <v>30</v>
      </c>
      <c r="F64" s="68" t="s">
        <v>22</v>
      </c>
      <c r="G64" s="68" t="s">
        <v>279</v>
      </c>
      <c r="H64" s="95" t="s">
        <v>679</v>
      </c>
      <c r="I64" s="68" t="s">
        <v>42</v>
      </c>
      <c r="J64" s="68" t="s">
        <v>680</v>
      </c>
      <c r="K64" s="68" t="s">
        <v>681</v>
      </c>
      <c r="L64" s="68" t="s">
        <v>774</v>
      </c>
      <c r="M64" s="68" t="s">
        <v>682</v>
      </c>
      <c r="N64" s="3" t="s">
        <v>24</v>
      </c>
      <c r="O64" s="71" t="s">
        <v>48</v>
      </c>
      <c r="P64" s="72">
        <v>45978</v>
      </c>
      <c r="Q64" s="68" t="s">
        <v>342</v>
      </c>
      <c r="R64" s="68" t="s">
        <v>1220</v>
      </c>
      <c r="S64" s="68" t="s">
        <v>1721</v>
      </c>
      <c r="T64" s="72" t="s">
        <v>1728</v>
      </c>
      <c r="U64" s="68"/>
      <c r="V64" s="68"/>
    </row>
    <row r="65" spans="1:22" ht="114">
      <c r="A65" s="1">
        <v>64</v>
      </c>
      <c r="B65" s="1" t="s">
        <v>683</v>
      </c>
      <c r="E65" s="1" t="s">
        <v>30</v>
      </c>
      <c r="F65" s="1" t="s">
        <v>22</v>
      </c>
      <c r="G65" s="1" t="s">
        <v>279</v>
      </c>
      <c r="H65" s="5" t="s">
        <v>684</v>
      </c>
      <c r="I65" s="1" t="s">
        <v>42</v>
      </c>
      <c r="J65" s="1" t="s">
        <v>685</v>
      </c>
      <c r="K65" s="1" t="s">
        <v>686</v>
      </c>
      <c r="L65" s="1" t="s">
        <v>687</v>
      </c>
      <c r="M65" s="1" t="s">
        <v>688</v>
      </c>
      <c r="N65" s="3" t="s">
        <v>24</v>
      </c>
      <c r="O65" s="2" t="s">
        <v>48</v>
      </c>
      <c r="P65" s="12">
        <v>45979</v>
      </c>
    </row>
    <row r="66" spans="1:22" ht="120">
      <c r="A66" s="1">
        <v>65</v>
      </c>
      <c r="B66" s="1" t="s">
        <v>689</v>
      </c>
      <c r="E66" s="1" t="s">
        <v>30</v>
      </c>
      <c r="F66" s="1" t="s">
        <v>22</v>
      </c>
      <c r="G66" s="1" t="s">
        <v>279</v>
      </c>
      <c r="H66" s="5" t="s">
        <v>690</v>
      </c>
      <c r="I66" s="1" t="s">
        <v>42</v>
      </c>
      <c r="J66" s="1" t="s">
        <v>691</v>
      </c>
      <c r="K66" s="1" t="s">
        <v>692</v>
      </c>
      <c r="L66" s="1" t="s">
        <v>627</v>
      </c>
      <c r="M66" s="1" t="s">
        <v>693</v>
      </c>
      <c r="N66" s="3" t="s">
        <v>24</v>
      </c>
      <c r="O66" s="2" t="s">
        <v>48</v>
      </c>
      <c r="P66" s="12">
        <v>45979</v>
      </c>
    </row>
    <row r="67" spans="1:22" ht="180">
      <c r="A67" s="68">
        <v>66</v>
      </c>
      <c r="B67" s="68" t="s">
        <v>694</v>
      </c>
      <c r="C67" s="69" t="s">
        <v>777</v>
      </c>
      <c r="D67" s="70">
        <v>45980</v>
      </c>
      <c r="E67" s="68" t="s">
        <v>30</v>
      </c>
      <c r="F67" s="68" t="s">
        <v>22</v>
      </c>
      <c r="G67" s="68" t="s">
        <v>279</v>
      </c>
      <c r="H67" s="95" t="s">
        <v>695</v>
      </c>
      <c r="I67" s="68" t="s">
        <v>42</v>
      </c>
      <c r="J67" s="68" t="s">
        <v>696</v>
      </c>
      <c r="K67" s="68" t="s">
        <v>697</v>
      </c>
      <c r="L67" s="68" t="s">
        <v>776</v>
      </c>
      <c r="M67" s="68" t="s">
        <v>698</v>
      </c>
      <c r="N67" s="3" t="s">
        <v>24</v>
      </c>
      <c r="O67" s="71" t="s">
        <v>48</v>
      </c>
      <c r="P67" s="72">
        <v>45979</v>
      </c>
      <c r="Q67" s="68" t="s">
        <v>342</v>
      </c>
      <c r="R67" s="68" t="s">
        <v>1220</v>
      </c>
      <c r="S67" s="68" t="s">
        <v>1721</v>
      </c>
      <c r="T67" s="72" t="s">
        <v>1729</v>
      </c>
      <c r="U67" s="68"/>
      <c r="V67" s="68"/>
    </row>
    <row r="68" spans="1:22" ht="114">
      <c r="A68" s="1">
        <v>67</v>
      </c>
      <c r="B68" s="1" t="s">
        <v>699</v>
      </c>
      <c r="E68" s="1" t="s">
        <v>30</v>
      </c>
      <c r="F68" s="1" t="s">
        <v>22</v>
      </c>
      <c r="G68" s="1" t="s">
        <v>279</v>
      </c>
      <c r="H68" s="5" t="s">
        <v>700</v>
      </c>
      <c r="I68" s="1" t="s">
        <v>42</v>
      </c>
      <c r="J68" s="1" t="s">
        <v>701</v>
      </c>
      <c r="K68" s="1" t="s">
        <v>702</v>
      </c>
      <c r="L68" s="1" t="s">
        <v>779</v>
      </c>
      <c r="M68" s="1" t="s">
        <v>778</v>
      </c>
      <c r="N68" s="3" t="s">
        <v>24</v>
      </c>
      <c r="O68" s="2" t="s">
        <v>48</v>
      </c>
      <c r="P68" s="12">
        <v>45979</v>
      </c>
    </row>
    <row r="69" spans="1:22" ht="114">
      <c r="A69" s="1">
        <v>68</v>
      </c>
      <c r="B69" s="1" t="s">
        <v>703</v>
      </c>
      <c r="E69" s="1" t="s">
        <v>30</v>
      </c>
      <c r="F69" s="1" t="s">
        <v>22</v>
      </c>
      <c r="G69" s="1" t="s">
        <v>279</v>
      </c>
      <c r="H69" s="5" t="s">
        <v>709</v>
      </c>
      <c r="I69" s="1" t="s">
        <v>42</v>
      </c>
      <c r="J69" s="1" t="s">
        <v>704</v>
      </c>
      <c r="K69" s="1" t="s">
        <v>705</v>
      </c>
      <c r="L69" s="1" t="s">
        <v>706</v>
      </c>
      <c r="M69" s="1" t="s">
        <v>707</v>
      </c>
      <c r="N69" s="3" t="s">
        <v>24</v>
      </c>
      <c r="O69" s="2" t="s">
        <v>48</v>
      </c>
      <c r="P69" s="12">
        <v>45979</v>
      </c>
    </row>
    <row r="70" spans="1:22" ht="135">
      <c r="A70" s="1">
        <v>69</v>
      </c>
      <c r="B70" s="1" t="s">
        <v>708</v>
      </c>
      <c r="E70" s="1" t="s">
        <v>30</v>
      </c>
      <c r="F70" s="1" t="s">
        <v>22</v>
      </c>
      <c r="G70" s="1" t="s">
        <v>279</v>
      </c>
      <c r="H70" s="5" t="s">
        <v>710</v>
      </c>
      <c r="I70" s="1" t="s">
        <v>42</v>
      </c>
      <c r="J70" s="1" t="s">
        <v>711</v>
      </c>
      <c r="K70" s="1" t="s">
        <v>712</v>
      </c>
      <c r="L70" s="5" t="s">
        <v>713</v>
      </c>
      <c r="M70" s="1" t="s">
        <v>258</v>
      </c>
      <c r="N70" s="3" t="s">
        <v>24</v>
      </c>
      <c r="O70" s="2" t="s">
        <v>48</v>
      </c>
      <c r="P70" s="12">
        <v>45979</v>
      </c>
    </row>
    <row r="71" spans="1:22" ht="120">
      <c r="A71" s="1">
        <v>70</v>
      </c>
      <c r="B71" s="1" t="s">
        <v>714</v>
      </c>
      <c r="E71" s="1" t="s">
        <v>30</v>
      </c>
      <c r="F71" s="1" t="s">
        <v>22</v>
      </c>
      <c r="G71" s="1" t="s">
        <v>279</v>
      </c>
      <c r="H71" s="5" t="s">
        <v>715</v>
      </c>
      <c r="I71" s="1" t="s">
        <v>42</v>
      </c>
      <c r="J71" s="1" t="s">
        <v>717</v>
      </c>
      <c r="K71" s="1" t="s">
        <v>255</v>
      </c>
      <c r="L71" s="1" t="s">
        <v>718</v>
      </c>
      <c r="M71" s="1" t="s">
        <v>1610</v>
      </c>
      <c r="N71" s="3" t="s">
        <v>274</v>
      </c>
      <c r="O71" s="2" t="s">
        <v>48</v>
      </c>
      <c r="P71" s="12">
        <v>45979</v>
      </c>
    </row>
    <row r="72" spans="1:22" ht="114">
      <c r="A72" s="24">
        <v>71</v>
      </c>
      <c r="B72" s="24" t="s">
        <v>719</v>
      </c>
      <c r="C72" s="65"/>
      <c r="D72" s="66"/>
      <c r="E72" s="24" t="s">
        <v>30</v>
      </c>
      <c r="F72" s="24" t="s">
        <v>22</v>
      </c>
      <c r="G72" s="24" t="s">
        <v>279</v>
      </c>
      <c r="H72" s="16" t="s">
        <v>720</v>
      </c>
      <c r="I72" s="24" t="s">
        <v>42</v>
      </c>
      <c r="J72" s="24" t="s">
        <v>721</v>
      </c>
      <c r="K72" s="24" t="s">
        <v>255</v>
      </c>
      <c r="L72" s="24" t="s">
        <v>722</v>
      </c>
      <c r="M72" s="24" t="s">
        <v>6058</v>
      </c>
      <c r="N72" s="6" t="s">
        <v>274</v>
      </c>
      <c r="O72" s="2" t="s">
        <v>48</v>
      </c>
      <c r="P72" s="27">
        <v>45979</v>
      </c>
      <c r="Q72" s="24" t="s">
        <v>342</v>
      </c>
      <c r="R72" s="24" t="s">
        <v>1223</v>
      </c>
      <c r="S72" s="24"/>
      <c r="T72" s="24"/>
    </row>
    <row r="73" spans="1:22" ht="114">
      <c r="A73" s="1">
        <v>72</v>
      </c>
      <c r="B73" s="1" t="s">
        <v>728</v>
      </c>
      <c r="E73" s="1" t="s">
        <v>30</v>
      </c>
      <c r="F73" s="1" t="s">
        <v>22</v>
      </c>
      <c r="G73" s="1" t="s">
        <v>279</v>
      </c>
      <c r="H73" s="5" t="s">
        <v>723</v>
      </c>
      <c r="I73" s="1" t="s">
        <v>42</v>
      </c>
      <c r="J73" s="1" t="s">
        <v>725</v>
      </c>
      <c r="K73" s="1" t="s">
        <v>255</v>
      </c>
      <c r="L73" s="1" t="s">
        <v>726</v>
      </c>
      <c r="M73" s="1" t="s">
        <v>727</v>
      </c>
      <c r="N73" s="3" t="s">
        <v>24</v>
      </c>
      <c r="O73" s="2" t="s">
        <v>48</v>
      </c>
      <c r="P73" s="12">
        <v>45979</v>
      </c>
    </row>
    <row r="74" spans="1:22" ht="114">
      <c r="A74" s="1">
        <v>73</v>
      </c>
      <c r="B74" s="1" t="s">
        <v>733</v>
      </c>
      <c r="E74" s="1" t="s">
        <v>30</v>
      </c>
      <c r="F74" s="1" t="s">
        <v>22</v>
      </c>
      <c r="G74" s="1" t="s">
        <v>279</v>
      </c>
      <c r="H74" s="1" t="s">
        <v>729</v>
      </c>
      <c r="I74" s="1" t="s">
        <v>42</v>
      </c>
      <c r="J74" s="1" t="s">
        <v>730</v>
      </c>
      <c r="K74" s="1" t="s">
        <v>255</v>
      </c>
      <c r="L74" s="1" t="s">
        <v>731</v>
      </c>
      <c r="M74" s="1" t="s">
        <v>6057</v>
      </c>
      <c r="N74" s="6" t="s">
        <v>274</v>
      </c>
      <c r="O74" s="2" t="s">
        <v>48</v>
      </c>
      <c r="P74" s="12">
        <v>45979</v>
      </c>
    </row>
    <row r="75" spans="1:22" ht="114">
      <c r="A75" s="1">
        <v>74</v>
      </c>
      <c r="B75" s="1" t="s">
        <v>734</v>
      </c>
      <c r="E75" s="1" t="s">
        <v>30</v>
      </c>
      <c r="F75" s="1" t="s">
        <v>22</v>
      </c>
      <c r="G75" s="1" t="s">
        <v>279</v>
      </c>
      <c r="H75" s="1" t="s">
        <v>732</v>
      </c>
      <c r="I75" s="1" t="s">
        <v>42</v>
      </c>
      <c r="J75" s="1" t="s">
        <v>735</v>
      </c>
      <c r="K75" s="1" t="s">
        <v>255</v>
      </c>
      <c r="L75" s="1" t="s">
        <v>736</v>
      </c>
      <c r="M75" s="1" t="s">
        <v>258</v>
      </c>
      <c r="N75" s="3" t="s">
        <v>24</v>
      </c>
      <c r="O75" s="2" t="s">
        <v>48</v>
      </c>
      <c r="P75" s="12">
        <v>45979</v>
      </c>
    </row>
    <row r="76" spans="1:22" ht="114">
      <c r="A76" s="1">
        <v>75</v>
      </c>
      <c r="B76" s="1" t="s">
        <v>751</v>
      </c>
      <c r="E76" s="1" t="s">
        <v>30</v>
      </c>
      <c r="F76" s="1" t="s">
        <v>22</v>
      </c>
      <c r="G76" s="1" t="s">
        <v>279</v>
      </c>
      <c r="H76" s="1" t="s">
        <v>754</v>
      </c>
      <c r="I76" s="1" t="s">
        <v>42</v>
      </c>
      <c r="J76" s="1" t="s">
        <v>752</v>
      </c>
      <c r="K76" s="1" t="s">
        <v>255</v>
      </c>
      <c r="L76" s="1" t="s">
        <v>753</v>
      </c>
      <c r="M76" s="1" t="s">
        <v>3963</v>
      </c>
      <c r="N76" s="3" t="s">
        <v>24</v>
      </c>
      <c r="O76" s="2" t="s">
        <v>48</v>
      </c>
      <c r="P76" s="12">
        <v>45979</v>
      </c>
    </row>
  </sheetData>
  <autoFilter ref="A1:V76">
    <filterColumn colId="13"/>
  </autoFilter>
  <hyperlinks>
    <hyperlink ref="C3" r:id="rId1" display="https://hanssupport.atlassian.net/browse/BA-152"/>
    <hyperlink ref="C9" r:id="rId2" display="https://hanssupport.atlassian.net/browse/BA-153"/>
    <hyperlink ref="C13" r:id="rId3" display="https://hanssupport.atlassian.net/browse/BA-154"/>
    <hyperlink ref="C14" r:id="rId4" display="https://hanssupport.atlassian.net/browse/BA-155"/>
    <hyperlink ref="C26" r:id="rId5" display="https://hanssupport.atlassian.net/browse/BA-156"/>
    <hyperlink ref="C31" r:id="rId6" display="https://hanssupport.atlassian.net/browse/BA-157"/>
    <hyperlink ref="C34" r:id="rId7" display="https://hanssupport.atlassian.net/browse/BA-159"/>
    <hyperlink ref="C35" r:id="rId8" display="https://hanssupport.atlassian.net/browse/BA-160"/>
    <hyperlink ref="C36" r:id="rId9" display="https://hanssupport.atlassian.net/browse/BA-161"/>
    <hyperlink ref="C40" r:id="rId10" display="https://hanssupport.atlassian.net/browse/BA-162"/>
    <hyperlink ref="C41" r:id="rId11" display="https://hanssupport.atlassian.net/browse/BA-163"/>
    <hyperlink ref="C43" r:id="rId12" display="https://hanssupport.atlassian.net/browse/BA-164"/>
    <hyperlink ref="C44" r:id="rId13" display="https://hanssupport.atlassian.net/browse/BA-165"/>
    <hyperlink ref="C47" r:id="rId14" display="https://hanssupport.atlassian.net/browse/BA-166"/>
    <hyperlink ref="C6" r:id="rId15" display="https://hanssupport.atlassian.net/browse/BA-170"/>
    <hyperlink ref="C46" r:id="rId16" display="https://hanssupport.atlassian.net/browse/BA-176"/>
    <hyperlink ref="C49" r:id="rId17" display="https://hanssupport.atlassian.net/browse/BA-177"/>
    <hyperlink ref="C50" r:id="rId18" display="https://hanssupport.atlassian.net/browse/BA-178"/>
    <hyperlink ref="C52" r:id="rId19" display="https://hanssupport.atlassian.net/browse/BA-179"/>
    <hyperlink ref="C53" r:id="rId20" display="https://hanssupport.atlassian.net/browse/BA-180"/>
    <hyperlink ref="C55" r:id="rId21" display="https://hanssupport.atlassian.net/browse/BA-181"/>
    <hyperlink ref="C56" r:id="rId22" display="https://hanssupport.atlassian.net/browse/BA-182"/>
    <hyperlink ref="C58" r:id="rId23" display="https://hanssupport.atlassian.net/browse/BA-183"/>
    <hyperlink ref="C59" r:id="rId24" display="https://hanssupport.atlassian.net/browse/BA-185"/>
    <hyperlink ref="C61" r:id="rId25" display="https://hanssupport.atlassian.net/browse/BA-186"/>
    <hyperlink ref="C62" r:id="rId26" display="https://hanssupport.atlassian.net/browse/BA-187"/>
    <hyperlink ref="C64" r:id="rId27" display="https://hanssupport.atlassian.net/browse/BA-189"/>
    <hyperlink ref="C67" r:id="rId28" display="https://hanssupport.atlassian.net/browse/BA-190"/>
    <hyperlink ref="C8" r:id="rId29" display="https://hanssupport.atlassian.net/browse/BA-194"/>
    <hyperlink ref="C30" r:id="rId30" display="https://hanssupport.atlassian.net/browse/BA-158"/>
  </hyperlinks>
  <pageMargins left="0.7" right="0.7" top="0.75" bottom="0.75" header="0.3" footer="0.3"/>
  <pageSetup paperSize="9" orientation="portrait" verticalDpi="0" r:id="rId31"/>
</worksheet>
</file>

<file path=xl/worksheets/sheet4.xml><?xml version="1.0" encoding="utf-8"?>
<worksheet xmlns="http://schemas.openxmlformats.org/spreadsheetml/2006/main" xmlns:r="http://schemas.openxmlformats.org/officeDocument/2006/relationships">
  <dimension ref="A1:V30"/>
  <sheetViews>
    <sheetView topLeftCell="I1" workbookViewId="0">
      <pane ySplit="1" topLeftCell="A27" activePane="bottomLeft" state="frozen"/>
      <selection pane="bottomLeft" activeCell="M29" sqref="M29"/>
    </sheetView>
  </sheetViews>
  <sheetFormatPr defaultRowHeight="15"/>
  <cols>
    <col min="1" max="1" width="9.28515625" style="1" customWidth="1"/>
    <col min="2" max="2" width="17" style="1" customWidth="1"/>
    <col min="3" max="3" width="12.5703125" style="1" customWidth="1"/>
    <col min="4" max="4" width="20.7109375" style="1" customWidth="1"/>
    <col min="5" max="5" width="14.42578125" style="1" customWidth="1"/>
    <col min="6" max="6" width="13.28515625" style="1" customWidth="1"/>
    <col min="7" max="7" width="23.85546875" style="1" customWidth="1"/>
    <col min="8" max="8" width="48.7109375" style="1" customWidth="1"/>
    <col min="9" max="9" width="34.5703125" style="1" customWidth="1"/>
    <col min="10" max="10" width="45.5703125" style="1" customWidth="1"/>
    <col min="11" max="11" width="36.7109375" style="1" customWidth="1"/>
    <col min="12" max="12" width="52" style="1" customWidth="1"/>
    <col min="13" max="13" width="47.5703125" style="1" customWidth="1"/>
    <col min="14" max="14" width="13.85546875" style="1" customWidth="1"/>
    <col min="15" max="15" width="29.140625" style="1" customWidth="1"/>
    <col min="16" max="16" width="19.5703125" style="1" customWidth="1"/>
    <col min="17" max="17" width="13.7109375" style="1" customWidth="1"/>
    <col min="18" max="18" width="14.7109375" style="1" customWidth="1"/>
    <col min="19" max="19" width="16.5703125" style="1" customWidth="1"/>
    <col min="20" max="20" width="22.85546875" style="1" customWidth="1"/>
    <col min="21" max="21" width="26" style="1" customWidth="1"/>
    <col min="22" max="22" width="13.42578125" style="1" customWidth="1"/>
    <col min="23" max="16384" width="9.140625" style="1"/>
  </cols>
  <sheetData>
    <row r="1" spans="1:22" ht="31.5">
      <c r="A1" s="13" t="s">
        <v>0</v>
      </c>
      <c r="B1" s="13" t="s">
        <v>1</v>
      </c>
      <c r="C1" s="13" t="s">
        <v>2</v>
      </c>
      <c r="D1" s="38" t="s">
        <v>1221</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120">
      <c r="A2" s="1">
        <v>1</v>
      </c>
      <c r="B2" s="1" t="s">
        <v>785</v>
      </c>
      <c r="E2" s="1" t="s">
        <v>30</v>
      </c>
      <c r="F2" s="1" t="s">
        <v>22</v>
      </c>
      <c r="G2" s="1" t="s">
        <v>786</v>
      </c>
      <c r="H2" s="1" t="s">
        <v>787</v>
      </c>
      <c r="I2" s="1" t="s">
        <v>43</v>
      </c>
      <c r="J2" s="1" t="s">
        <v>789</v>
      </c>
      <c r="K2" s="1" t="s">
        <v>788</v>
      </c>
      <c r="L2" s="1" t="s">
        <v>790</v>
      </c>
      <c r="M2" s="1" t="s">
        <v>791</v>
      </c>
      <c r="N2" s="3" t="s">
        <v>24</v>
      </c>
      <c r="O2" s="2" t="s">
        <v>48</v>
      </c>
      <c r="P2" s="12">
        <v>45983</v>
      </c>
    </row>
    <row r="3" spans="1:22" ht="135">
      <c r="A3" s="1">
        <v>2</v>
      </c>
      <c r="B3" s="1" t="s">
        <v>792</v>
      </c>
      <c r="E3" s="1" t="s">
        <v>30</v>
      </c>
      <c r="F3" s="1" t="s">
        <v>22</v>
      </c>
      <c r="G3" s="1" t="s">
        <v>786</v>
      </c>
      <c r="H3" s="14" t="s">
        <v>794</v>
      </c>
      <c r="I3" s="1" t="s">
        <v>43</v>
      </c>
      <c r="J3" s="1" t="s">
        <v>795</v>
      </c>
      <c r="K3" s="1" t="s">
        <v>793</v>
      </c>
      <c r="L3" s="1" t="s">
        <v>796</v>
      </c>
      <c r="M3" s="1" t="s">
        <v>797</v>
      </c>
      <c r="N3" s="3" t="s">
        <v>24</v>
      </c>
      <c r="O3" s="2" t="s">
        <v>48</v>
      </c>
      <c r="P3" s="12">
        <v>45983</v>
      </c>
    </row>
    <row r="4" spans="1:22" ht="135">
      <c r="A4" s="1">
        <v>3</v>
      </c>
      <c r="B4" s="1" t="s">
        <v>801</v>
      </c>
      <c r="E4" s="1" t="s">
        <v>30</v>
      </c>
      <c r="F4" s="1" t="s">
        <v>22</v>
      </c>
      <c r="G4" s="1" t="s">
        <v>786</v>
      </c>
      <c r="H4" s="14" t="s">
        <v>803</v>
      </c>
      <c r="I4" s="1" t="s">
        <v>43</v>
      </c>
      <c r="J4" s="1" t="s">
        <v>798</v>
      </c>
      <c r="K4" s="1" t="s">
        <v>799</v>
      </c>
      <c r="L4" s="1" t="s">
        <v>800</v>
      </c>
      <c r="M4" s="14" t="s">
        <v>258</v>
      </c>
      <c r="N4" s="3" t="s">
        <v>24</v>
      </c>
      <c r="O4" s="2" t="s">
        <v>48</v>
      </c>
      <c r="P4" s="12">
        <v>45983</v>
      </c>
    </row>
    <row r="5" spans="1:22" ht="180">
      <c r="A5" s="68">
        <v>4</v>
      </c>
      <c r="B5" s="68" t="s">
        <v>802</v>
      </c>
      <c r="C5" s="69" t="s">
        <v>1218</v>
      </c>
      <c r="D5" s="70">
        <v>45992</v>
      </c>
      <c r="E5" s="68" t="s">
        <v>30</v>
      </c>
      <c r="F5" s="68" t="s">
        <v>22</v>
      </c>
      <c r="G5" s="68" t="s">
        <v>786</v>
      </c>
      <c r="H5" s="68" t="s">
        <v>804</v>
      </c>
      <c r="I5" s="68" t="s">
        <v>43</v>
      </c>
      <c r="J5" s="68" t="s">
        <v>805</v>
      </c>
      <c r="K5" s="68" t="s">
        <v>822</v>
      </c>
      <c r="L5" s="68" t="s">
        <v>806</v>
      </c>
      <c r="M5" s="68" t="s">
        <v>807</v>
      </c>
      <c r="N5" s="3" t="s">
        <v>24</v>
      </c>
      <c r="O5" s="71" t="s">
        <v>48</v>
      </c>
      <c r="P5" s="72">
        <v>45985</v>
      </c>
      <c r="Q5" s="68" t="s">
        <v>3159</v>
      </c>
      <c r="R5" s="68" t="s">
        <v>2728</v>
      </c>
      <c r="S5" s="68" t="s">
        <v>4169</v>
      </c>
      <c r="T5" s="72" t="s">
        <v>4170</v>
      </c>
      <c r="U5" s="68"/>
      <c r="V5" s="68"/>
    </row>
    <row r="6" spans="1:22" ht="120">
      <c r="A6" s="1">
        <v>5</v>
      </c>
      <c r="B6" s="1" t="s">
        <v>808</v>
      </c>
      <c r="E6" s="1" t="s">
        <v>30</v>
      </c>
      <c r="F6" s="1" t="s">
        <v>22</v>
      </c>
      <c r="G6" s="1" t="s">
        <v>786</v>
      </c>
      <c r="H6" s="1" t="s">
        <v>809</v>
      </c>
      <c r="I6" s="1" t="s">
        <v>43</v>
      </c>
      <c r="J6" s="1" t="s">
        <v>810</v>
      </c>
      <c r="K6" s="1" t="s">
        <v>811</v>
      </c>
      <c r="L6" s="1" t="s">
        <v>812</v>
      </c>
      <c r="M6" s="1" t="s">
        <v>1212</v>
      </c>
      <c r="N6" s="3" t="s">
        <v>24</v>
      </c>
      <c r="O6" s="2" t="s">
        <v>48</v>
      </c>
      <c r="P6" s="12">
        <v>45985</v>
      </c>
    </row>
    <row r="7" spans="1:22" ht="180">
      <c r="A7" s="1">
        <v>6</v>
      </c>
      <c r="B7" s="1" t="s">
        <v>813</v>
      </c>
      <c r="E7" s="1" t="s">
        <v>30</v>
      </c>
      <c r="F7" s="1" t="s">
        <v>22</v>
      </c>
      <c r="G7" s="1" t="s">
        <v>786</v>
      </c>
      <c r="H7" s="1" t="s">
        <v>814</v>
      </c>
      <c r="I7" s="1" t="s">
        <v>43</v>
      </c>
      <c r="J7" s="1" t="s">
        <v>815</v>
      </c>
      <c r="K7" s="1" t="s">
        <v>255</v>
      </c>
      <c r="L7" s="1" t="s">
        <v>816</v>
      </c>
      <c r="M7" s="1" t="s">
        <v>817</v>
      </c>
      <c r="N7" s="3" t="s">
        <v>274</v>
      </c>
      <c r="O7" s="2" t="s">
        <v>48</v>
      </c>
      <c r="P7" s="12">
        <v>45985</v>
      </c>
    </row>
    <row r="8" spans="1:22" ht="135">
      <c r="A8" s="1">
        <v>7</v>
      </c>
      <c r="B8" s="1" t="s">
        <v>818</v>
      </c>
      <c r="E8" s="1" t="s">
        <v>30</v>
      </c>
      <c r="F8" s="1" t="s">
        <v>22</v>
      </c>
      <c r="G8" s="1" t="s">
        <v>786</v>
      </c>
      <c r="H8" s="5" t="s">
        <v>819</v>
      </c>
      <c r="I8" s="1" t="s">
        <v>43</v>
      </c>
      <c r="J8" s="1" t="s">
        <v>821</v>
      </c>
      <c r="K8" s="1" t="s">
        <v>255</v>
      </c>
      <c r="L8" s="1" t="s">
        <v>820</v>
      </c>
      <c r="M8" s="1" t="s">
        <v>258</v>
      </c>
      <c r="N8" s="3" t="s">
        <v>24</v>
      </c>
      <c r="O8" s="2" t="s">
        <v>48</v>
      </c>
      <c r="P8" s="12">
        <v>45985</v>
      </c>
    </row>
    <row r="9" spans="1:22" ht="135">
      <c r="A9" s="1">
        <v>8</v>
      </c>
      <c r="B9" s="1" t="s">
        <v>823</v>
      </c>
      <c r="E9" s="1" t="s">
        <v>30</v>
      </c>
      <c r="F9" s="1" t="s">
        <v>22</v>
      </c>
      <c r="G9" s="1" t="s">
        <v>786</v>
      </c>
      <c r="H9" s="1" t="s">
        <v>827</v>
      </c>
      <c r="I9" s="1" t="s">
        <v>43</v>
      </c>
      <c r="J9" s="1" t="s">
        <v>828</v>
      </c>
      <c r="K9" s="1" t="s">
        <v>824</v>
      </c>
      <c r="L9" s="1" t="s">
        <v>829</v>
      </c>
      <c r="M9" s="1" t="s">
        <v>258</v>
      </c>
      <c r="N9" s="3" t="s">
        <v>24</v>
      </c>
      <c r="O9" s="2" t="s">
        <v>48</v>
      </c>
      <c r="P9" s="12">
        <v>45985</v>
      </c>
    </row>
    <row r="10" spans="1:22" ht="180">
      <c r="A10" s="68">
        <v>9</v>
      </c>
      <c r="B10" s="68" t="s">
        <v>825</v>
      </c>
      <c r="C10" s="69" t="s">
        <v>1219</v>
      </c>
      <c r="D10" s="70">
        <v>45992</v>
      </c>
      <c r="E10" s="68" t="s">
        <v>30</v>
      </c>
      <c r="F10" s="68" t="s">
        <v>22</v>
      </c>
      <c r="G10" s="68" t="s">
        <v>786</v>
      </c>
      <c r="H10" s="68" t="s">
        <v>826</v>
      </c>
      <c r="I10" s="68" t="s">
        <v>43</v>
      </c>
      <c r="J10" s="68" t="s">
        <v>830</v>
      </c>
      <c r="K10" s="68" t="s">
        <v>831</v>
      </c>
      <c r="L10" s="68" t="s">
        <v>832</v>
      </c>
      <c r="M10" s="68" t="s">
        <v>833</v>
      </c>
      <c r="N10" s="3" t="s">
        <v>24</v>
      </c>
      <c r="O10" s="71" t="s">
        <v>48</v>
      </c>
      <c r="P10" s="72">
        <v>45985</v>
      </c>
      <c r="Q10" s="68" t="s">
        <v>3159</v>
      </c>
      <c r="R10" s="68" t="s">
        <v>2728</v>
      </c>
      <c r="S10" s="68" t="s">
        <v>4169</v>
      </c>
      <c r="T10" s="72" t="s">
        <v>4170</v>
      </c>
      <c r="U10" s="68"/>
      <c r="V10" s="68"/>
    </row>
    <row r="11" spans="1:22" ht="180">
      <c r="A11" s="1">
        <v>10</v>
      </c>
      <c r="B11" s="1" t="s">
        <v>834</v>
      </c>
      <c r="E11" s="1" t="s">
        <v>30</v>
      </c>
      <c r="F11" s="1" t="s">
        <v>22</v>
      </c>
      <c r="G11" s="1" t="s">
        <v>786</v>
      </c>
      <c r="H11" s="1" t="s">
        <v>835</v>
      </c>
      <c r="I11" s="1" t="s">
        <v>43</v>
      </c>
      <c r="J11" s="1" t="s">
        <v>836</v>
      </c>
      <c r="K11" s="1" t="s">
        <v>841</v>
      </c>
      <c r="L11" s="1" t="s">
        <v>842</v>
      </c>
      <c r="M11" s="1" t="s">
        <v>4575</v>
      </c>
      <c r="N11" s="3" t="s">
        <v>24</v>
      </c>
      <c r="O11" s="2" t="s">
        <v>48</v>
      </c>
      <c r="P11" s="12">
        <v>45985</v>
      </c>
    </row>
    <row r="12" spans="1:22" ht="285">
      <c r="A12" s="1">
        <v>11</v>
      </c>
      <c r="B12" s="1" t="s">
        <v>837</v>
      </c>
      <c r="C12" s="23"/>
      <c r="D12" s="36"/>
      <c r="E12" s="1" t="s">
        <v>30</v>
      </c>
      <c r="F12" s="1" t="s">
        <v>22</v>
      </c>
      <c r="G12" s="1" t="s">
        <v>786</v>
      </c>
      <c r="H12" s="1" t="s">
        <v>838</v>
      </c>
      <c r="I12" s="1" t="s">
        <v>43</v>
      </c>
      <c r="J12" s="1" t="s">
        <v>839</v>
      </c>
      <c r="K12" s="1" t="s">
        <v>843</v>
      </c>
      <c r="L12" s="1" t="s">
        <v>847</v>
      </c>
      <c r="M12" s="1" t="s">
        <v>4544</v>
      </c>
      <c r="N12" s="3" t="s">
        <v>24</v>
      </c>
      <c r="O12" s="2" t="s">
        <v>48</v>
      </c>
      <c r="P12" s="12">
        <v>45985</v>
      </c>
    </row>
    <row r="13" spans="1:22" ht="315">
      <c r="A13" s="1">
        <v>12</v>
      </c>
      <c r="B13" s="1" t="s">
        <v>840</v>
      </c>
      <c r="E13" s="1" t="s">
        <v>30</v>
      </c>
      <c r="F13" s="1" t="s">
        <v>22</v>
      </c>
      <c r="G13" s="1" t="s">
        <v>786</v>
      </c>
      <c r="H13" s="1" t="s">
        <v>844</v>
      </c>
      <c r="I13" s="1" t="s">
        <v>43</v>
      </c>
      <c r="J13" s="1" t="s">
        <v>845</v>
      </c>
      <c r="K13" s="1" t="s">
        <v>846</v>
      </c>
      <c r="L13" s="1" t="s">
        <v>848</v>
      </c>
      <c r="M13" s="1" t="s">
        <v>4543</v>
      </c>
      <c r="N13" s="3" t="s">
        <v>24</v>
      </c>
      <c r="O13" s="2" t="s">
        <v>48</v>
      </c>
      <c r="P13" s="12">
        <v>45985</v>
      </c>
    </row>
    <row r="14" spans="1:22" ht="120">
      <c r="A14" s="1">
        <v>13</v>
      </c>
      <c r="B14" s="1" t="s">
        <v>849</v>
      </c>
      <c r="E14" s="1" t="s">
        <v>30</v>
      </c>
      <c r="F14" s="1" t="s">
        <v>22</v>
      </c>
      <c r="G14" s="1" t="s">
        <v>786</v>
      </c>
      <c r="H14" s="1" t="s">
        <v>850</v>
      </c>
      <c r="I14" s="1" t="s">
        <v>43</v>
      </c>
      <c r="J14" s="1" t="s">
        <v>852</v>
      </c>
      <c r="K14" s="1" t="s">
        <v>851</v>
      </c>
      <c r="L14" s="1" t="s">
        <v>853</v>
      </c>
      <c r="M14" s="1" t="s">
        <v>258</v>
      </c>
      <c r="N14" s="3" t="s">
        <v>24</v>
      </c>
      <c r="O14" s="2" t="s">
        <v>48</v>
      </c>
      <c r="P14" s="12">
        <v>45985</v>
      </c>
    </row>
    <row r="15" spans="1:22" ht="120">
      <c r="A15" s="1">
        <v>14</v>
      </c>
      <c r="B15" s="1" t="s">
        <v>855</v>
      </c>
      <c r="E15" s="1" t="s">
        <v>30</v>
      </c>
      <c r="F15" s="1" t="s">
        <v>22</v>
      </c>
      <c r="G15" s="1" t="s">
        <v>786</v>
      </c>
      <c r="H15" s="1" t="s">
        <v>856</v>
      </c>
      <c r="I15" s="1" t="s">
        <v>43</v>
      </c>
      <c r="J15" s="1" t="s">
        <v>858</v>
      </c>
      <c r="K15" s="1" t="s">
        <v>857</v>
      </c>
      <c r="L15" s="1" t="s">
        <v>859</v>
      </c>
      <c r="M15" s="1" t="s">
        <v>258</v>
      </c>
      <c r="N15" s="3" t="s">
        <v>24</v>
      </c>
      <c r="O15" s="2" t="s">
        <v>48</v>
      </c>
      <c r="P15" s="12">
        <v>45985</v>
      </c>
    </row>
    <row r="16" spans="1:22" ht="150">
      <c r="A16" s="1">
        <v>15</v>
      </c>
      <c r="B16" s="1" t="s">
        <v>860</v>
      </c>
      <c r="E16" s="1" t="s">
        <v>30</v>
      </c>
      <c r="F16" s="1" t="s">
        <v>22</v>
      </c>
      <c r="G16" s="1" t="s">
        <v>786</v>
      </c>
      <c r="H16" s="1" t="s">
        <v>861</v>
      </c>
      <c r="I16" s="1" t="s">
        <v>43</v>
      </c>
      <c r="J16" s="1" t="s">
        <v>862</v>
      </c>
      <c r="K16" s="1" t="s">
        <v>863</v>
      </c>
      <c r="L16" s="1" t="s">
        <v>864</v>
      </c>
      <c r="M16" s="1" t="s">
        <v>2727</v>
      </c>
      <c r="N16" s="28" t="s">
        <v>24</v>
      </c>
      <c r="O16" s="2" t="s">
        <v>48</v>
      </c>
      <c r="P16" s="12">
        <v>45985</v>
      </c>
    </row>
    <row r="17" spans="1:16" ht="135">
      <c r="A17" s="1">
        <v>16</v>
      </c>
      <c r="B17" s="1" t="s">
        <v>865</v>
      </c>
      <c r="E17" s="1" t="s">
        <v>30</v>
      </c>
      <c r="F17" s="1" t="s">
        <v>22</v>
      </c>
      <c r="G17" s="1" t="s">
        <v>786</v>
      </c>
      <c r="H17" s="1" t="s">
        <v>870</v>
      </c>
      <c r="I17" s="1" t="s">
        <v>43</v>
      </c>
      <c r="J17" s="1" t="s">
        <v>867</v>
      </c>
      <c r="K17" s="1" t="s">
        <v>866</v>
      </c>
      <c r="L17" s="1" t="s">
        <v>868</v>
      </c>
      <c r="M17" s="1" t="s">
        <v>854</v>
      </c>
      <c r="N17" s="3" t="s">
        <v>24</v>
      </c>
      <c r="O17" s="2" t="s">
        <v>48</v>
      </c>
      <c r="P17" s="12">
        <v>45985</v>
      </c>
    </row>
    <row r="18" spans="1:16" ht="135">
      <c r="A18" s="1">
        <v>17</v>
      </c>
      <c r="B18" s="1" t="s">
        <v>873</v>
      </c>
      <c r="E18" s="1" t="s">
        <v>30</v>
      </c>
      <c r="F18" s="1" t="s">
        <v>22</v>
      </c>
      <c r="G18" s="1" t="s">
        <v>786</v>
      </c>
      <c r="H18" s="1" t="s">
        <v>869</v>
      </c>
      <c r="I18" s="1" t="s">
        <v>43</v>
      </c>
      <c r="J18" s="1" t="s">
        <v>871</v>
      </c>
      <c r="K18" s="1" t="s">
        <v>872</v>
      </c>
      <c r="L18" s="1" t="s">
        <v>868</v>
      </c>
      <c r="M18" s="1" t="s">
        <v>854</v>
      </c>
      <c r="N18" s="3" t="s">
        <v>24</v>
      </c>
      <c r="O18" s="2" t="s">
        <v>48</v>
      </c>
      <c r="P18" s="12">
        <v>45985</v>
      </c>
    </row>
    <row r="19" spans="1:16" ht="120">
      <c r="A19" s="1">
        <v>18</v>
      </c>
      <c r="B19" s="1" t="s">
        <v>878</v>
      </c>
      <c r="E19" s="1" t="s">
        <v>30</v>
      </c>
      <c r="F19" s="1" t="s">
        <v>22</v>
      </c>
      <c r="G19" s="1" t="s">
        <v>786</v>
      </c>
      <c r="H19" s="5" t="s">
        <v>875</v>
      </c>
      <c r="I19" s="1" t="s">
        <v>43</v>
      </c>
      <c r="J19" s="1" t="s">
        <v>876</v>
      </c>
      <c r="K19" s="21" t="s">
        <v>874</v>
      </c>
      <c r="L19" s="1" t="s">
        <v>877</v>
      </c>
      <c r="M19" s="1" t="s">
        <v>854</v>
      </c>
      <c r="N19" s="3" t="s">
        <v>24</v>
      </c>
      <c r="O19" s="2" t="s">
        <v>48</v>
      </c>
      <c r="P19" s="12">
        <v>45985</v>
      </c>
    </row>
    <row r="20" spans="1:16" ht="135">
      <c r="A20" s="1">
        <v>19</v>
      </c>
      <c r="B20" s="1" t="s">
        <v>883</v>
      </c>
      <c r="E20" s="1" t="s">
        <v>30</v>
      </c>
      <c r="F20" s="1" t="s">
        <v>22</v>
      </c>
      <c r="G20" s="1" t="s">
        <v>786</v>
      </c>
      <c r="H20" s="5" t="s">
        <v>879</v>
      </c>
      <c r="I20" s="1" t="s">
        <v>43</v>
      </c>
      <c r="J20" s="1" t="s">
        <v>880</v>
      </c>
      <c r="K20" s="1" t="s">
        <v>881</v>
      </c>
      <c r="L20" s="5" t="s">
        <v>882</v>
      </c>
      <c r="M20" s="1" t="s">
        <v>854</v>
      </c>
      <c r="N20" s="3" t="s">
        <v>24</v>
      </c>
      <c r="O20" s="2" t="s">
        <v>48</v>
      </c>
      <c r="P20" s="12">
        <v>45985</v>
      </c>
    </row>
    <row r="21" spans="1:16" ht="195">
      <c r="A21" s="1">
        <v>20</v>
      </c>
      <c r="B21" s="1" t="s">
        <v>887</v>
      </c>
      <c r="E21" s="1" t="s">
        <v>30</v>
      </c>
      <c r="F21" s="1" t="s">
        <v>22</v>
      </c>
      <c r="G21" s="1" t="s">
        <v>786</v>
      </c>
      <c r="H21" s="5" t="s">
        <v>884</v>
      </c>
      <c r="I21" s="1" t="s">
        <v>43</v>
      </c>
      <c r="J21" s="1" t="s">
        <v>885</v>
      </c>
      <c r="K21" s="1" t="s">
        <v>881</v>
      </c>
      <c r="L21" s="5" t="s">
        <v>886</v>
      </c>
      <c r="M21" s="1" t="s">
        <v>854</v>
      </c>
      <c r="N21" s="3" t="s">
        <v>24</v>
      </c>
      <c r="O21" s="2" t="s">
        <v>48</v>
      </c>
      <c r="P21" s="12">
        <v>45986</v>
      </c>
    </row>
    <row r="22" spans="1:16" ht="120">
      <c r="A22" s="1">
        <v>21</v>
      </c>
      <c r="B22" s="1" t="s">
        <v>892</v>
      </c>
      <c r="E22" s="1" t="s">
        <v>30</v>
      </c>
      <c r="F22" s="1" t="s">
        <v>22</v>
      </c>
      <c r="G22" s="1" t="s">
        <v>786</v>
      </c>
      <c r="H22" s="5" t="s">
        <v>888</v>
      </c>
      <c r="I22" s="1" t="s">
        <v>43</v>
      </c>
      <c r="J22" s="1" t="s">
        <v>889</v>
      </c>
      <c r="K22" s="5" t="s">
        <v>890</v>
      </c>
      <c r="L22" s="1" t="s">
        <v>891</v>
      </c>
      <c r="M22" s="1" t="s">
        <v>1611</v>
      </c>
      <c r="N22" s="3" t="s">
        <v>274</v>
      </c>
      <c r="O22" s="2" t="s">
        <v>48</v>
      </c>
      <c r="P22" s="12">
        <v>45986</v>
      </c>
    </row>
    <row r="23" spans="1:16" ht="150">
      <c r="A23" s="1">
        <v>22</v>
      </c>
      <c r="B23" s="1" t="s">
        <v>896</v>
      </c>
      <c r="E23" s="1" t="s">
        <v>30</v>
      </c>
      <c r="F23" s="1" t="s">
        <v>22</v>
      </c>
      <c r="G23" s="1" t="s">
        <v>786</v>
      </c>
      <c r="H23" s="5" t="s">
        <v>893</v>
      </c>
      <c r="I23" s="1" t="s">
        <v>43</v>
      </c>
      <c r="J23" s="1" t="s">
        <v>894</v>
      </c>
      <c r="K23" s="1" t="s">
        <v>255</v>
      </c>
      <c r="L23" s="1" t="s">
        <v>895</v>
      </c>
      <c r="M23" s="1" t="s">
        <v>854</v>
      </c>
      <c r="N23" s="3" t="s">
        <v>24</v>
      </c>
      <c r="O23" s="2" t="s">
        <v>48</v>
      </c>
      <c r="P23" s="12">
        <v>45986</v>
      </c>
    </row>
    <row r="24" spans="1:16" ht="150">
      <c r="A24" s="1">
        <v>23</v>
      </c>
      <c r="B24" s="1" t="s">
        <v>900</v>
      </c>
      <c r="E24" s="1" t="s">
        <v>30</v>
      </c>
      <c r="F24" s="1" t="s">
        <v>22</v>
      </c>
      <c r="G24" s="1" t="s">
        <v>786</v>
      </c>
      <c r="H24" s="5" t="s">
        <v>897</v>
      </c>
      <c r="I24" s="1" t="s">
        <v>43</v>
      </c>
      <c r="J24" s="1" t="s">
        <v>898</v>
      </c>
      <c r="K24" s="1" t="s">
        <v>255</v>
      </c>
      <c r="L24" s="1" t="s">
        <v>899</v>
      </c>
      <c r="M24" s="1" t="s">
        <v>854</v>
      </c>
      <c r="N24" s="3" t="s">
        <v>24</v>
      </c>
      <c r="O24" s="2" t="s">
        <v>48</v>
      </c>
      <c r="P24" s="12">
        <v>45986</v>
      </c>
    </row>
    <row r="25" spans="1:16" ht="135">
      <c r="A25" s="1">
        <v>24</v>
      </c>
      <c r="B25" s="1" t="s">
        <v>904</v>
      </c>
      <c r="E25" s="1" t="s">
        <v>30</v>
      </c>
      <c r="F25" s="1" t="s">
        <v>22</v>
      </c>
      <c r="G25" s="1" t="s">
        <v>786</v>
      </c>
      <c r="H25" s="5" t="s">
        <v>901</v>
      </c>
      <c r="I25" s="1" t="s">
        <v>43</v>
      </c>
      <c r="J25" s="1" t="s">
        <v>902</v>
      </c>
      <c r="K25" s="1" t="s">
        <v>255</v>
      </c>
      <c r="L25" s="1" t="s">
        <v>903</v>
      </c>
      <c r="M25" s="1" t="s">
        <v>854</v>
      </c>
      <c r="N25" s="3" t="s">
        <v>24</v>
      </c>
      <c r="O25" s="2" t="s">
        <v>48</v>
      </c>
      <c r="P25" s="12">
        <v>45986</v>
      </c>
    </row>
    <row r="26" spans="1:16" ht="135">
      <c r="A26" s="1">
        <v>25</v>
      </c>
      <c r="B26" s="1" t="s">
        <v>909</v>
      </c>
      <c r="E26" s="1" t="s">
        <v>30</v>
      </c>
      <c r="F26" s="1" t="s">
        <v>22</v>
      </c>
      <c r="G26" s="1" t="s">
        <v>786</v>
      </c>
      <c r="H26" s="5" t="s">
        <v>905</v>
      </c>
      <c r="I26" s="1" t="s">
        <v>43</v>
      </c>
      <c r="J26" s="1" t="s">
        <v>907</v>
      </c>
      <c r="K26" s="1" t="s">
        <v>255</v>
      </c>
      <c r="L26" s="1" t="s">
        <v>908</v>
      </c>
      <c r="M26" s="1" t="s">
        <v>854</v>
      </c>
      <c r="N26" s="3" t="s">
        <v>24</v>
      </c>
      <c r="O26" s="2" t="s">
        <v>48</v>
      </c>
      <c r="P26" s="12">
        <v>45986</v>
      </c>
    </row>
    <row r="27" spans="1:16" ht="120">
      <c r="A27" s="1">
        <v>26</v>
      </c>
      <c r="B27" s="1" t="s">
        <v>910</v>
      </c>
      <c r="E27" s="1" t="s">
        <v>30</v>
      </c>
      <c r="F27" s="1" t="s">
        <v>22</v>
      </c>
      <c r="G27" s="1" t="s">
        <v>786</v>
      </c>
      <c r="H27" s="5" t="s">
        <v>926</v>
      </c>
      <c r="I27" s="1" t="s">
        <v>43</v>
      </c>
      <c r="J27" s="1" t="s">
        <v>911</v>
      </c>
      <c r="K27" s="1" t="s">
        <v>255</v>
      </c>
      <c r="L27" s="1" t="s">
        <v>912</v>
      </c>
      <c r="M27" s="5" t="s">
        <v>6056</v>
      </c>
      <c r="N27" s="3" t="s">
        <v>274</v>
      </c>
      <c r="O27" s="2" t="s">
        <v>48</v>
      </c>
      <c r="P27" s="12">
        <v>45986</v>
      </c>
    </row>
    <row r="28" spans="1:16" ht="120">
      <c r="A28" s="1">
        <v>27</v>
      </c>
      <c r="B28" s="1" t="s">
        <v>916</v>
      </c>
      <c r="E28" s="1" t="s">
        <v>30</v>
      </c>
      <c r="F28" s="1" t="s">
        <v>22</v>
      </c>
      <c r="G28" s="1" t="s">
        <v>786</v>
      </c>
      <c r="H28" s="5" t="s">
        <v>925</v>
      </c>
      <c r="I28" s="1" t="s">
        <v>43</v>
      </c>
      <c r="J28" s="1" t="s">
        <v>914</v>
      </c>
      <c r="K28" s="1" t="s">
        <v>255</v>
      </c>
      <c r="L28" s="1" t="s">
        <v>915</v>
      </c>
      <c r="M28" s="1" t="s">
        <v>727</v>
      </c>
      <c r="N28" s="3" t="s">
        <v>24</v>
      </c>
      <c r="O28" s="2" t="s">
        <v>48</v>
      </c>
      <c r="P28" s="12">
        <v>45986</v>
      </c>
    </row>
    <row r="29" spans="1:16" ht="120">
      <c r="A29" s="1">
        <v>28</v>
      </c>
      <c r="B29" s="1" t="s">
        <v>919</v>
      </c>
      <c r="E29" s="1" t="s">
        <v>30</v>
      </c>
      <c r="F29" s="1" t="s">
        <v>22</v>
      </c>
      <c r="G29" s="1" t="s">
        <v>786</v>
      </c>
      <c r="H29" s="1" t="s">
        <v>924</v>
      </c>
      <c r="I29" s="1" t="s">
        <v>43</v>
      </c>
      <c r="J29" s="1" t="s">
        <v>917</v>
      </c>
      <c r="K29" s="1" t="s">
        <v>255</v>
      </c>
      <c r="L29" s="1" t="s">
        <v>918</v>
      </c>
      <c r="M29" s="1" t="s">
        <v>6055</v>
      </c>
      <c r="N29" s="3" t="s">
        <v>274</v>
      </c>
      <c r="O29" s="2" t="s">
        <v>48</v>
      </c>
      <c r="P29" s="12">
        <v>45986</v>
      </c>
    </row>
    <row r="30" spans="1:16" ht="120">
      <c r="A30" s="1">
        <v>29</v>
      </c>
      <c r="B30" s="1" t="s">
        <v>921</v>
      </c>
      <c r="E30" s="1" t="s">
        <v>30</v>
      </c>
      <c r="F30" s="1" t="s">
        <v>22</v>
      </c>
      <c r="G30" s="1" t="s">
        <v>786</v>
      </c>
      <c r="H30" s="1" t="s">
        <v>923</v>
      </c>
      <c r="I30" s="1" t="s">
        <v>43</v>
      </c>
      <c r="J30" s="1" t="s">
        <v>920</v>
      </c>
      <c r="K30" s="1" t="s">
        <v>255</v>
      </c>
      <c r="L30" s="1" t="s">
        <v>736</v>
      </c>
      <c r="M30" s="1" t="s">
        <v>258</v>
      </c>
      <c r="N30" s="3" t="s">
        <v>24</v>
      </c>
      <c r="O30" s="2" t="s">
        <v>48</v>
      </c>
      <c r="P30" s="12">
        <v>45986</v>
      </c>
    </row>
  </sheetData>
  <autoFilter ref="A1:V30"/>
  <hyperlinks>
    <hyperlink ref="C5" r:id="rId1" display="https://hanssupport.atlassian.net/browse/BA-220"/>
    <hyperlink ref="C10" r:id="rId2" display="https://hanssupport.atlassian.net/browse/BA-221"/>
  </hyperlinks>
  <pageMargins left="0.7" right="0.7" top="0.75" bottom="0.75" header="0.3" footer="0.3"/>
  <pageSetup paperSize="9" orientation="portrait" verticalDpi="0" r:id="rId3"/>
</worksheet>
</file>

<file path=xl/worksheets/sheet5.xml><?xml version="1.0" encoding="utf-8"?>
<worksheet xmlns="http://schemas.openxmlformats.org/spreadsheetml/2006/main" xmlns:r="http://schemas.openxmlformats.org/officeDocument/2006/relationships">
  <dimension ref="A1:V30"/>
  <sheetViews>
    <sheetView topLeftCell="I1" workbookViewId="0">
      <pane ySplit="1" topLeftCell="A26" activePane="bottomLeft" state="frozen"/>
      <selection pane="bottomLeft" activeCell="L29" sqref="L29"/>
    </sheetView>
  </sheetViews>
  <sheetFormatPr defaultRowHeight="15"/>
  <cols>
    <col min="1" max="1" width="7.85546875" style="1" customWidth="1"/>
    <col min="2" max="2" width="16.140625" style="1" customWidth="1"/>
    <col min="3" max="3" width="10.140625" style="1" customWidth="1"/>
    <col min="4" max="4" width="21.85546875" style="1" customWidth="1"/>
    <col min="5" max="5" width="13.85546875" style="1" customWidth="1"/>
    <col min="6" max="6" width="12.140625" style="1" customWidth="1"/>
    <col min="7" max="7" width="19.7109375" style="1" customWidth="1"/>
    <col min="8" max="8" width="49.42578125" style="1" customWidth="1"/>
    <col min="9" max="9" width="47.28515625" style="1" customWidth="1"/>
    <col min="10" max="10" width="39.42578125" style="1" customWidth="1"/>
    <col min="11" max="11" width="37.7109375" style="1" customWidth="1"/>
    <col min="12" max="12" width="47.140625" style="1" customWidth="1"/>
    <col min="13" max="13" width="43.7109375" style="1" customWidth="1"/>
    <col min="14" max="14" width="13" style="1" customWidth="1"/>
    <col min="15" max="15" width="31.7109375" style="1" customWidth="1"/>
    <col min="16" max="16" width="21.42578125" style="1" customWidth="1"/>
    <col min="17" max="17" width="18.42578125" style="1" customWidth="1"/>
    <col min="18" max="18" width="24.28515625" style="1" customWidth="1"/>
    <col min="19" max="19" width="33.7109375" style="1" customWidth="1"/>
    <col min="20" max="20" width="26.140625" style="1" customWidth="1"/>
    <col min="21" max="21" width="27.7109375" style="1" customWidth="1"/>
    <col min="22" max="22" width="18.85546875" style="1" customWidth="1"/>
    <col min="23" max="16384" width="9.140625" style="1"/>
  </cols>
  <sheetData>
    <row r="1" spans="1:22" ht="31.5">
      <c r="A1" s="13" t="s">
        <v>0</v>
      </c>
      <c r="B1" s="13" t="s">
        <v>1</v>
      </c>
      <c r="C1" s="13" t="s">
        <v>2</v>
      </c>
      <c r="D1" s="38" t="s">
        <v>1221</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927</v>
      </c>
      <c r="E2" s="1" t="s">
        <v>30</v>
      </c>
      <c r="F2" s="1" t="s">
        <v>22</v>
      </c>
      <c r="G2" s="1" t="s">
        <v>928</v>
      </c>
      <c r="H2" s="1" t="s">
        <v>929</v>
      </c>
      <c r="I2" s="1" t="s">
        <v>933</v>
      </c>
      <c r="J2" s="1" t="s">
        <v>994</v>
      </c>
      <c r="K2" s="1" t="s">
        <v>934</v>
      </c>
      <c r="L2" s="1" t="s">
        <v>930</v>
      </c>
      <c r="M2" s="1" t="s">
        <v>931</v>
      </c>
      <c r="N2" s="3" t="s">
        <v>24</v>
      </c>
      <c r="O2" s="2" t="s">
        <v>935</v>
      </c>
      <c r="P2" s="12">
        <v>45986</v>
      </c>
    </row>
    <row r="3" spans="1:22" ht="135">
      <c r="A3" s="1">
        <v>2</v>
      </c>
      <c r="B3" s="1" t="s">
        <v>932</v>
      </c>
      <c r="E3" s="1" t="s">
        <v>30</v>
      </c>
      <c r="F3" s="1" t="s">
        <v>22</v>
      </c>
      <c r="G3" s="1" t="s">
        <v>928</v>
      </c>
      <c r="H3" s="1" t="s">
        <v>937</v>
      </c>
      <c r="I3" s="1" t="s">
        <v>933</v>
      </c>
      <c r="J3" s="1" t="s">
        <v>995</v>
      </c>
      <c r="K3" s="1" t="s">
        <v>936</v>
      </c>
      <c r="L3" s="1" t="s">
        <v>938</v>
      </c>
      <c r="M3" s="1" t="s">
        <v>258</v>
      </c>
      <c r="N3" s="3" t="s">
        <v>24</v>
      </c>
      <c r="O3" s="2" t="s">
        <v>935</v>
      </c>
      <c r="P3" s="12">
        <v>45986</v>
      </c>
    </row>
    <row r="4" spans="1:22" ht="240">
      <c r="A4" s="93">
        <v>3</v>
      </c>
      <c r="B4" s="93" t="s">
        <v>940</v>
      </c>
      <c r="C4" s="94" t="s">
        <v>1224</v>
      </c>
      <c r="D4" s="93" t="s">
        <v>1225</v>
      </c>
      <c r="E4" s="93" t="s">
        <v>30</v>
      </c>
      <c r="F4" s="93" t="s">
        <v>22</v>
      </c>
      <c r="G4" s="93" t="s">
        <v>928</v>
      </c>
      <c r="H4" s="93" t="s">
        <v>4528</v>
      </c>
      <c r="I4" s="93" t="s">
        <v>4529</v>
      </c>
      <c r="J4" s="93" t="s">
        <v>4530</v>
      </c>
      <c r="K4" s="93" t="s">
        <v>4531</v>
      </c>
      <c r="L4" s="93" t="s">
        <v>4532</v>
      </c>
      <c r="M4" s="93" t="s">
        <v>939</v>
      </c>
      <c r="N4" s="3" t="s">
        <v>24</v>
      </c>
      <c r="O4" s="71" t="s">
        <v>935</v>
      </c>
      <c r="P4" s="72">
        <v>45986</v>
      </c>
      <c r="Q4" s="68" t="s">
        <v>3159</v>
      </c>
      <c r="R4" s="68" t="s">
        <v>1220</v>
      </c>
      <c r="S4" s="68" t="s">
        <v>4534</v>
      </c>
      <c r="T4" s="72" t="s">
        <v>4527</v>
      </c>
      <c r="U4" s="68"/>
      <c r="V4" s="68"/>
    </row>
    <row r="5" spans="1:22" ht="180">
      <c r="A5" s="1">
        <v>4</v>
      </c>
      <c r="B5" s="1" t="s">
        <v>941</v>
      </c>
      <c r="E5" s="1" t="s">
        <v>30</v>
      </c>
      <c r="F5" s="1" t="s">
        <v>22</v>
      </c>
      <c r="G5" s="1" t="s">
        <v>928</v>
      </c>
      <c r="H5" s="1" t="s">
        <v>945</v>
      </c>
      <c r="I5" s="1" t="s">
        <v>43</v>
      </c>
      <c r="J5" s="1" t="s">
        <v>942</v>
      </c>
      <c r="K5" s="1" t="s">
        <v>255</v>
      </c>
      <c r="L5" s="1" t="s">
        <v>944</v>
      </c>
      <c r="M5" s="1" t="s">
        <v>943</v>
      </c>
      <c r="N5" s="3" t="s">
        <v>274</v>
      </c>
      <c r="O5" s="2" t="s">
        <v>935</v>
      </c>
      <c r="P5" s="12">
        <v>45989</v>
      </c>
    </row>
    <row r="6" spans="1:22" ht="165">
      <c r="A6" s="1">
        <v>5</v>
      </c>
      <c r="B6" s="1" t="s">
        <v>946</v>
      </c>
      <c r="E6" s="1" t="s">
        <v>30</v>
      </c>
      <c r="F6" s="1" t="s">
        <v>22</v>
      </c>
      <c r="G6" s="1" t="s">
        <v>928</v>
      </c>
      <c r="H6" s="1" t="s">
        <v>947</v>
      </c>
      <c r="I6" s="1" t="s">
        <v>933</v>
      </c>
      <c r="J6" s="1" t="s">
        <v>948</v>
      </c>
      <c r="K6" s="1" t="s">
        <v>950</v>
      </c>
      <c r="L6" s="92" t="s">
        <v>4533</v>
      </c>
      <c r="M6" s="1" t="s">
        <v>854</v>
      </c>
      <c r="N6" s="3" t="s">
        <v>24</v>
      </c>
      <c r="O6" s="2" t="s">
        <v>935</v>
      </c>
      <c r="P6" s="12">
        <v>45989</v>
      </c>
    </row>
    <row r="7" spans="1:22" ht="120">
      <c r="A7" s="68">
        <v>6</v>
      </c>
      <c r="B7" s="68" t="s">
        <v>949</v>
      </c>
      <c r="C7" s="69" t="s">
        <v>1226</v>
      </c>
      <c r="D7" s="70">
        <v>45992</v>
      </c>
      <c r="E7" s="68" t="s">
        <v>30</v>
      </c>
      <c r="F7" s="68" t="s">
        <v>22</v>
      </c>
      <c r="G7" s="68" t="s">
        <v>928</v>
      </c>
      <c r="H7" s="95" t="s">
        <v>955</v>
      </c>
      <c r="I7" s="68" t="s">
        <v>933</v>
      </c>
      <c r="J7" s="68" t="s">
        <v>951</v>
      </c>
      <c r="K7" s="68" t="s">
        <v>952</v>
      </c>
      <c r="L7" s="68" t="s">
        <v>953</v>
      </c>
      <c r="M7" s="68" t="s">
        <v>972</v>
      </c>
      <c r="N7" s="3" t="s">
        <v>24</v>
      </c>
      <c r="O7" s="71" t="s">
        <v>935</v>
      </c>
      <c r="P7" s="72">
        <v>45989</v>
      </c>
      <c r="Q7" s="68" t="s">
        <v>3159</v>
      </c>
      <c r="R7" s="68" t="s">
        <v>1220</v>
      </c>
      <c r="S7" s="68" t="s">
        <v>4534</v>
      </c>
      <c r="T7" s="72" t="s">
        <v>4527</v>
      </c>
      <c r="U7" s="68"/>
      <c r="V7" s="68"/>
    </row>
    <row r="8" spans="1:22" ht="120">
      <c r="A8" s="1">
        <v>7</v>
      </c>
      <c r="B8" s="1" t="s">
        <v>954</v>
      </c>
      <c r="E8" s="1" t="s">
        <v>30</v>
      </c>
      <c r="F8" s="1" t="s">
        <v>22</v>
      </c>
      <c r="G8" s="1" t="s">
        <v>928</v>
      </c>
      <c r="H8" s="5" t="s">
        <v>956</v>
      </c>
      <c r="I8" s="1" t="s">
        <v>933</v>
      </c>
      <c r="J8" s="1" t="s">
        <v>961</v>
      </c>
      <c r="K8" s="1" t="s">
        <v>957</v>
      </c>
      <c r="L8" s="1" t="s">
        <v>958</v>
      </c>
      <c r="M8" s="1" t="s">
        <v>1007</v>
      </c>
      <c r="N8" s="3" t="s">
        <v>24</v>
      </c>
      <c r="O8" s="2" t="s">
        <v>935</v>
      </c>
      <c r="P8" s="12">
        <v>45989</v>
      </c>
    </row>
    <row r="9" spans="1:22" ht="150">
      <c r="A9" s="1">
        <v>8</v>
      </c>
      <c r="B9" s="1" t="s">
        <v>959</v>
      </c>
      <c r="E9" s="1" t="s">
        <v>30</v>
      </c>
      <c r="F9" s="1" t="s">
        <v>22</v>
      </c>
      <c r="G9" s="1" t="s">
        <v>928</v>
      </c>
      <c r="H9" s="5" t="s">
        <v>960</v>
      </c>
      <c r="I9" s="1" t="s">
        <v>933</v>
      </c>
      <c r="J9" s="1" t="s">
        <v>962</v>
      </c>
      <c r="K9" s="1" t="s">
        <v>963</v>
      </c>
      <c r="L9" s="1" t="s">
        <v>964</v>
      </c>
      <c r="M9" s="1" t="s">
        <v>965</v>
      </c>
      <c r="N9" s="3" t="s">
        <v>274</v>
      </c>
      <c r="O9" s="2" t="s">
        <v>935</v>
      </c>
      <c r="P9" s="12">
        <v>45989</v>
      </c>
    </row>
    <row r="10" spans="1:22" ht="135">
      <c r="A10" s="1">
        <v>9</v>
      </c>
      <c r="B10" s="1" t="s">
        <v>966</v>
      </c>
      <c r="E10" s="1" t="s">
        <v>30</v>
      </c>
      <c r="F10" s="1" t="s">
        <v>22</v>
      </c>
      <c r="G10" s="1" t="s">
        <v>928</v>
      </c>
      <c r="H10" s="5" t="s">
        <v>967</v>
      </c>
      <c r="I10" s="1" t="s">
        <v>933</v>
      </c>
      <c r="J10" s="1" t="s">
        <v>969</v>
      </c>
      <c r="K10" s="1" t="s">
        <v>968</v>
      </c>
      <c r="L10" s="1" t="s">
        <v>970</v>
      </c>
      <c r="M10" s="1" t="s">
        <v>971</v>
      </c>
      <c r="N10" s="3" t="s">
        <v>24</v>
      </c>
      <c r="O10" s="2" t="s">
        <v>935</v>
      </c>
      <c r="P10" s="12">
        <v>45989</v>
      </c>
    </row>
    <row r="11" spans="1:22" ht="180">
      <c r="A11" s="68">
        <v>10</v>
      </c>
      <c r="B11" s="68" t="s">
        <v>973</v>
      </c>
      <c r="C11" s="69" t="s">
        <v>1228</v>
      </c>
      <c r="D11" s="70">
        <v>45992</v>
      </c>
      <c r="E11" s="68" t="s">
        <v>30</v>
      </c>
      <c r="F11" s="68" t="s">
        <v>22</v>
      </c>
      <c r="G11" s="68" t="s">
        <v>928</v>
      </c>
      <c r="H11" s="95" t="s">
        <v>974</v>
      </c>
      <c r="I11" s="68" t="s">
        <v>933</v>
      </c>
      <c r="J11" s="68" t="s">
        <v>975</v>
      </c>
      <c r="K11" s="68" t="s">
        <v>1025</v>
      </c>
      <c r="L11" s="68" t="s">
        <v>976</v>
      </c>
      <c r="M11" s="96" t="s">
        <v>1227</v>
      </c>
      <c r="N11" s="3" t="s">
        <v>24</v>
      </c>
      <c r="O11" s="71" t="s">
        <v>935</v>
      </c>
      <c r="P11" s="72">
        <v>45989</v>
      </c>
      <c r="Q11" s="68" t="s">
        <v>3159</v>
      </c>
      <c r="R11" s="68" t="s">
        <v>3973</v>
      </c>
      <c r="S11" s="68" t="s">
        <v>4534</v>
      </c>
      <c r="T11" s="72" t="s">
        <v>4527</v>
      </c>
      <c r="U11" s="68"/>
      <c r="V11" s="68"/>
    </row>
    <row r="12" spans="1:22" ht="135">
      <c r="A12" s="1">
        <v>11</v>
      </c>
      <c r="B12" s="1" t="s">
        <v>977</v>
      </c>
      <c r="E12" s="1" t="s">
        <v>30</v>
      </c>
      <c r="F12" s="1" t="s">
        <v>22</v>
      </c>
      <c r="G12" s="1" t="s">
        <v>928</v>
      </c>
      <c r="H12" s="5" t="s">
        <v>978</v>
      </c>
      <c r="I12" s="1" t="s">
        <v>933</v>
      </c>
      <c r="J12" s="1" t="s">
        <v>979</v>
      </c>
      <c r="K12" s="1" t="s">
        <v>980</v>
      </c>
      <c r="L12" s="1" t="s">
        <v>981</v>
      </c>
      <c r="M12" s="1" t="s">
        <v>982</v>
      </c>
      <c r="N12" s="3" t="s">
        <v>24</v>
      </c>
      <c r="O12" s="2" t="s">
        <v>935</v>
      </c>
      <c r="P12" s="12">
        <v>45989</v>
      </c>
      <c r="R12" s="1" t="s">
        <v>4541</v>
      </c>
    </row>
    <row r="13" spans="1:22" ht="135">
      <c r="A13" s="1">
        <v>12</v>
      </c>
      <c r="B13" s="1" t="s">
        <v>983</v>
      </c>
      <c r="E13" s="1" t="s">
        <v>30</v>
      </c>
      <c r="F13" s="1" t="s">
        <v>22</v>
      </c>
      <c r="G13" s="1" t="s">
        <v>928</v>
      </c>
      <c r="H13" s="5" t="s">
        <v>984</v>
      </c>
      <c r="I13" s="1" t="s">
        <v>933</v>
      </c>
      <c r="J13" s="1" t="s">
        <v>985</v>
      </c>
      <c r="K13" s="1" t="s">
        <v>986</v>
      </c>
      <c r="L13" s="1" t="s">
        <v>987</v>
      </c>
      <c r="M13" s="1" t="s">
        <v>988</v>
      </c>
      <c r="N13" s="3" t="s">
        <v>24</v>
      </c>
      <c r="O13" s="2" t="s">
        <v>935</v>
      </c>
      <c r="P13" s="12">
        <v>45989</v>
      </c>
      <c r="R13" s="1" t="s">
        <v>4541</v>
      </c>
    </row>
    <row r="14" spans="1:22" ht="135">
      <c r="A14" s="68">
        <v>13</v>
      </c>
      <c r="B14" s="68" t="s">
        <v>989</v>
      </c>
      <c r="C14" s="69" t="s">
        <v>2730</v>
      </c>
      <c r="D14" s="70">
        <v>46010</v>
      </c>
      <c r="E14" s="68" t="s">
        <v>30</v>
      </c>
      <c r="F14" s="68" t="s">
        <v>22</v>
      </c>
      <c r="G14" s="68" t="s">
        <v>928</v>
      </c>
      <c r="H14" s="95" t="s">
        <v>990</v>
      </c>
      <c r="I14" s="68" t="s">
        <v>933</v>
      </c>
      <c r="J14" s="68" t="s">
        <v>991</v>
      </c>
      <c r="K14" s="68" t="s">
        <v>992</v>
      </c>
      <c r="L14" s="68" t="s">
        <v>993</v>
      </c>
      <c r="M14" s="68" t="s">
        <v>2729</v>
      </c>
      <c r="N14" s="3" t="s">
        <v>24</v>
      </c>
      <c r="O14" s="71" t="s">
        <v>935</v>
      </c>
      <c r="P14" s="72">
        <v>45989</v>
      </c>
      <c r="Q14" s="68" t="s">
        <v>3159</v>
      </c>
      <c r="R14" s="68" t="s">
        <v>4880</v>
      </c>
      <c r="S14" s="68" t="s">
        <v>4534</v>
      </c>
      <c r="T14" s="72" t="s">
        <v>4527</v>
      </c>
      <c r="U14" s="68"/>
      <c r="V14" s="68"/>
    </row>
    <row r="15" spans="1:22" ht="120">
      <c r="A15" s="1">
        <v>14</v>
      </c>
      <c r="B15" s="1" t="s">
        <v>996</v>
      </c>
      <c r="E15" s="1" t="s">
        <v>30</v>
      </c>
      <c r="F15" s="1" t="s">
        <v>22</v>
      </c>
      <c r="G15" s="1" t="s">
        <v>928</v>
      </c>
      <c r="H15" s="5" t="s">
        <v>997</v>
      </c>
      <c r="I15" s="1" t="s">
        <v>933</v>
      </c>
      <c r="J15" s="1" t="s">
        <v>998</v>
      </c>
      <c r="K15" s="1" t="s">
        <v>999</v>
      </c>
      <c r="L15" s="1" t="s">
        <v>1000</v>
      </c>
      <c r="M15" s="1" t="s">
        <v>1005</v>
      </c>
      <c r="N15" s="3" t="s">
        <v>24</v>
      </c>
      <c r="O15" s="2" t="s">
        <v>935</v>
      </c>
      <c r="P15" s="12">
        <v>45989</v>
      </c>
      <c r="R15" s="1" t="s">
        <v>4542</v>
      </c>
    </row>
    <row r="16" spans="1:22" ht="120">
      <c r="A16" s="1">
        <v>15</v>
      </c>
      <c r="B16" s="1" t="s">
        <v>1001</v>
      </c>
      <c r="E16" s="1" t="s">
        <v>30</v>
      </c>
      <c r="F16" s="1" t="s">
        <v>22</v>
      </c>
      <c r="G16" s="1" t="s">
        <v>928</v>
      </c>
      <c r="H16" s="5" t="s">
        <v>1002</v>
      </c>
      <c r="I16" s="1" t="s">
        <v>933</v>
      </c>
      <c r="J16" s="1" t="s">
        <v>1003</v>
      </c>
      <c r="K16" s="1" t="s">
        <v>1004</v>
      </c>
      <c r="L16" s="1" t="s">
        <v>1006</v>
      </c>
      <c r="M16" s="1" t="s">
        <v>1005</v>
      </c>
      <c r="N16" s="3" t="s">
        <v>24</v>
      </c>
      <c r="O16" s="2" t="s">
        <v>935</v>
      </c>
      <c r="P16" s="12">
        <v>45989</v>
      </c>
      <c r="R16" s="1" t="s">
        <v>4542</v>
      </c>
    </row>
    <row r="17" spans="1:22" ht="135">
      <c r="A17" s="1">
        <v>16</v>
      </c>
      <c r="B17" s="1" t="s">
        <v>1008</v>
      </c>
      <c r="E17" s="1" t="s">
        <v>30</v>
      </c>
      <c r="F17" s="1" t="s">
        <v>22</v>
      </c>
      <c r="G17" s="1" t="s">
        <v>928</v>
      </c>
      <c r="H17" s="1" t="s">
        <v>1013</v>
      </c>
      <c r="I17" s="1" t="s">
        <v>933</v>
      </c>
      <c r="J17" s="1" t="s">
        <v>1009</v>
      </c>
      <c r="K17" s="1" t="s">
        <v>866</v>
      </c>
      <c r="L17" s="1" t="s">
        <v>1010</v>
      </c>
      <c r="M17" s="1" t="s">
        <v>854</v>
      </c>
      <c r="N17" s="3" t="s">
        <v>24</v>
      </c>
      <c r="O17" s="2" t="s">
        <v>935</v>
      </c>
      <c r="P17" s="12">
        <v>45989</v>
      </c>
    </row>
    <row r="18" spans="1:22" ht="135">
      <c r="A18" s="68">
        <v>17</v>
      </c>
      <c r="B18" s="68" t="s">
        <v>1012</v>
      </c>
      <c r="C18" s="69" t="s">
        <v>2731</v>
      </c>
      <c r="D18" s="70">
        <v>46010</v>
      </c>
      <c r="E18" s="68" t="s">
        <v>30</v>
      </c>
      <c r="F18" s="68" t="s">
        <v>22</v>
      </c>
      <c r="G18" s="68" t="s">
        <v>928</v>
      </c>
      <c r="H18" s="68" t="s">
        <v>1014</v>
      </c>
      <c r="I18" s="68" t="s">
        <v>933</v>
      </c>
      <c r="J18" s="68" t="s">
        <v>1011</v>
      </c>
      <c r="K18" s="68" t="s">
        <v>1015</v>
      </c>
      <c r="L18" s="68" t="s">
        <v>1010</v>
      </c>
      <c r="M18" s="68" t="s">
        <v>1016</v>
      </c>
      <c r="N18" s="3" t="s">
        <v>24</v>
      </c>
      <c r="O18" s="71" t="s">
        <v>935</v>
      </c>
      <c r="P18" s="72">
        <v>45989</v>
      </c>
      <c r="Q18" s="68" t="s">
        <v>3159</v>
      </c>
      <c r="R18" s="68" t="s">
        <v>1220</v>
      </c>
      <c r="S18" s="68" t="s">
        <v>4534</v>
      </c>
      <c r="T18" s="72" t="s">
        <v>4527</v>
      </c>
      <c r="U18" s="68"/>
      <c r="V18" s="68"/>
    </row>
    <row r="19" spans="1:22" ht="105">
      <c r="A19" s="1">
        <v>18</v>
      </c>
      <c r="B19" s="1" t="s">
        <v>1017</v>
      </c>
      <c r="E19" s="1" t="s">
        <v>30</v>
      </c>
      <c r="F19" s="1" t="s">
        <v>22</v>
      </c>
      <c r="G19" s="1" t="s">
        <v>928</v>
      </c>
      <c r="H19" s="5" t="s">
        <v>1021</v>
      </c>
      <c r="I19" s="1" t="s">
        <v>933</v>
      </c>
      <c r="J19" s="1" t="s">
        <v>1018</v>
      </c>
      <c r="K19" s="1" t="s">
        <v>1019</v>
      </c>
      <c r="L19" s="1" t="s">
        <v>877</v>
      </c>
      <c r="M19" s="1" t="s">
        <v>854</v>
      </c>
      <c r="N19" s="3" t="s">
        <v>24</v>
      </c>
      <c r="O19" s="2" t="s">
        <v>935</v>
      </c>
      <c r="P19" s="12">
        <v>45989</v>
      </c>
    </row>
    <row r="20" spans="1:22" ht="135">
      <c r="A20" s="1">
        <v>19</v>
      </c>
      <c r="B20" s="1" t="s">
        <v>1020</v>
      </c>
      <c r="E20" s="1" t="s">
        <v>30</v>
      </c>
      <c r="F20" s="1" t="s">
        <v>22</v>
      </c>
      <c r="G20" s="1" t="s">
        <v>928</v>
      </c>
      <c r="H20" s="5" t="s">
        <v>1022</v>
      </c>
      <c r="I20" s="1" t="s">
        <v>933</v>
      </c>
      <c r="J20" s="1" t="s">
        <v>1023</v>
      </c>
      <c r="K20" s="1" t="s">
        <v>1024</v>
      </c>
      <c r="L20" s="5" t="s">
        <v>882</v>
      </c>
      <c r="M20" s="1" t="s">
        <v>854</v>
      </c>
      <c r="N20" s="3" t="s">
        <v>24</v>
      </c>
      <c r="O20" s="2" t="s">
        <v>935</v>
      </c>
      <c r="P20" s="12">
        <v>45989</v>
      </c>
    </row>
    <row r="21" spans="1:22" ht="210">
      <c r="A21" s="68">
        <v>20</v>
      </c>
      <c r="B21" s="68" t="s">
        <v>1026</v>
      </c>
      <c r="C21" s="69" t="s">
        <v>4874</v>
      </c>
      <c r="D21" s="70">
        <v>45685</v>
      </c>
      <c r="E21" s="68" t="s">
        <v>30</v>
      </c>
      <c r="F21" s="68" t="s">
        <v>22</v>
      </c>
      <c r="G21" s="68" t="s">
        <v>928</v>
      </c>
      <c r="H21" s="95" t="s">
        <v>1027</v>
      </c>
      <c r="I21" s="68" t="s">
        <v>933</v>
      </c>
      <c r="J21" s="68" t="s">
        <v>1029</v>
      </c>
      <c r="K21" s="68" t="s">
        <v>1028</v>
      </c>
      <c r="L21" s="95" t="s">
        <v>1030</v>
      </c>
      <c r="M21" s="68" t="s">
        <v>1031</v>
      </c>
      <c r="N21" s="68" t="s">
        <v>24</v>
      </c>
      <c r="O21" s="71" t="s">
        <v>935</v>
      </c>
      <c r="P21" s="72">
        <v>45989</v>
      </c>
      <c r="Q21" s="68" t="s">
        <v>3159</v>
      </c>
      <c r="R21" s="68" t="s">
        <v>1220</v>
      </c>
      <c r="S21" s="68" t="s">
        <v>4534</v>
      </c>
      <c r="T21" s="72" t="s">
        <v>5078</v>
      </c>
      <c r="U21" s="68"/>
      <c r="V21" s="68"/>
    </row>
    <row r="22" spans="1:22" ht="135">
      <c r="A22" s="1">
        <v>21</v>
      </c>
      <c r="B22" s="1" t="s">
        <v>1032</v>
      </c>
      <c r="E22" s="1" t="s">
        <v>30</v>
      </c>
      <c r="F22" s="1" t="s">
        <v>22</v>
      </c>
      <c r="G22" s="1" t="s">
        <v>928</v>
      </c>
      <c r="H22" s="5" t="s">
        <v>1033</v>
      </c>
      <c r="I22" s="1" t="s">
        <v>933</v>
      </c>
      <c r="J22" s="1" t="s">
        <v>1034</v>
      </c>
      <c r="K22" s="5" t="s">
        <v>890</v>
      </c>
      <c r="L22" s="1" t="s">
        <v>891</v>
      </c>
      <c r="M22" s="1" t="s">
        <v>1035</v>
      </c>
      <c r="N22" s="3" t="s">
        <v>24</v>
      </c>
      <c r="O22" s="2" t="s">
        <v>935</v>
      </c>
      <c r="P22" s="12">
        <v>45989</v>
      </c>
    </row>
    <row r="23" spans="1:22" ht="150">
      <c r="A23" s="68">
        <v>22</v>
      </c>
      <c r="B23" s="68" t="s">
        <v>1036</v>
      </c>
      <c r="C23" s="69" t="s">
        <v>2732</v>
      </c>
      <c r="D23" s="70">
        <v>46010</v>
      </c>
      <c r="E23" s="68" t="s">
        <v>30</v>
      </c>
      <c r="F23" s="68" t="s">
        <v>22</v>
      </c>
      <c r="G23" s="68" t="s">
        <v>928</v>
      </c>
      <c r="H23" s="95" t="s">
        <v>1037</v>
      </c>
      <c r="I23" s="68" t="s">
        <v>933</v>
      </c>
      <c r="J23" s="68" t="s">
        <v>1038</v>
      </c>
      <c r="K23" s="68" t="s">
        <v>1039</v>
      </c>
      <c r="L23" s="68" t="s">
        <v>895</v>
      </c>
      <c r="M23" s="68" t="s">
        <v>1040</v>
      </c>
      <c r="N23" s="3" t="s">
        <v>24</v>
      </c>
      <c r="O23" s="71" t="s">
        <v>935</v>
      </c>
      <c r="P23" s="72">
        <v>45989</v>
      </c>
      <c r="Q23" s="68" t="s">
        <v>3159</v>
      </c>
      <c r="R23" s="68" t="s">
        <v>1220</v>
      </c>
      <c r="S23" s="68" t="s">
        <v>4534</v>
      </c>
      <c r="T23" s="72" t="s">
        <v>4527</v>
      </c>
      <c r="U23" s="68"/>
      <c r="V23" s="68"/>
    </row>
    <row r="24" spans="1:22" ht="150">
      <c r="A24" s="68">
        <v>23</v>
      </c>
      <c r="B24" s="68" t="s">
        <v>1041</v>
      </c>
      <c r="C24" s="69" t="s">
        <v>2733</v>
      </c>
      <c r="D24" s="70">
        <v>46010</v>
      </c>
      <c r="E24" s="68" t="s">
        <v>30</v>
      </c>
      <c r="F24" s="68" t="s">
        <v>22</v>
      </c>
      <c r="G24" s="68" t="s">
        <v>928</v>
      </c>
      <c r="H24" s="95" t="s">
        <v>1042</v>
      </c>
      <c r="I24" s="68" t="s">
        <v>933</v>
      </c>
      <c r="J24" s="68" t="s">
        <v>1043</v>
      </c>
      <c r="K24" s="68" t="s">
        <v>1039</v>
      </c>
      <c r="L24" s="68" t="s">
        <v>1044</v>
      </c>
      <c r="M24" s="68" t="s">
        <v>1045</v>
      </c>
      <c r="N24" s="3" t="s">
        <v>24</v>
      </c>
      <c r="O24" s="71" t="s">
        <v>935</v>
      </c>
      <c r="P24" s="72">
        <v>45989</v>
      </c>
      <c r="Q24" s="97" t="s">
        <v>3159</v>
      </c>
      <c r="R24" s="68" t="s">
        <v>1220</v>
      </c>
      <c r="S24" s="68" t="s">
        <v>4534</v>
      </c>
      <c r="T24" s="72" t="s">
        <v>4527</v>
      </c>
      <c r="U24" s="68"/>
      <c r="V24" s="68"/>
    </row>
    <row r="25" spans="1:22" ht="135">
      <c r="A25" s="68">
        <v>24</v>
      </c>
      <c r="B25" s="68" t="s">
        <v>1046</v>
      </c>
      <c r="C25" s="69" t="s">
        <v>2734</v>
      </c>
      <c r="D25" s="70">
        <v>46010</v>
      </c>
      <c r="E25" s="68" t="s">
        <v>30</v>
      </c>
      <c r="F25" s="68" t="s">
        <v>22</v>
      </c>
      <c r="G25" s="68" t="s">
        <v>928</v>
      </c>
      <c r="H25" s="95" t="s">
        <v>1047</v>
      </c>
      <c r="I25" s="68" t="s">
        <v>933</v>
      </c>
      <c r="J25" s="68" t="s">
        <v>1048</v>
      </c>
      <c r="K25" s="68" t="s">
        <v>255</v>
      </c>
      <c r="L25" s="68" t="s">
        <v>1049</v>
      </c>
      <c r="M25" s="68" t="s">
        <v>1050</v>
      </c>
      <c r="N25" s="3" t="s">
        <v>24</v>
      </c>
      <c r="O25" s="71" t="s">
        <v>935</v>
      </c>
      <c r="P25" s="72">
        <v>45989</v>
      </c>
      <c r="Q25" s="97" t="s">
        <v>3159</v>
      </c>
      <c r="R25" s="68" t="s">
        <v>1220</v>
      </c>
      <c r="S25" s="68" t="s">
        <v>4534</v>
      </c>
      <c r="T25" s="72" t="s">
        <v>4527</v>
      </c>
      <c r="U25" s="68"/>
      <c r="V25" s="68"/>
    </row>
    <row r="26" spans="1:22" ht="135">
      <c r="A26" s="68">
        <v>25</v>
      </c>
      <c r="B26" s="68" t="s">
        <v>1051</v>
      </c>
      <c r="C26" s="69" t="s">
        <v>2735</v>
      </c>
      <c r="D26" s="70">
        <v>46010</v>
      </c>
      <c r="E26" s="68" t="s">
        <v>30</v>
      </c>
      <c r="F26" s="68" t="s">
        <v>22</v>
      </c>
      <c r="G26" s="68" t="s">
        <v>928</v>
      </c>
      <c r="H26" s="95" t="s">
        <v>1052</v>
      </c>
      <c r="I26" s="68" t="s">
        <v>933</v>
      </c>
      <c r="J26" s="68" t="s">
        <v>1053</v>
      </c>
      <c r="K26" s="68" t="s">
        <v>255</v>
      </c>
      <c r="L26" s="68" t="s">
        <v>908</v>
      </c>
      <c r="M26" s="68" t="s">
        <v>1054</v>
      </c>
      <c r="N26" s="3" t="s">
        <v>24</v>
      </c>
      <c r="O26" s="71" t="s">
        <v>935</v>
      </c>
      <c r="P26" s="72">
        <v>45989</v>
      </c>
      <c r="Q26" s="97" t="s">
        <v>3159</v>
      </c>
      <c r="R26" s="68" t="s">
        <v>1220</v>
      </c>
      <c r="S26" s="68" t="s">
        <v>4534</v>
      </c>
      <c r="T26" s="72" t="s">
        <v>4527</v>
      </c>
      <c r="U26" s="68"/>
      <c r="V26" s="68"/>
    </row>
    <row r="27" spans="1:22" ht="105">
      <c r="A27" s="1">
        <v>26</v>
      </c>
      <c r="B27" s="1" t="s">
        <v>1055</v>
      </c>
      <c r="E27" s="1" t="s">
        <v>30</v>
      </c>
      <c r="F27" s="1" t="s">
        <v>22</v>
      </c>
      <c r="G27" s="1" t="s">
        <v>928</v>
      </c>
      <c r="H27" s="5" t="s">
        <v>1056</v>
      </c>
      <c r="I27" s="1" t="s">
        <v>933</v>
      </c>
      <c r="J27" s="1" t="s">
        <v>1057</v>
      </c>
      <c r="K27" s="1" t="s">
        <v>255</v>
      </c>
      <c r="L27" s="1" t="s">
        <v>1058</v>
      </c>
      <c r="M27" s="5" t="s">
        <v>6061</v>
      </c>
      <c r="N27" s="3" t="s">
        <v>274</v>
      </c>
      <c r="O27" s="2" t="s">
        <v>935</v>
      </c>
      <c r="P27" s="12">
        <v>45989</v>
      </c>
    </row>
    <row r="28" spans="1:22" ht="105">
      <c r="A28" s="1">
        <v>27</v>
      </c>
      <c r="B28" s="1" t="s">
        <v>1059</v>
      </c>
      <c r="E28" s="1" t="s">
        <v>30</v>
      </c>
      <c r="F28" s="1" t="s">
        <v>22</v>
      </c>
      <c r="G28" s="1" t="s">
        <v>928</v>
      </c>
      <c r="H28" s="5" t="s">
        <v>1060</v>
      </c>
      <c r="I28" s="1" t="s">
        <v>933</v>
      </c>
      <c r="J28" s="1" t="s">
        <v>1061</v>
      </c>
      <c r="K28" s="1" t="s">
        <v>255</v>
      </c>
      <c r="L28" s="1" t="s">
        <v>1062</v>
      </c>
      <c r="M28" s="1" t="s">
        <v>1063</v>
      </c>
      <c r="N28" s="3" t="s">
        <v>274</v>
      </c>
      <c r="O28" s="2" t="s">
        <v>935</v>
      </c>
      <c r="P28" s="12">
        <v>45989</v>
      </c>
    </row>
    <row r="29" spans="1:22" ht="90">
      <c r="A29" s="1">
        <v>28</v>
      </c>
      <c r="B29" s="1" t="s">
        <v>1064</v>
      </c>
      <c r="E29" s="1" t="s">
        <v>30</v>
      </c>
      <c r="F29" s="1" t="s">
        <v>22</v>
      </c>
      <c r="G29" s="1" t="s">
        <v>928</v>
      </c>
      <c r="H29" s="1" t="s">
        <v>1065</v>
      </c>
      <c r="I29" s="1" t="s">
        <v>933</v>
      </c>
      <c r="J29" s="1" t="s">
        <v>1066</v>
      </c>
      <c r="K29" s="1" t="s">
        <v>255</v>
      </c>
      <c r="L29" s="1" t="s">
        <v>918</v>
      </c>
      <c r="M29" s="1" t="s">
        <v>6062</v>
      </c>
      <c r="N29" s="3" t="s">
        <v>274</v>
      </c>
      <c r="O29" s="2" t="s">
        <v>935</v>
      </c>
      <c r="P29" s="12">
        <v>45989</v>
      </c>
    </row>
    <row r="30" spans="1:22" ht="90">
      <c r="A30" s="1">
        <v>29</v>
      </c>
      <c r="B30" s="1" t="s">
        <v>1067</v>
      </c>
      <c r="E30" s="1" t="s">
        <v>30</v>
      </c>
      <c r="F30" s="1" t="s">
        <v>22</v>
      </c>
      <c r="G30" s="1" t="s">
        <v>928</v>
      </c>
      <c r="H30" s="1" t="s">
        <v>1068</v>
      </c>
      <c r="I30" s="1" t="s">
        <v>933</v>
      </c>
      <c r="J30" s="1" t="s">
        <v>1069</v>
      </c>
      <c r="K30" s="1" t="s">
        <v>255</v>
      </c>
      <c r="L30" s="1" t="s">
        <v>736</v>
      </c>
      <c r="M30" s="1" t="s">
        <v>258</v>
      </c>
      <c r="N30" s="3" t="s">
        <v>24</v>
      </c>
      <c r="O30" s="2" t="s">
        <v>935</v>
      </c>
      <c r="P30" s="12">
        <v>45989</v>
      </c>
    </row>
  </sheetData>
  <autoFilter ref="A1:V30">
    <filterColumn colId="13"/>
  </autoFilter>
  <hyperlinks>
    <hyperlink ref="C4" r:id="rId1" display="https://hanssupport.atlassian.net/browse/BA-222"/>
    <hyperlink ref="C7" r:id="rId2" display="https://hanssupport.atlassian.net/browse/BA-223"/>
    <hyperlink ref="C11" r:id="rId3" display="https://hanssupport.atlassian.net/browse/BA-224"/>
    <hyperlink ref="C14" r:id="rId4" display="https://hanssupport.atlassian.net/browse/BA-288"/>
    <hyperlink ref="C18" r:id="rId5" display="https://hanssupport.atlassian.net/browse/BA-289"/>
    <hyperlink ref="C23" r:id="rId6" display="https://hanssupport.atlassian.net/browse/BA-290"/>
    <hyperlink ref="C24" r:id="rId7" display="https://hanssupport.atlassian.net/browse/BA-291"/>
    <hyperlink ref="C25" r:id="rId8" display="https://hanssupport.atlassian.net/browse/BA-292"/>
    <hyperlink ref="C26" r:id="rId9" display="https://hanssupport.atlassian.net/browse/BA-293"/>
    <hyperlink ref="C21" r:id="rId10" display="https://hanssupport.atlassian.net/browse/BA-506"/>
  </hyperlinks>
  <pageMargins left="0.7" right="0.7" top="0.75" bottom="0.75" header="0.3" footer="0.3"/>
  <pageSetup paperSize="9" orientation="portrait" verticalDpi="0" r:id="rId11"/>
</worksheet>
</file>

<file path=xl/worksheets/sheet6.xml><?xml version="1.0" encoding="utf-8"?>
<worksheet xmlns="http://schemas.openxmlformats.org/spreadsheetml/2006/main" xmlns:r="http://schemas.openxmlformats.org/officeDocument/2006/relationships">
  <dimension ref="A1:V22"/>
  <sheetViews>
    <sheetView topLeftCell="I1" workbookViewId="0">
      <pane ySplit="1" topLeftCell="A18" activePane="bottomLeft" state="frozen"/>
      <selection pane="bottomLeft" activeCell="M20" sqref="M20"/>
    </sheetView>
  </sheetViews>
  <sheetFormatPr defaultRowHeight="15"/>
  <cols>
    <col min="1" max="1" width="8.7109375" style="5" customWidth="1"/>
    <col min="2" max="2" width="15.85546875" style="5" customWidth="1"/>
    <col min="3" max="3" width="10.42578125" style="5" customWidth="1"/>
    <col min="4" max="4" width="19.85546875" style="5" customWidth="1"/>
    <col min="5" max="5" width="15" style="5" customWidth="1"/>
    <col min="6" max="6" width="14.28515625" style="5" customWidth="1"/>
    <col min="7" max="7" width="21.7109375" style="5" customWidth="1"/>
    <col min="8" max="8" width="52" style="5" customWidth="1"/>
    <col min="9" max="9" width="43.7109375" style="5" customWidth="1"/>
    <col min="10" max="10" width="40.28515625" style="5" customWidth="1"/>
    <col min="11" max="11" width="34.28515625" style="5" customWidth="1"/>
    <col min="12" max="12" width="49" style="5" customWidth="1"/>
    <col min="13" max="13" width="40.85546875" style="5" customWidth="1"/>
    <col min="14" max="14" width="12.85546875" style="5" customWidth="1"/>
    <col min="15" max="15" width="28.28515625" style="5" customWidth="1"/>
    <col min="16" max="16" width="19.85546875" style="5" customWidth="1"/>
    <col min="17" max="17" width="14.85546875" style="5" customWidth="1"/>
    <col min="18" max="18" width="16.7109375" style="5" customWidth="1"/>
    <col min="19" max="19" width="19.28515625" style="5" customWidth="1"/>
    <col min="20" max="20" width="21.42578125" style="5" customWidth="1"/>
    <col min="21" max="21" width="27.28515625" style="5" customWidth="1"/>
    <col min="22" max="22" width="16.7109375" style="5" customWidth="1"/>
    <col min="23" max="16384" width="9.140625" style="5"/>
  </cols>
  <sheetData>
    <row r="1" spans="1:22" ht="31.5">
      <c r="A1" s="4" t="s">
        <v>0</v>
      </c>
      <c r="B1" s="4" t="s">
        <v>1</v>
      </c>
      <c r="C1" s="4" t="s">
        <v>2</v>
      </c>
      <c r="D1" s="37" t="s">
        <v>1221</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ht="90">
      <c r="A2" s="5">
        <v>1</v>
      </c>
      <c r="B2" s="5" t="s">
        <v>1070</v>
      </c>
      <c r="E2" s="5" t="s">
        <v>30</v>
      </c>
      <c r="F2" s="5" t="s">
        <v>22</v>
      </c>
      <c r="G2" s="5" t="s">
        <v>1071</v>
      </c>
      <c r="H2" s="5" t="s">
        <v>1072</v>
      </c>
      <c r="I2" s="5" t="s">
        <v>933</v>
      </c>
      <c r="J2" s="5" t="s">
        <v>1073</v>
      </c>
      <c r="K2" s="5" t="s">
        <v>1074</v>
      </c>
      <c r="L2" s="5" t="s">
        <v>1075</v>
      </c>
      <c r="M2" s="5" t="s">
        <v>1076</v>
      </c>
      <c r="N2" s="6" t="s">
        <v>24</v>
      </c>
      <c r="O2" s="7" t="s">
        <v>935</v>
      </c>
      <c r="P2" s="8">
        <v>45990</v>
      </c>
    </row>
    <row r="3" spans="1:22" ht="135">
      <c r="A3" s="5">
        <v>2</v>
      </c>
      <c r="B3" s="5" t="s">
        <v>1077</v>
      </c>
      <c r="E3" s="5" t="s">
        <v>30</v>
      </c>
      <c r="F3" s="5" t="s">
        <v>22</v>
      </c>
      <c r="G3" s="5" t="s">
        <v>1071</v>
      </c>
      <c r="H3" s="5" t="s">
        <v>1078</v>
      </c>
      <c r="I3" s="5" t="s">
        <v>933</v>
      </c>
      <c r="J3" s="5" t="s">
        <v>1079</v>
      </c>
      <c r="K3" s="5" t="s">
        <v>1080</v>
      </c>
      <c r="L3" s="5" t="s">
        <v>1081</v>
      </c>
      <c r="M3" s="5" t="s">
        <v>258</v>
      </c>
      <c r="N3" s="6" t="s">
        <v>24</v>
      </c>
      <c r="O3" s="7" t="s">
        <v>935</v>
      </c>
      <c r="P3" s="8">
        <v>45990</v>
      </c>
    </row>
    <row r="4" spans="1:22" ht="135">
      <c r="A4" s="5">
        <v>3</v>
      </c>
      <c r="B4" s="5" t="s">
        <v>1082</v>
      </c>
      <c r="E4" s="5" t="s">
        <v>30</v>
      </c>
      <c r="F4" s="5" t="s">
        <v>22</v>
      </c>
      <c r="G4" s="5" t="s">
        <v>1071</v>
      </c>
      <c r="H4" s="5" t="s">
        <v>1084</v>
      </c>
      <c r="I4" s="5" t="s">
        <v>933</v>
      </c>
      <c r="J4" s="5" t="s">
        <v>1085</v>
      </c>
      <c r="K4" s="5" t="s">
        <v>1083</v>
      </c>
      <c r="L4" s="5" t="s">
        <v>1086</v>
      </c>
      <c r="M4" s="9" t="s">
        <v>258</v>
      </c>
      <c r="N4" s="6" t="s">
        <v>24</v>
      </c>
      <c r="O4" s="7" t="s">
        <v>935</v>
      </c>
      <c r="P4" s="8">
        <v>45990</v>
      </c>
    </row>
    <row r="5" spans="1:22" ht="135">
      <c r="A5" s="95">
        <v>4</v>
      </c>
      <c r="B5" s="95" t="s">
        <v>1087</v>
      </c>
      <c r="C5" s="100" t="s">
        <v>1229</v>
      </c>
      <c r="D5" s="116">
        <v>45992</v>
      </c>
      <c r="E5" s="95" t="s">
        <v>30</v>
      </c>
      <c r="F5" s="95" t="s">
        <v>22</v>
      </c>
      <c r="G5" s="95" t="s">
        <v>1071</v>
      </c>
      <c r="H5" s="95" t="s">
        <v>1088</v>
      </c>
      <c r="I5" s="95" t="s">
        <v>933</v>
      </c>
      <c r="J5" s="95" t="s">
        <v>1089</v>
      </c>
      <c r="K5" s="95" t="s">
        <v>1090</v>
      </c>
      <c r="L5" s="95" t="s">
        <v>1091</v>
      </c>
      <c r="M5" s="95" t="s">
        <v>1092</v>
      </c>
      <c r="N5" s="95" t="s">
        <v>24</v>
      </c>
      <c r="O5" s="98" t="s">
        <v>935</v>
      </c>
      <c r="P5" s="99">
        <v>45990</v>
      </c>
      <c r="Q5" s="95"/>
      <c r="R5" s="95"/>
      <c r="S5" s="95"/>
      <c r="T5" s="95"/>
      <c r="U5" s="95"/>
      <c r="V5" s="95"/>
    </row>
    <row r="6" spans="1:22" ht="165">
      <c r="A6" s="5">
        <v>5</v>
      </c>
      <c r="B6" s="5" t="s">
        <v>1093</v>
      </c>
      <c r="E6" s="5" t="s">
        <v>30</v>
      </c>
      <c r="F6" s="5" t="s">
        <v>22</v>
      </c>
      <c r="G6" s="5" t="s">
        <v>1071</v>
      </c>
      <c r="H6" s="5" t="s">
        <v>1095</v>
      </c>
      <c r="I6" s="5" t="s">
        <v>933</v>
      </c>
      <c r="J6" s="5" t="s">
        <v>1096</v>
      </c>
      <c r="K6" s="5" t="s">
        <v>1094</v>
      </c>
      <c r="L6" s="5" t="s">
        <v>1097</v>
      </c>
      <c r="M6" s="5" t="s">
        <v>258</v>
      </c>
      <c r="N6" s="6" t="s">
        <v>24</v>
      </c>
      <c r="O6" s="7" t="s">
        <v>935</v>
      </c>
      <c r="P6" s="8">
        <v>45990</v>
      </c>
    </row>
    <row r="7" spans="1:22" ht="180">
      <c r="A7" s="5">
        <v>6</v>
      </c>
      <c r="B7" s="5" t="s">
        <v>1098</v>
      </c>
      <c r="E7" s="5" t="s">
        <v>30</v>
      </c>
      <c r="F7" s="5" t="s">
        <v>22</v>
      </c>
      <c r="G7" s="5" t="s">
        <v>1071</v>
      </c>
      <c r="H7" s="5" t="s">
        <v>1100</v>
      </c>
      <c r="I7" s="5" t="s">
        <v>933</v>
      </c>
      <c r="J7" s="5" t="s">
        <v>1099</v>
      </c>
      <c r="K7" s="5" t="s">
        <v>255</v>
      </c>
      <c r="L7" s="5" t="s">
        <v>1101</v>
      </c>
      <c r="M7" s="5" t="s">
        <v>1102</v>
      </c>
      <c r="N7" s="6" t="s">
        <v>274</v>
      </c>
      <c r="O7" s="7" t="s">
        <v>935</v>
      </c>
      <c r="P7" s="8">
        <v>45990</v>
      </c>
    </row>
    <row r="8" spans="1:22" ht="180">
      <c r="A8" s="5">
        <v>7</v>
      </c>
      <c r="B8" s="5" t="s">
        <v>1103</v>
      </c>
      <c r="E8" s="5" t="s">
        <v>30</v>
      </c>
      <c r="F8" s="5" t="s">
        <v>22</v>
      </c>
      <c r="G8" s="5" t="s">
        <v>1071</v>
      </c>
      <c r="H8" s="5" t="s">
        <v>1104</v>
      </c>
      <c r="I8" s="5" t="s">
        <v>933</v>
      </c>
      <c r="J8" s="5" t="s">
        <v>1105</v>
      </c>
      <c r="K8" s="5" t="s">
        <v>255</v>
      </c>
      <c r="L8" s="5" t="s">
        <v>1106</v>
      </c>
      <c r="M8" s="5" t="s">
        <v>1107</v>
      </c>
      <c r="N8" s="6" t="s">
        <v>24</v>
      </c>
      <c r="O8" s="7" t="s">
        <v>935</v>
      </c>
      <c r="P8" s="8">
        <v>45990</v>
      </c>
    </row>
    <row r="9" spans="1:22" ht="120">
      <c r="A9" s="5">
        <v>8</v>
      </c>
      <c r="B9" s="5" t="s">
        <v>1108</v>
      </c>
      <c r="C9" s="15" t="s">
        <v>4875</v>
      </c>
      <c r="D9" s="36">
        <v>46050</v>
      </c>
      <c r="E9" s="5" t="s">
        <v>30</v>
      </c>
      <c r="F9" s="5" t="s">
        <v>22</v>
      </c>
      <c r="G9" s="5" t="s">
        <v>1071</v>
      </c>
      <c r="H9" s="5" t="s">
        <v>1110</v>
      </c>
      <c r="I9" s="5" t="s">
        <v>933</v>
      </c>
      <c r="J9" s="5" t="s">
        <v>1111</v>
      </c>
      <c r="K9" s="5" t="s">
        <v>1109</v>
      </c>
      <c r="L9" s="5" t="s">
        <v>1117</v>
      </c>
      <c r="M9" s="5" t="s">
        <v>1112</v>
      </c>
      <c r="N9" s="33" t="s">
        <v>47</v>
      </c>
      <c r="O9" s="7" t="s">
        <v>935</v>
      </c>
      <c r="P9" s="8">
        <v>45990</v>
      </c>
      <c r="Q9" s="5" t="s">
        <v>3159</v>
      </c>
    </row>
    <row r="10" spans="1:22" ht="120">
      <c r="A10" s="5">
        <v>9</v>
      </c>
      <c r="B10" s="5" t="s">
        <v>1113</v>
      </c>
      <c r="C10" s="15" t="s">
        <v>4876</v>
      </c>
      <c r="D10" s="36">
        <v>46050</v>
      </c>
      <c r="E10" s="5" t="s">
        <v>30</v>
      </c>
      <c r="F10" s="5" t="s">
        <v>22</v>
      </c>
      <c r="G10" s="5" t="s">
        <v>1071</v>
      </c>
      <c r="H10" s="5" t="s">
        <v>1114</v>
      </c>
      <c r="I10" s="5" t="s">
        <v>933</v>
      </c>
      <c r="J10" s="5" t="s">
        <v>1115</v>
      </c>
      <c r="K10" s="5" t="s">
        <v>1116</v>
      </c>
      <c r="L10" s="5" t="s">
        <v>1118</v>
      </c>
      <c r="M10" s="5" t="s">
        <v>4877</v>
      </c>
      <c r="N10" s="33" t="s">
        <v>47</v>
      </c>
      <c r="O10" s="7" t="s">
        <v>935</v>
      </c>
      <c r="P10" s="8">
        <v>45990</v>
      </c>
      <c r="Q10" s="5" t="s">
        <v>3159</v>
      </c>
    </row>
    <row r="11" spans="1:22" ht="165">
      <c r="A11" s="5">
        <v>10</v>
      </c>
      <c r="B11" s="5" t="s">
        <v>1119</v>
      </c>
      <c r="E11" s="5" t="s">
        <v>30</v>
      </c>
      <c r="F11" s="5" t="s">
        <v>22</v>
      </c>
      <c r="G11" s="5" t="s">
        <v>1071</v>
      </c>
      <c r="H11" s="5" t="s">
        <v>3377</v>
      </c>
      <c r="I11" s="5" t="s">
        <v>933</v>
      </c>
      <c r="J11" s="5" t="s">
        <v>1122</v>
      </c>
      <c r="K11" s="5" t="s">
        <v>1120</v>
      </c>
      <c r="L11" s="5" t="s">
        <v>1123</v>
      </c>
      <c r="M11" s="5" t="s">
        <v>1124</v>
      </c>
      <c r="N11" s="6" t="s">
        <v>24</v>
      </c>
      <c r="O11" s="7" t="s">
        <v>935</v>
      </c>
      <c r="P11" s="8">
        <v>45990</v>
      </c>
    </row>
    <row r="12" spans="1:22" ht="105">
      <c r="A12" s="143">
        <v>11</v>
      </c>
      <c r="B12" s="143" t="s">
        <v>1121</v>
      </c>
      <c r="C12" s="15" t="s">
        <v>1230</v>
      </c>
      <c r="D12" s="144">
        <v>45992</v>
      </c>
      <c r="E12" s="143" t="s">
        <v>30</v>
      </c>
      <c r="F12" s="143" t="s">
        <v>22</v>
      </c>
      <c r="G12" s="143" t="s">
        <v>1071</v>
      </c>
      <c r="H12" s="143" t="s">
        <v>1125</v>
      </c>
      <c r="I12" s="143" t="s">
        <v>933</v>
      </c>
      <c r="J12" s="143" t="s">
        <v>1127</v>
      </c>
      <c r="K12" s="143" t="s">
        <v>1126</v>
      </c>
      <c r="L12" s="143" t="s">
        <v>1128</v>
      </c>
      <c r="M12" s="143" t="s">
        <v>1129</v>
      </c>
      <c r="N12" s="33" t="s">
        <v>47</v>
      </c>
      <c r="O12" s="145" t="s">
        <v>5670</v>
      </c>
      <c r="P12" s="146">
        <v>45990</v>
      </c>
      <c r="Q12" s="143" t="s">
        <v>3159</v>
      </c>
      <c r="R12" s="143"/>
      <c r="S12" s="143"/>
      <c r="T12" s="143"/>
      <c r="U12" s="143"/>
      <c r="V12" s="143"/>
    </row>
    <row r="13" spans="1:22" ht="105">
      <c r="A13" s="143">
        <v>12</v>
      </c>
      <c r="B13" s="143" t="s">
        <v>1130</v>
      </c>
      <c r="C13" s="15" t="s">
        <v>5052</v>
      </c>
      <c r="D13" s="144">
        <v>46053</v>
      </c>
      <c r="E13" s="143" t="s">
        <v>30</v>
      </c>
      <c r="F13" s="143" t="s">
        <v>22</v>
      </c>
      <c r="G13" s="143" t="s">
        <v>1071</v>
      </c>
      <c r="H13" s="143" t="s">
        <v>1132</v>
      </c>
      <c r="I13" s="143" t="s">
        <v>933</v>
      </c>
      <c r="J13" s="143" t="s">
        <v>5671</v>
      </c>
      <c r="K13" s="143" t="s">
        <v>1131</v>
      </c>
      <c r="L13" s="143" t="s">
        <v>1133</v>
      </c>
      <c r="M13" s="143" t="s">
        <v>1134</v>
      </c>
      <c r="N13" s="33" t="s">
        <v>47</v>
      </c>
      <c r="O13" s="145" t="s">
        <v>5670</v>
      </c>
      <c r="P13" s="146">
        <v>45990</v>
      </c>
      <c r="Q13" s="143" t="s">
        <v>3159</v>
      </c>
      <c r="R13" s="143"/>
      <c r="S13" s="143"/>
      <c r="T13" s="143"/>
      <c r="U13" s="143"/>
      <c r="V13" s="143"/>
    </row>
    <row r="14" spans="1:22" ht="120">
      <c r="A14" s="5">
        <v>13</v>
      </c>
      <c r="B14" s="5" t="s">
        <v>1135</v>
      </c>
      <c r="E14" s="5" t="s">
        <v>30</v>
      </c>
      <c r="F14" s="5" t="s">
        <v>22</v>
      </c>
      <c r="G14" s="5" t="s">
        <v>1071</v>
      </c>
      <c r="H14" s="5" t="s">
        <v>1136</v>
      </c>
      <c r="I14" s="5" t="s">
        <v>933</v>
      </c>
      <c r="J14" s="5" t="s">
        <v>1137</v>
      </c>
      <c r="K14" s="5" t="s">
        <v>1138</v>
      </c>
      <c r="L14" s="5" t="s">
        <v>1139</v>
      </c>
      <c r="M14" s="5" t="s">
        <v>1140</v>
      </c>
      <c r="N14" s="6" t="s">
        <v>24</v>
      </c>
      <c r="O14" s="7" t="s">
        <v>935</v>
      </c>
      <c r="P14" s="8">
        <v>45990</v>
      </c>
    </row>
    <row r="15" spans="1:22" ht="90">
      <c r="A15" s="5">
        <v>14</v>
      </c>
      <c r="B15" s="5" t="s">
        <v>1141</v>
      </c>
      <c r="E15" s="5" t="s">
        <v>30</v>
      </c>
      <c r="F15" s="5" t="s">
        <v>22</v>
      </c>
      <c r="G15" s="5" t="s">
        <v>1071</v>
      </c>
      <c r="H15" s="5" t="s">
        <v>1142</v>
      </c>
      <c r="I15" s="5" t="s">
        <v>933</v>
      </c>
      <c r="J15" s="5" t="s">
        <v>1143</v>
      </c>
      <c r="K15" s="5" t="s">
        <v>255</v>
      </c>
      <c r="L15" s="5" t="s">
        <v>1144</v>
      </c>
      <c r="M15" s="5" t="s">
        <v>1145</v>
      </c>
      <c r="N15" s="6" t="s">
        <v>24</v>
      </c>
      <c r="O15" s="7" t="s">
        <v>935</v>
      </c>
      <c r="P15" s="8">
        <v>45990</v>
      </c>
    </row>
    <row r="16" spans="1:22" ht="135">
      <c r="A16" s="5">
        <v>15</v>
      </c>
      <c r="B16" s="5" t="s">
        <v>1146</v>
      </c>
      <c r="E16" s="5" t="s">
        <v>30</v>
      </c>
      <c r="F16" s="5" t="s">
        <v>22</v>
      </c>
      <c r="G16" s="5" t="s">
        <v>1071</v>
      </c>
      <c r="H16" s="5" t="s">
        <v>1147</v>
      </c>
      <c r="I16" s="5" t="s">
        <v>933</v>
      </c>
      <c r="J16" s="5" t="s">
        <v>1148</v>
      </c>
      <c r="K16" s="5" t="s">
        <v>1024</v>
      </c>
      <c r="L16" s="5" t="s">
        <v>882</v>
      </c>
      <c r="M16" s="5" t="s">
        <v>854</v>
      </c>
      <c r="N16" s="6" t="s">
        <v>24</v>
      </c>
      <c r="O16" s="7" t="s">
        <v>935</v>
      </c>
      <c r="P16" s="8">
        <v>45990</v>
      </c>
    </row>
    <row r="17" spans="1:22" ht="135">
      <c r="A17" s="5">
        <v>16</v>
      </c>
      <c r="B17" s="5" t="s">
        <v>1149</v>
      </c>
      <c r="E17" s="5" t="s">
        <v>30</v>
      </c>
      <c r="F17" s="5" t="s">
        <v>22</v>
      </c>
      <c r="G17" s="5" t="s">
        <v>1071</v>
      </c>
      <c r="H17" s="5" t="s">
        <v>1150</v>
      </c>
      <c r="I17" s="5" t="s">
        <v>933</v>
      </c>
      <c r="J17" s="5" t="s">
        <v>1151</v>
      </c>
      <c r="K17" s="5" t="s">
        <v>890</v>
      </c>
      <c r="L17" s="5" t="s">
        <v>1152</v>
      </c>
      <c r="M17" s="5" t="s">
        <v>1035</v>
      </c>
      <c r="N17" s="3" t="s">
        <v>274</v>
      </c>
      <c r="O17" s="7" t="s">
        <v>935</v>
      </c>
      <c r="P17" s="8">
        <v>45990</v>
      </c>
    </row>
    <row r="18" spans="1:22" ht="165">
      <c r="A18" s="16">
        <v>17</v>
      </c>
      <c r="B18" s="16" t="s">
        <v>1153</v>
      </c>
      <c r="C18" s="67" t="s">
        <v>2736</v>
      </c>
      <c r="D18" s="147">
        <v>46010</v>
      </c>
      <c r="E18" s="16" t="s">
        <v>30</v>
      </c>
      <c r="F18" s="16" t="s">
        <v>22</v>
      </c>
      <c r="G18" s="16" t="s">
        <v>1071</v>
      </c>
      <c r="H18" s="16" t="s">
        <v>1154</v>
      </c>
      <c r="I18" s="16" t="s">
        <v>933</v>
      </c>
      <c r="J18" s="16" t="s">
        <v>1156</v>
      </c>
      <c r="K18" s="16" t="s">
        <v>1155</v>
      </c>
      <c r="L18" s="16" t="s">
        <v>1157</v>
      </c>
      <c r="M18" s="16" t="s">
        <v>1158</v>
      </c>
      <c r="N18" s="33" t="s">
        <v>47</v>
      </c>
      <c r="O18" s="17" t="s">
        <v>935</v>
      </c>
      <c r="P18" s="18">
        <v>45990</v>
      </c>
      <c r="Q18" s="16"/>
      <c r="R18" s="16"/>
      <c r="S18" s="16"/>
      <c r="T18" s="16"/>
      <c r="U18" s="16"/>
      <c r="V18" s="16"/>
    </row>
    <row r="19" spans="1:22" ht="165">
      <c r="A19" s="16">
        <v>18</v>
      </c>
      <c r="B19" s="16" t="s">
        <v>1159</v>
      </c>
      <c r="C19" s="67" t="s">
        <v>2737</v>
      </c>
      <c r="D19" s="147">
        <v>46010</v>
      </c>
      <c r="E19" s="16" t="s">
        <v>30</v>
      </c>
      <c r="F19" s="16" t="s">
        <v>22</v>
      </c>
      <c r="G19" s="16" t="s">
        <v>1071</v>
      </c>
      <c r="H19" s="16" t="s">
        <v>1160</v>
      </c>
      <c r="I19" s="16" t="s">
        <v>933</v>
      </c>
      <c r="J19" s="16" t="s">
        <v>1161</v>
      </c>
      <c r="K19" s="16" t="s">
        <v>1155</v>
      </c>
      <c r="L19" s="16" t="s">
        <v>1044</v>
      </c>
      <c r="M19" s="16" t="s">
        <v>1162</v>
      </c>
      <c r="N19" s="33" t="s">
        <v>47</v>
      </c>
      <c r="O19" s="17" t="s">
        <v>935</v>
      </c>
      <c r="P19" s="18">
        <v>45990</v>
      </c>
      <c r="Q19" s="16"/>
      <c r="R19" s="16"/>
      <c r="S19" s="16"/>
      <c r="T19" s="16"/>
      <c r="U19" s="16"/>
      <c r="V19" s="16"/>
    </row>
    <row r="20" spans="1:22" ht="105">
      <c r="A20" s="5">
        <v>19</v>
      </c>
      <c r="B20" s="5" t="s">
        <v>1163</v>
      </c>
      <c r="E20" s="5" t="s">
        <v>30</v>
      </c>
      <c r="F20" s="5" t="s">
        <v>22</v>
      </c>
      <c r="G20" s="5" t="s">
        <v>1071</v>
      </c>
      <c r="H20" s="5" t="s">
        <v>1164</v>
      </c>
      <c r="I20" s="1" t="s">
        <v>933</v>
      </c>
      <c r="J20" s="1" t="s">
        <v>1165</v>
      </c>
      <c r="K20" s="1" t="s">
        <v>255</v>
      </c>
      <c r="L20" s="1" t="s">
        <v>1166</v>
      </c>
      <c r="M20" s="5" t="s">
        <v>6061</v>
      </c>
      <c r="N20" s="3" t="s">
        <v>274</v>
      </c>
      <c r="O20" s="7" t="s">
        <v>935</v>
      </c>
      <c r="P20" s="8">
        <v>45990</v>
      </c>
    </row>
    <row r="21" spans="1:22" ht="90">
      <c r="A21" s="5">
        <v>20</v>
      </c>
      <c r="B21" s="5" t="s">
        <v>1167</v>
      </c>
      <c r="E21" s="5" t="s">
        <v>30</v>
      </c>
      <c r="F21" s="5" t="s">
        <v>22</v>
      </c>
      <c r="G21" s="5" t="s">
        <v>1071</v>
      </c>
      <c r="H21" s="5" t="s">
        <v>1168</v>
      </c>
      <c r="I21" s="1" t="s">
        <v>933</v>
      </c>
      <c r="J21" s="1" t="s">
        <v>1172</v>
      </c>
      <c r="K21" s="1" t="s">
        <v>255</v>
      </c>
      <c r="L21" s="1" t="s">
        <v>1062</v>
      </c>
      <c r="M21" s="1" t="s">
        <v>1169</v>
      </c>
      <c r="N21" s="6" t="s">
        <v>24</v>
      </c>
      <c r="O21" s="7" t="s">
        <v>935</v>
      </c>
      <c r="P21" s="8">
        <v>45990</v>
      </c>
    </row>
    <row r="22" spans="1:22" ht="90">
      <c r="A22" s="5">
        <v>21</v>
      </c>
      <c r="B22" s="5" t="s">
        <v>1170</v>
      </c>
      <c r="E22" s="5" t="s">
        <v>30</v>
      </c>
      <c r="F22" s="5" t="s">
        <v>22</v>
      </c>
      <c r="G22" s="5" t="s">
        <v>1071</v>
      </c>
      <c r="H22" s="1" t="s">
        <v>1173</v>
      </c>
      <c r="I22" s="1" t="s">
        <v>933</v>
      </c>
      <c r="J22" s="1" t="s">
        <v>1171</v>
      </c>
      <c r="K22" s="1" t="s">
        <v>255</v>
      </c>
      <c r="L22" s="1" t="s">
        <v>736</v>
      </c>
      <c r="M22" s="1" t="s">
        <v>258</v>
      </c>
      <c r="N22" s="6" t="s">
        <v>24</v>
      </c>
      <c r="O22" s="7" t="s">
        <v>935</v>
      </c>
      <c r="P22" s="8">
        <v>45990</v>
      </c>
    </row>
  </sheetData>
  <autoFilter ref="A1:V22"/>
  <hyperlinks>
    <hyperlink ref="C5" r:id="rId1" display="https://hanssupport.atlassian.net/browse/BA-225"/>
    <hyperlink ref="C12" r:id="rId2" display="https://hanssupport.atlassian.net/browse/BA-226"/>
    <hyperlink ref="C18" r:id="rId3" display="https://hanssupport.atlassian.net/browse/BA-294"/>
    <hyperlink ref="C19" r:id="rId4" display="https://hanssupport.atlassian.net/browse/BA-295"/>
    <hyperlink ref="C9" r:id="rId5" display="https://hanssupport.atlassian.net/browse/BA-508"/>
    <hyperlink ref="C10" r:id="rId6" display="https://hanssupport.atlassian.net/browse/BA-510"/>
    <hyperlink ref="C13" r:id="rId7" display="https://hanssupport.atlassian.net/browse/BA-584"/>
  </hyperlinks>
  <pageMargins left="0.7" right="0.7" top="0.75" bottom="0.75" header="0.3" footer="0.3"/>
  <pageSetup paperSize="9" orientation="portrait" verticalDpi="0" r:id="rId8"/>
</worksheet>
</file>

<file path=xl/worksheets/sheet7.xml><?xml version="1.0" encoding="utf-8"?>
<worksheet xmlns="http://schemas.openxmlformats.org/spreadsheetml/2006/main" xmlns:r="http://schemas.openxmlformats.org/officeDocument/2006/relationships">
  <dimension ref="A1:U2"/>
  <sheetViews>
    <sheetView workbookViewId="0">
      <pane ySplit="1" topLeftCell="A2" activePane="bottomLeft" state="frozen"/>
      <selection pane="bottomLeft"/>
    </sheetView>
  </sheetViews>
  <sheetFormatPr defaultRowHeight="15"/>
  <cols>
    <col min="1" max="1" width="7.28515625" customWidth="1"/>
    <col min="2" max="2" width="16.5703125" customWidth="1"/>
    <col min="3" max="3" width="11.85546875" customWidth="1"/>
    <col min="4" max="4" width="14" customWidth="1"/>
    <col min="5" max="5" width="11" customWidth="1"/>
    <col min="6" max="6" width="23.140625" customWidth="1"/>
    <col min="7" max="7" width="56.28515625" customWidth="1"/>
    <col min="8" max="8" width="37.5703125" customWidth="1"/>
    <col min="9" max="9" width="44.42578125" customWidth="1"/>
    <col min="10" max="10" width="31.42578125" customWidth="1"/>
    <col min="11" max="11" width="45.42578125" customWidth="1"/>
    <col min="12" max="12" width="36.7109375" customWidth="1"/>
    <col min="13" max="13" width="12.140625" customWidth="1"/>
    <col min="14" max="14" width="29.85546875" customWidth="1"/>
    <col min="15" max="15" width="22.140625" customWidth="1"/>
    <col min="16" max="16" width="13.7109375" customWidth="1"/>
    <col min="17" max="17" width="18.42578125" customWidth="1"/>
    <col min="18" max="18" width="19" customWidth="1"/>
    <col min="19" max="19" width="24.7109375" customWidth="1"/>
    <col min="20" max="20" width="26.28515625" customWidth="1"/>
    <col min="21" max="21" width="18.28515625" customWidth="1"/>
  </cols>
  <sheetData>
    <row r="1" spans="1:21" s="35" customFormat="1" ht="18.7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row>
    <row r="2" spans="1:21" ht="90">
      <c r="A2" s="5">
        <v>1</v>
      </c>
      <c r="B2" s="5" t="s">
        <v>1174</v>
      </c>
      <c r="C2" s="5"/>
      <c r="D2" s="5" t="s">
        <v>30</v>
      </c>
      <c r="E2" s="5" t="s">
        <v>22</v>
      </c>
      <c r="F2" s="5" t="s">
        <v>1175</v>
      </c>
      <c r="G2" s="5" t="s">
        <v>1176</v>
      </c>
      <c r="H2" s="5" t="s">
        <v>933</v>
      </c>
      <c r="I2" s="5" t="s">
        <v>1177</v>
      </c>
      <c r="J2" s="5" t="s">
        <v>1074</v>
      </c>
      <c r="K2" s="5" t="s">
        <v>1178</v>
      </c>
      <c r="L2" s="5" t="s">
        <v>1179</v>
      </c>
      <c r="M2" s="6" t="s">
        <v>24</v>
      </c>
      <c r="N2" s="7" t="s">
        <v>935</v>
      </c>
      <c r="O2" s="8">
        <v>46052</v>
      </c>
    </row>
  </sheetData>
  <autoFilter ref="A1:U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dimension ref="A1:V16"/>
  <sheetViews>
    <sheetView workbookViewId="0">
      <pane ySplit="1" topLeftCell="A8" activePane="bottomLeft" state="frozen"/>
      <selection pane="bottomLeft" activeCell="A11" sqref="A11"/>
    </sheetView>
  </sheetViews>
  <sheetFormatPr defaultRowHeight="15"/>
  <cols>
    <col min="1" max="1" width="7.28515625" style="92" customWidth="1"/>
    <col min="2" max="2" width="15" style="92" customWidth="1"/>
    <col min="3" max="3" width="12.85546875" style="92" customWidth="1"/>
    <col min="4" max="4" width="19.7109375" style="92" customWidth="1"/>
    <col min="5" max="5" width="12.5703125" style="92" customWidth="1"/>
    <col min="6" max="6" width="10.5703125" style="92" customWidth="1"/>
    <col min="7" max="7" width="21.140625" style="92" customWidth="1"/>
    <col min="8" max="8" width="60" style="92" customWidth="1"/>
    <col min="9" max="9" width="43.42578125" style="92" customWidth="1"/>
    <col min="10" max="10" width="52.7109375" style="92" customWidth="1"/>
    <col min="11" max="11" width="35.85546875" style="92" customWidth="1"/>
    <col min="12" max="12" width="62" style="92" customWidth="1"/>
    <col min="13" max="13" width="50.85546875" style="92" customWidth="1"/>
    <col min="14" max="14" width="13.7109375" style="92" customWidth="1"/>
    <col min="15" max="15" width="37.7109375" style="92" customWidth="1"/>
    <col min="16" max="16" width="20.28515625" style="92" customWidth="1"/>
    <col min="17" max="17" width="13.85546875" style="92" customWidth="1"/>
    <col min="18" max="18" width="15.28515625" style="92" customWidth="1"/>
    <col min="19" max="19" width="17" style="92" customWidth="1"/>
    <col min="20" max="20" width="20.85546875" style="92" customWidth="1"/>
    <col min="21" max="21" width="24.85546875" style="92" customWidth="1"/>
    <col min="22" max="22" width="13.7109375" style="92"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4886</v>
      </c>
      <c r="C2" s="5"/>
      <c r="D2" s="5"/>
      <c r="E2" s="5" t="s">
        <v>30</v>
      </c>
      <c r="F2" s="5" t="s">
        <v>22</v>
      </c>
      <c r="G2" s="5" t="s">
        <v>4887</v>
      </c>
      <c r="H2" s="5" t="s">
        <v>4888</v>
      </c>
      <c r="I2" s="5" t="s">
        <v>933</v>
      </c>
      <c r="J2" s="5" t="s">
        <v>4889</v>
      </c>
      <c r="K2" s="5" t="s">
        <v>4108</v>
      </c>
      <c r="L2" s="5" t="s">
        <v>4890</v>
      </c>
      <c r="M2" s="5" t="s">
        <v>4891</v>
      </c>
      <c r="N2" s="6" t="s">
        <v>24</v>
      </c>
      <c r="O2" s="2" t="s">
        <v>4892</v>
      </c>
      <c r="P2" s="12">
        <v>46052</v>
      </c>
      <c r="Q2" s="5"/>
      <c r="R2" s="5"/>
      <c r="S2" s="5"/>
      <c r="T2" s="5"/>
      <c r="U2" s="5"/>
      <c r="V2" s="5"/>
    </row>
    <row r="3" spans="1:22" ht="90">
      <c r="A3" s="1">
        <v>2</v>
      </c>
      <c r="B3" s="5" t="s">
        <v>4893</v>
      </c>
      <c r="C3" s="5"/>
      <c r="D3" s="5"/>
      <c r="E3" s="5" t="s">
        <v>30</v>
      </c>
      <c r="F3" s="5" t="s">
        <v>22</v>
      </c>
      <c r="G3" s="5" t="s">
        <v>4887</v>
      </c>
      <c r="H3" s="5" t="s">
        <v>4894</v>
      </c>
      <c r="I3" s="1" t="s">
        <v>933</v>
      </c>
      <c r="J3" s="1" t="s">
        <v>4897</v>
      </c>
      <c r="K3" s="1" t="s">
        <v>4895</v>
      </c>
      <c r="L3" s="1" t="s">
        <v>4896</v>
      </c>
      <c r="M3" s="1" t="s">
        <v>4898</v>
      </c>
      <c r="N3" s="6" t="s">
        <v>24</v>
      </c>
      <c r="O3" s="2" t="s">
        <v>4892</v>
      </c>
      <c r="P3" s="12">
        <v>46052</v>
      </c>
      <c r="Q3"/>
      <c r="R3"/>
      <c r="S3"/>
      <c r="T3"/>
      <c r="U3"/>
      <c r="V3"/>
    </row>
    <row r="4" spans="1:22" ht="105">
      <c r="A4" s="1">
        <v>3</v>
      </c>
      <c r="B4" s="5" t="s">
        <v>4899</v>
      </c>
      <c r="C4" s="5"/>
      <c r="D4" s="5"/>
      <c r="E4" s="5" t="s">
        <v>30</v>
      </c>
      <c r="F4" s="5" t="s">
        <v>22</v>
      </c>
      <c r="G4" s="5" t="s">
        <v>4887</v>
      </c>
      <c r="H4" s="14" t="s">
        <v>4903</v>
      </c>
      <c r="I4" s="1" t="s">
        <v>933</v>
      </c>
      <c r="J4" s="1" t="s">
        <v>4906</v>
      </c>
      <c r="K4" s="1" t="s">
        <v>4900</v>
      </c>
      <c r="L4" s="1" t="s">
        <v>4907</v>
      </c>
      <c r="M4" s="14" t="s">
        <v>4901</v>
      </c>
      <c r="N4" s="6" t="s">
        <v>24</v>
      </c>
      <c r="O4" s="2" t="s">
        <v>4892</v>
      </c>
      <c r="P4" s="12">
        <v>46052</v>
      </c>
      <c r="Q4"/>
      <c r="R4"/>
      <c r="S4"/>
      <c r="T4"/>
      <c r="U4"/>
      <c r="V4"/>
    </row>
    <row r="5" spans="1:22" ht="150">
      <c r="A5" s="1">
        <v>4</v>
      </c>
      <c r="B5" s="5" t="s">
        <v>4902</v>
      </c>
      <c r="C5" s="5"/>
      <c r="D5" s="5"/>
      <c r="E5" s="5" t="s">
        <v>30</v>
      </c>
      <c r="F5" s="5" t="s">
        <v>22</v>
      </c>
      <c r="G5" s="5" t="s">
        <v>4887</v>
      </c>
      <c r="H5" s="24" t="s">
        <v>4904</v>
      </c>
      <c r="I5" s="1" t="s">
        <v>933</v>
      </c>
      <c r="J5" s="1" t="s">
        <v>4905</v>
      </c>
      <c r="K5" s="24" t="s">
        <v>4908</v>
      </c>
      <c r="L5" s="24" t="s">
        <v>4909</v>
      </c>
      <c r="M5" s="1" t="s">
        <v>4910</v>
      </c>
      <c r="N5" s="33" t="s">
        <v>47</v>
      </c>
      <c r="O5" s="2" t="s">
        <v>4892</v>
      </c>
      <c r="P5" s="12">
        <v>46052</v>
      </c>
      <c r="Q5"/>
      <c r="R5"/>
      <c r="S5"/>
      <c r="T5"/>
      <c r="U5"/>
      <c r="V5"/>
    </row>
    <row r="6" spans="1:22" ht="105">
      <c r="A6" s="1">
        <v>5</v>
      </c>
      <c r="B6" s="5" t="s">
        <v>4911</v>
      </c>
      <c r="C6" s="5"/>
      <c r="D6" s="5"/>
      <c r="E6" s="5" t="s">
        <v>30</v>
      </c>
      <c r="F6" s="5" t="s">
        <v>22</v>
      </c>
      <c r="G6" s="5" t="s">
        <v>4887</v>
      </c>
      <c r="H6" s="1" t="s">
        <v>4912</v>
      </c>
      <c r="I6" s="1" t="s">
        <v>933</v>
      </c>
      <c r="J6" s="1" t="s">
        <v>4913</v>
      </c>
      <c r="K6" s="1" t="s">
        <v>255</v>
      </c>
      <c r="L6" s="1" t="s">
        <v>4992</v>
      </c>
      <c r="M6" s="1" t="s">
        <v>4914</v>
      </c>
      <c r="N6" s="3" t="s">
        <v>274</v>
      </c>
      <c r="O6" s="2" t="s">
        <v>4892</v>
      </c>
      <c r="P6" s="12">
        <v>46052</v>
      </c>
      <c r="Q6"/>
      <c r="R6"/>
      <c r="S6"/>
      <c r="T6"/>
      <c r="U6"/>
      <c r="V6"/>
    </row>
    <row r="7" spans="1:22" ht="105">
      <c r="A7" s="1">
        <v>6</v>
      </c>
      <c r="B7" s="5" t="s">
        <v>4911</v>
      </c>
      <c r="C7" s="5"/>
      <c r="D7" s="5"/>
      <c r="E7" s="5" t="s">
        <v>30</v>
      </c>
      <c r="F7" s="5" t="s">
        <v>22</v>
      </c>
      <c r="G7" s="5" t="s">
        <v>4887</v>
      </c>
      <c r="H7" s="5" t="s">
        <v>4915</v>
      </c>
      <c r="I7" s="1" t="s">
        <v>933</v>
      </c>
      <c r="J7" s="1" t="s">
        <v>4916</v>
      </c>
      <c r="K7" s="1" t="s">
        <v>255</v>
      </c>
      <c r="L7" s="1" t="s">
        <v>4917</v>
      </c>
      <c r="M7" s="1" t="s">
        <v>4918</v>
      </c>
      <c r="N7" s="6" t="s">
        <v>24</v>
      </c>
      <c r="O7" s="2" t="s">
        <v>4892</v>
      </c>
      <c r="P7" s="12">
        <v>46052</v>
      </c>
      <c r="Q7"/>
      <c r="R7"/>
      <c r="S7"/>
      <c r="T7"/>
      <c r="U7"/>
      <c r="V7"/>
    </row>
    <row r="8" spans="1:22" ht="150">
      <c r="A8" s="1">
        <v>7</v>
      </c>
      <c r="B8" s="5" t="s">
        <v>4919</v>
      </c>
      <c r="C8" s="5"/>
      <c r="D8" s="5"/>
      <c r="E8" s="5" t="s">
        <v>30</v>
      </c>
      <c r="F8" s="5" t="s">
        <v>22</v>
      </c>
      <c r="G8" s="5" t="s">
        <v>4887</v>
      </c>
      <c r="H8" s="5" t="s">
        <v>4920</v>
      </c>
      <c r="I8" s="5" t="s">
        <v>933</v>
      </c>
      <c r="J8" s="5" t="s">
        <v>4921</v>
      </c>
      <c r="K8" s="5" t="s">
        <v>4923</v>
      </c>
      <c r="L8" s="5" t="s">
        <v>4922</v>
      </c>
      <c r="M8" s="5" t="s">
        <v>4924</v>
      </c>
      <c r="N8" s="6" t="s">
        <v>24</v>
      </c>
      <c r="O8" s="2" t="s">
        <v>4892</v>
      </c>
      <c r="P8" s="12">
        <v>46052</v>
      </c>
      <c r="Q8"/>
      <c r="R8"/>
      <c r="S8"/>
      <c r="T8"/>
      <c r="U8"/>
      <c r="V8"/>
    </row>
    <row r="9" spans="1:22" ht="120">
      <c r="A9" s="1">
        <v>8</v>
      </c>
      <c r="B9" s="5" t="s">
        <v>4925</v>
      </c>
      <c r="C9" s="5"/>
      <c r="D9" s="5"/>
      <c r="E9" s="5" t="s">
        <v>30</v>
      </c>
      <c r="F9" s="5" t="s">
        <v>22</v>
      </c>
      <c r="G9" s="5" t="s">
        <v>4887</v>
      </c>
      <c r="H9" s="5" t="s">
        <v>4943</v>
      </c>
      <c r="I9" s="5" t="s">
        <v>933</v>
      </c>
      <c r="J9" s="5" t="s">
        <v>4932</v>
      </c>
      <c r="K9" s="117" t="s">
        <v>4933</v>
      </c>
      <c r="L9" s="118" t="s">
        <v>4934</v>
      </c>
      <c r="M9" s="120" t="s">
        <v>4936</v>
      </c>
      <c r="N9" s="119" t="s">
        <v>333</v>
      </c>
      <c r="O9" s="2" t="s">
        <v>4892</v>
      </c>
      <c r="P9" s="12">
        <v>46052</v>
      </c>
      <c r="Q9"/>
      <c r="R9"/>
      <c r="S9"/>
      <c r="T9"/>
      <c r="U9"/>
      <c r="V9"/>
    </row>
    <row r="10" spans="1:22" ht="90">
      <c r="A10" s="1">
        <v>9</v>
      </c>
      <c r="B10" s="5" t="s">
        <v>4935</v>
      </c>
      <c r="C10" s="5"/>
      <c r="D10" s="5"/>
      <c r="E10" s="5" t="s">
        <v>30</v>
      </c>
      <c r="F10" s="5" t="s">
        <v>22</v>
      </c>
      <c r="G10" s="5" t="s">
        <v>4887</v>
      </c>
      <c r="H10" s="5" t="s">
        <v>4942</v>
      </c>
      <c r="I10" s="5" t="s">
        <v>933</v>
      </c>
      <c r="J10" s="5" t="s">
        <v>4937</v>
      </c>
      <c r="K10" s="117" t="s">
        <v>4938</v>
      </c>
      <c r="L10" s="118" t="s">
        <v>4939</v>
      </c>
      <c r="M10" s="120" t="s">
        <v>4940</v>
      </c>
      <c r="N10" s="119" t="s">
        <v>333</v>
      </c>
      <c r="O10" s="2" t="s">
        <v>4892</v>
      </c>
      <c r="P10" s="12">
        <v>46052</v>
      </c>
      <c r="Q10"/>
      <c r="R10"/>
      <c r="S10"/>
      <c r="T10"/>
      <c r="U10"/>
      <c r="V10"/>
    </row>
    <row r="11" spans="1:22" ht="120">
      <c r="A11" s="1">
        <v>10</v>
      </c>
      <c r="B11" s="5" t="s">
        <v>4941</v>
      </c>
      <c r="C11" s="5"/>
      <c r="D11" s="5"/>
      <c r="E11" s="5" t="s">
        <v>30</v>
      </c>
      <c r="F11" s="5" t="s">
        <v>22</v>
      </c>
      <c r="G11" s="5" t="s">
        <v>4887</v>
      </c>
      <c r="H11" s="5" t="s">
        <v>4944</v>
      </c>
      <c r="I11" s="5" t="s">
        <v>933</v>
      </c>
      <c r="J11" s="5" t="s">
        <v>4945</v>
      </c>
      <c r="K11" s="118" t="s">
        <v>4946</v>
      </c>
      <c r="L11" s="118" t="s">
        <v>4947</v>
      </c>
      <c r="M11" s="118" t="s">
        <v>4948</v>
      </c>
      <c r="N11" s="33" t="s">
        <v>47</v>
      </c>
      <c r="O11" s="2" t="s">
        <v>4892</v>
      </c>
      <c r="P11" s="12">
        <v>46052</v>
      </c>
    </row>
    <row r="12" spans="1:22" ht="90">
      <c r="A12" s="1">
        <v>11</v>
      </c>
      <c r="B12" s="5" t="s">
        <v>4949</v>
      </c>
      <c r="C12" s="5"/>
      <c r="D12" s="5"/>
      <c r="E12" s="5" t="s">
        <v>30</v>
      </c>
      <c r="F12" s="5" t="s">
        <v>22</v>
      </c>
      <c r="G12" s="5" t="s">
        <v>4887</v>
      </c>
      <c r="H12" s="5" t="s">
        <v>4951</v>
      </c>
      <c r="I12" s="5" t="s">
        <v>933</v>
      </c>
      <c r="J12" s="5" t="s">
        <v>4950</v>
      </c>
      <c r="K12" s="5" t="s">
        <v>255</v>
      </c>
      <c r="L12" s="5" t="s">
        <v>4952</v>
      </c>
      <c r="M12" s="5" t="s">
        <v>4953</v>
      </c>
      <c r="N12" s="6" t="s">
        <v>24</v>
      </c>
      <c r="O12" s="2" t="s">
        <v>4892</v>
      </c>
      <c r="P12" s="12">
        <v>46052</v>
      </c>
    </row>
    <row r="13" spans="1:22" ht="90">
      <c r="A13" s="1">
        <v>12</v>
      </c>
      <c r="B13" s="5" t="s">
        <v>4954</v>
      </c>
      <c r="C13" s="5"/>
      <c r="D13" s="5"/>
      <c r="E13" s="5" t="s">
        <v>30</v>
      </c>
      <c r="F13" s="5" t="s">
        <v>22</v>
      </c>
      <c r="G13" s="5" t="s">
        <v>4887</v>
      </c>
      <c r="H13" s="5" t="s">
        <v>4960</v>
      </c>
      <c r="I13" s="5" t="s">
        <v>933</v>
      </c>
      <c r="J13" s="5" t="s">
        <v>4956</v>
      </c>
      <c r="K13" s="118" t="s">
        <v>4955</v>
      </c>
      <c r="L13" s="5" t="s">
        <v>4957</v>
      </c>
      <c r="M13" s="5" t="s">
        <v>4953</v>
      </c>
      <c r="N13" s="6" t="s">
        <v>24</v>
      </c>
      <c r="O13" s="2" t="s">
        <v>4892</v>
      </c>
      <c r="P13" s="12">
        <v>46052</v>
      </c>
    </row>
    <row r="14" spans="1:22" ht="195">
      <c r="A14" s="1">
        <v>13</v>
      </c>
      <c r="B14" s="5" t="s">
        <v>4958</v>
      </c>
      <c r="C14" s="5"/>
      <c r="D14" s="5"/>
      <c r="E14" s="5" t="s">
        <v>30</v>
      </c>
      <c r="F14" s="5" t="s">
        <v>22</v>
      </c>
      <c r="G14" s="5" t="s">
        <v>4887</v>
      </c>
      <c r="H14" s="5" t="s">
        <v>4959</v>
      </c>
      <c r="I14" s="5" t="s">
        <v>933</v>
      </c>
      <c r="J14" s="5" t="s">
        <v>4961</v>
      </c>
      <c r="K14" s="118" t="s">
        <v>4962</v>
      </c>
      <c r="L14" s="118" t="s">
        <v>4963</v>
      </c>
      <c r="M14" s="118" t="s">
        <v>4964</v>
      </c>
      <c r="N14" s="6" t="s">
        <v>24</v>
      </c>
      <c r="O14" s="2" t="s">
        <v>4892</v>
      </c>
      <c r="P14" s="12">
        <v>46052</v>
      </c>
    </row>
    <row r="15" spans="1:22" ht="165">
      <c r="A15" s="1">
        <v>14</v>
      </c>
      <c r="B15" s="5" t="s">
        <v>4965</v>
      </c>
      <c r="C15" s="5"/>
      <c r="D15" s="5"/>
      <c r="E15" s="5" t="s">
        <v>30</v>
      </c>
      <c r="F15" s="5" t="s">
        <v>22</v>
      </c>
      <c r="G15" s="5" t="s">
        <v>4887</v>
      </c>
      <c r="H15" s="5" t="s">
        <v>4966</v>
      </c>
      <c r="I15" s="5" t="s">
        <v>933</v>
      </c>
      <c r="J15" s="5" t="s">
        <v>4968</v>
      </c>
      <c r="K15" s="118" t="s">
        <v>4967</v>
      </c>
      <c r="L15" s="118" t="s">
        <v>4969</v>
      </c>
      <c r="M15" s="118" t="s">
        <v>4970</v>
      </c>
      <c r="N15" s="33" t="s">
        <v>47</v>
      </c>
      <c r="O15" s="2" t="s">
        <v>4892</v>
      </c>
      <c r="P15" s="12">
        <v>46052</v>
      </c>
    </row>
    <row r="16" spans="1:22" ht="105">
      <c r="A16" s="1">
        <v>15</v>
      </c>
      <c r="B16" s="5" t="s">
        <v>4971</v>
      </c>
      <c r="C16" s="5"/>
      <c r="D16" s="5"/>
      <c r="E16" s="5" t="s">
        <v>30</v>
      </c>
      <c r="F16" s="5" t="s">
        <v>22</v>
      </c>
      <c r="G16" s="5" t="s">
        <v>4887</v>
      </c>
      <c r="H16" s="5" t="s">
        <v>4972</v>
      </c>
      <c r="I16" s="5" t="s">
        <v>933</v>
      </c>
      <c r="J16" s="5" t="s">
        <v>4973</v>
      </c>
      <c r="K16" s="5" t="s">
        <v>890</v>
      </c>
      <c r="L16" s="5" t="s">
        <v>4974</v>
      </c>
      <c r="M16" s="5" t="s">
        <v>4975</v>
      </c>
      <c r="N16" s="119" t="s">
        <v>333</v>
      </c>
      <c r="O16" s="2" t="s">
        <v>4892</v>
      </c>
      <c r="P16" s="12">
        <v>46052</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dimension ref="A1:V16"/>
  <sheetViews>
    <sheetView workbookViewId="0">
      <pane ySplit="1" topLeftCell="A14" activePane="bottomLeft" state="frozen"/>
      <selection pane="bottomLeft" activeCell="B16" sqref="B16"/>
    </sheetView>
  </sheetViews>
  <sheetFormatPr defaultRowHeight="15"/>
  <cols>
    <col min="1" max="1" width="8.140625" customWidth="1"/>
    <col min="2" max="2" width="18.140625" customWidth="1"/>
    <col min="3" max="3" width="10.7109375" customWidth="1"/>
    <col min="4" max="4" width="19.7109375" customWidth="1"/>
    <col min="5" max="5" width="13.42578125" customWidth="1"/>
    <col min="6" max="6" width="12" customWidth="1"/>
    <col min="7" max="7" width="24.5703125" customWidth="1"/>
    <col min="8" max="8" width="48" customWidth="1"/>
    <col min="9" max="9" width="43.140625" customWidth="1"/>
    <col min="10" max="10" width="48.7109375" customWidth="1"/>
    <col min="11" max="11" width="36.7109375" customWidth="1"/>
    <col min="12" max="12" width="59.42578125" customWidth="1"/>
    <col min="13" max="13" width="48.7109375" customWidth="1"/>
    <col min="14" max="14" width="13.28515625" customWidth="1"/>
    <col min="15" max="15" width="28.42578125" customWidth="1"/>
    <col min="16" max="16" width="18.140625" customWidth="1"/>
    <col min="17" max="17" width="12.7109375" customWidth="1"/>
    <col min="18" max="18" width="14.85546875" customWidth="1"/>
    <col min="19" max="19" width="17.85546875" customWidth="1"/>
    <col min="20" max="20" width="20.7109375" customWidth="1"/>
    <col min="21" max="21" width="24.28515625" customWidth="1"/>
    <col min="22" max="22" width="12.7109375"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4977</v>
      </c>
      <c r="C2" s="5"/>
      <c r="D2" s="5"/>
      <c r="E2" s="5" t="s">
        <v>30</v>
      </c>
      <c r="F2" s="5" t="s">
        <v>22</v>
      </c>
      <c r="G2" s="5" t="s">
        <v>4979</v>
      </c>
      <c r="H2" s="5" t="s">
        <v>4978</v>
      </c>
      <c r="I2" s="5" t="s">
        <v>933</v>
      </c>
      <c r="J2" s="5" t="s">
        <v>4980</v>
      </c>
      <c r="K2" s="5" t="s">
        <v>4108</v>
      </c>
      <c r="L2" s="5" t="s">
        <v>4981</v>
      </c>
      <c r="M2" s="5" t="s">
        <v>4982</v>
      </c>
      <c r="N2" s="6" t="s">
        <v>24</v>
      </c>
      <c r="O2" s="2" t="s">
        <v>4892</v>
      </c>
      <c r="P2" s="12">
        <v>46053</v>
      </c>
      <c r="Q2" s="5"/>
      <c r="R2" s="5"/>
      <c r="S2" s="5"/>
      <c r="T2" s="5"/>
      <c r="U2" s="5"/>
      <c r="V2" s="5"/>
    </row>
    <row r="3" spans="1:22" ht="90">
      <c r="A3" s="1">
        <v>2</v>
      </c>
      <c r="B3" s="5" t="s">
        <v>4983</v>
      </c>
      <c r="C3" s="5"/>
      <c r="D3" s="5"/>
      <c r="E3" s="5" t="s">
        <v>30</v>
      </c>
      <c r="F3" s="5" t="s">
        <v>22</v>
      </c>
      <c r="G3" s="5" t="s">
        <v>4979</v>
      </c>
      <c r="H3" s="121" t="s">
        <v>4984</v>
      </c>
      <c r="I3" s="5" t="s">
        <v>933</v>
      </c>
      <c r="J3" s="121" t="s">
        <v>4990</v>
      </c>
      <c r="K3" s="122" t="s">
        <v>4985</v>
      </c>
      <c r="L3" s="5" t="s">
        <v>4986</v>
      </c>
      <c r="M3" s="5" t="s">
        <v>4987</v>
      </c>
      <c r="N3" s="33" t="s">
        <v>47</v>
      </c>
      <c r="O3" s="2" t="s">
        <v>4892</v>
      </c>
      <c r="P3" s="12">
        <v>46053</v>
      </c>
    </row>
    <row r="4" spans="1:22" ht="120">
      <c r="A4" s="1">
        <v>3</v>
      </c>
      <c r="B4" s="5" t="s">
        <v>4988</v>
      </c>
      <c r="C4" s="5"/>
      <c r="D4" s="5"/>
      <c r="E4" s="5" t="s">
        <v>30</v>
      </c>
      <c r="F4" s="5" t="s">
        <v>22</v>
      </c>
      <c r="G4" s="5" t="s">
        <v>4979</v>
      </c>
      <c r="H4" s="1" t="s">
        <v>4989</v>
      </c>
      <c r="I4" s="5" t="s">
        <v>933</v>
      </c>
      <c r="J4" s="1" t="s">
        <v>4991</v>
      </c>
      <c r="K4" s="1" t="s">
        <v>255</v>
      </c>
      <c r="L4" s="1" t="s">
        <v>4993</v>
      </c>
      <c r="M4" s="1" t="s">
        <v>4994</v>
      </c>
      <c r="N4" s="3" t="s">
        <v>274</v>
      </c>
      <c r="O4" s="2" t="s">
        <v>4892</v>
      </c>
      <c r="P4" s="12">
        <v>46053</v>
      </c>
    </row>
    <row r="5" spans="1:22" ht="90">
      <c r="A5" s="1">
        <v>4</v>
      </c>
      <c r="B5" s="5" t="s">
        <v>4995</v>
      </c>
      <c r="C5" s="5"/>
      <c r="D5" s="5"/>
      <c r="E5" s="5" t="s">
        <v>30</v>
      </c>
      <c r="F5" s="5" t="s">
        <v>22</v>
      </c>
      <c r="G5" s="5" t="s">
        <v>4979</v>
      </c>
      <c r="H5" s="5" t="s">
        <v>4996</v>
      </c>
      <c r="I5" s="1" t="s">
        <v>933</v>
      </c>
      <c r="J5" s="1" t="s">
        <v>4997</v>
      </c>
      <c r="K5" s="1" t="s">
        <v>255</v>
      </c>
      <c r="L5" s="1" t="s">
        <v>4998</v>
      </c>
      <c r="M5" s="1" t="s">
        <v>4918</v>
      </c>
      <c r="N5" s="6" t="s">
        <v>24</v>
      </c>
      <c r="O5" s="2" t="s">
        <v>4892</v>
      </c>
      <c r="P5" s="12">
        <v>46053</v>
      </c>
    </row>
    <row r="6" spans="1:22" ht="150">
      <c r="A6" s="1">
        <v>5</v>
      </c>
      <c r="B6" s="5" t="s">
        <v>4999</v>
      </c>
      <c r="C6" s="5"/>
      <c r="D6" s="5"/>
      <c r="E6" s="5" t="s">
        <v>30</v>
      </c>
      <c r="F6" s="5" t="s">
        <v>22</v>
      </c>
      <c r="G6" s="5" t="s">
        <v>4979</v>
      </c>
      <c r="H6" s="121" t="s">
        <v>5000</v>
      </c>
      <c r="I6" s="121" t="s">
        <v>4529</v>
      </c>
      <c r="J6" s="121" t="s">
        <v>5025</v>
      </c>
      <c r="K6" s="121" t="s">
        <v>4560</v>
      </c>
      <c r="L6" s="121" t="s">
        <v>5005</v>
      </c>
      <c r="M6" s="121" t="s">
        <v>5014</v>
      </c>
      <c r="N6" s="33" t="s">
        <v>47</v>
      </c>
      <c r="O6" s="2" t="s">
        <v>4892</v>
      </c>
      <c r="P6" s="12">
        <v>46053</v>
      </c>
    </row>
    <row r="7" spans="1:22" ht="105">
      <c r="A7" s="1">
        <v>6</v>
      </c>
      <c r="B7" s="5" t="s">
        <v>5001</v>
      </c>
      <c r="C7" s="5"/>
      <c r="D7" s="5"/>
      <c r="E7" s="5" t="s">
        <v>30</v>
      </c>
      <c r="F7" s="5" t="s">
        <v>22</v>
      </c>
      <c r="G7" s="5" t="s">
        <v>4979</v>
      </c>
      <c r="H7" s="121" t="s">
        <v>5002</v>
      </c>
      <c r="I7" s="121" t="s">
        <v>4529</v>
      </c>
      <c r="J7" s="121" t="s">
        <v>5024</v>
      </c>
      <c r="K7" s="121" t="s">
        <v>5003</v>
      </c>
      <c r="L7" s="121" t="s">
        <v>5004</v>
      </c>
      <c r="M7" s="118" t="s">
        <v>5592</v>
      </c>
      <c r="N7" s="3" t="s">
        <v>274</v>
      </c>
      <c r="O7" s="2" t="s">
        <v>4892</v>
      </c>
      <c r="P7" s="12">
        <v>46053</v>
      </c>
    </row>
    <row r="8" spans="1:22" ht="105">
      <c r="A8" s="1">
        <v>7</v>
      </c>
      <c r="B8" s="5" t="s">
        <v>5006</v>
      </c>
      <c r="C8" s="5"/>
      <c r="D8" s="5"/>
      <c r="E8" s="5" t="s">
        <v>30</v>
      </c>
      <c r="F8" s="5" t="s">
        <v>22</v>
      </c>
      <c r="G8" s="5" t="s">
        <v>4979</v>
      </c>
      <c r="H8" s="121" t="s">
        <v>5007</v>
      </c>
      <c r="I8" s="121" t="s">
        <v>4529</v>
      </c>
      <c r="J8" s="121" t="s">
        <v>5023</v>
      </c>
      <c r="K8" s="121" t="s">
        <v>5003</v>
      </c>
      <c r="L8" s="121" t="s">
        <v>5008</v>
      </c>
      <c r="M8" s="118" t="s">
        <v>5593</v>
      </c>
      <c r="N8" s="3" t="s">
        <v>274</v>
      </c>
      <c r="O8" s="2" t="s">
        <v>4892</v>
      </c>
      <c r="P8" s="12">
        <v>46053</v>
      </c>
    </row>
    <row r="9" spans="1:22" ht="150">
      <c r="A9" s="1">
        <v>8</v>
      </c>
      <c r="B9" s="5" t="s">
        <v>5009</v>
      </c>
      <c r="C9" s="5"/>
      <c r="D9" s="5"/>
      <c r="E9" s="5" t="s">
        <v>30</v>
      </c>
      <c r="F9" s="5" t="s">
        <v>22</v>
      </c>
      <c r="G9" s="5" t="s">
        <v>4979</v>
      </c>
      <c r="H9" s="121" t="s">
        <v>5010</v>
      </c>
      <c r="I9" s="121" t="s">
        <v>4529</v>
      </c>
      <c r="J9" s="121" t="s">
        <v>5022</v>
      </c>
      <c r="K9" s="121" t="s">
        <v>5011</v>
      </c>
      <c r="L9" s="121" t="s">
        <v>5012</v>
      </c>
      <c r="M9" s="121" t="s">
        <v>5013</v>
      </c>
      <c r="N9" s="33" t="s">
        <v>47</v>
      </c>
      <c r="O9" s="2" t="s">
        <v>4892</v>
      </c>
      <c r="P9" s="12">
        <v>46053</v>
      </c>
    </row>
    <row r="10" spans="1:22" ht="90">
      <c r="A10" s="1">
        <v>9</v>
      </c>
      <c r="B10" s="5" t="s">
        <v>5015</v>
      </c>
      <c r="C10" s="5"/>
      <c r="D10" s="5"/>
      <c r="E10" s="5" t="s">
        <v>30</v>
      </c>
      <c r="F10" s="5" t="s">
        <v>22</v>
      </c>
      <c r="G10" s="5" t="s">
        <v>4979</v>
      </c>
      <c r="H10" s="5" t="s">
        <v>5016</v>
      </c>
      <c r="I10" s="5" t="s">
        <v>933</v>
      </c>
      <c r="J10" s="5" t="s">
        <v>5021</v>
      </c>
      <c r="K10" s="5" t="s">
        <v>5017</v>
      </c>
      <c r="L10" s="5" t="s">
        <v>5018</v>
      </c>
      <c r="M10" s="5" t="s">
        <v>4953</v>
      </c>
      <c r="N10" s="6" t="s">
        <v>24</v>
      </c>
      <c r="O10" s="2" t="s">
        <v>4892</v>
      </c>
      <c r="P10" s="12">
        <v>46053</v>
      </c>
    </row>
    <row r="11" spans="1:22" ht="240">
      <c r="A11" s="1">
        <v>10</v>
      </c>
      <c r="B11" s="5" t="s">
        <v>5019</v>
      </c>
      <c r="C11" s="5"/>
      <c r="D11" s="5"/>
      <c r="E11" s="5" t="s">
        <v>30</v>
      </c>
      <c r="F11" s="5" t="s">
        <v>22</v>
      </c>
      <c r="G11" s="5" t="s">
        <v>4979</v>
      </c>
      <c r="H11" s="5" t="s">
        <v>5026</v>
      </c>
      <c r="I11" s="5" t="s">
        <v>933</v>
      </c>
      <c r="J11" s="5" t="s">
        <v>5020</v>
      </c>
      <c r="K11" s="123" t="s">
        <v>255</v>
      </c>
      <c r="L11" s="118" t="s">
        <v>5027</v>
      </c>
      <c r="M11" s="118" t="s">
        <v>5028</v>
      </c>
      <c r="N11" s="33" t="s">
        <v>47</v>
      </c>
      <c r="O11" s="2" t="s">
        <v>4892</v>
      </c>
      <c r="P11" s="12">
        <v>46053</v>
      </c>
    </row>
    <row r="12" spans="1:22" ht="180">
      <c r="A12" s="1">
        <v>11</v>
      </c>
      <c r="B12" s="5" t="s">
        <v>5029</v>
      </c>
      <c r="C12" s="5"/>
      <c r="D12" s="5"/>
      <c r="E12" s="5" t="s">
        <v>30</v>
      </c>
      <c r="F12" s="5" t="s">
        <v>22</v>
      </c>
      <c r="G12" s="5" t="s">
        <v>4979</v>
      </c>
      <c r="H12" s="5" t="s">
        <v>5030</v>
      </c>
      <c r="I12" s="5" t="s">
        <v>933</v>
      </c>
      <c r="J12" s="5" t="s">
        <v>5031</v>
      </c>
      <c r="K12" s="118" t="s">
        <v>4967</v>
      </c>
      <c r="L12" s="118" t="s">
        <v>5032</v>
      </c>
      <c r="M12" s="118" t="s">
        <v>5033</v>
      </c>
      <c r="N12" s="33" t="s">
        <v>47</v>
      </c>
      <c r="O12" s="2" t="s">
        <v>4892</v>
      </c>
      <c r="P12" s="48">
        <v>46053</v>
      </c>
    </row>
    <row r="13" spans="1:22" ht="255">
      <c r="A13" s="1">
        <v>12</v>
      </c>
      <c r="B13" s="5" t="s">
        <v>5034</v>
      </c>
      <c r="C13" s="5"/>
      <c r="D13" s="5"/>
      <c r="E13" s="5" t="s">
        <v>30</v>
      </c>
      <c r="F13" s="5" t="s">
        <v>22</v>
      </c>
      <c r="G13" s="5" t="s">
        <v>4979</v>
      </c>
      <c r="H13" s="5" t="s">
        <v>5035</v>
      </c>
      <c r="I13" s="5" t="s">
        <v>933</v>
      </c>
      <c r="J13" s="5" t="s">
        <v>5036</v>
      </c>
      <c r="K13" s="118" t="s">
        <v>4967</v>
      </c>
      <c r="L13" s="5" t="s">
        <v>5037</v>
      </c>
      <c r="M13" s="1" t="s">
        <v>5038</v>
      </c>
      <c r="N13" s="33" t="s">
        <v>47</v>
      </c>
      <c r="O13" s="2" t="s">
        <v>4892</v>
      </c>
      <c r="P13" s="48">
        <v>46053</v>
      </c>
    </row>
    <row r="14" spans="1:22" ht="90">
      <c r="A14" s="1">
        <v>13</v>
      </c>
      <c r="B14" s="5" t="s">
        <v>5039</v>
      </c>
      <c r="C14" s="5"/>
      <c r="D14" s="5"/>
      <c r="E14" s="5" t="s">
        <v>30</v>
      </c>
      <c r="F14" s="5" t="s">
        <v>22</v>
      </c>
      <c r="G14" s="5" t="s">
        <v>4979</v>
      </c>
      <c r="H14" s="5" t="s">
        <v>5040</v>
      </c>
      <c r="I14" s="5" t="s">
        <v>933</v>
      </c>
      <c r="J14" s="5" t="s">
        <v>5041</v>
      </c>
      <c r="K14" s="5" t="s">
        <v>890</v>
      </c>
      <c r="L14" s="5" t="s">
        <v>5042</v>
      </c>
      <c r="M14" s="5" t="s">
        <v>1773</v>
      </c>
      <c r="N14" s="6" t="s">
        <v>24</v>
      </c>
      <c r="O14" s="2" t="s">
        <v>4892</v>
      </c>
      <c r="P14" s="48">
        <v>46053</v>
      </c>
    </row>
    <row r="15" spans="1:22" ht="120">
      <c r="A15" s="1">
        <v>14</v>
      </c>
      <c r="B15" s="5" t="s">
        <v>5043</v>
      </c>
      <c r="C15" s="5"/>
      <c r="D15" s="5"/>
      <c r="E15" s="5" t="s">
        <v>30</v>
      </c>
      <c r="F15" s="5" t="s">
        <v>22</v>
      </c>
      <c r="G15" s="5" t="s">
        <v>4979</v>
      </c>
      <c r="H15" s="5" t="s">
        <v>5044</v>
      </c>
      <c r="I15" s="5" t="s">
        <v>933</v>
      </c>
      <c r="J15" s="1" t="s">
        <v>5045</v>
      </c>
      <c r="K15" s="1" t="s">
        <v>255</v>
      </c>
      <c r="L15" s="1" t="s">
        <v>5046</v>
      </c>
      <c r="M15" s="1" t="s">
        <v>854</v>
      </c>
      <c r="N15" s="6" t="s">
        <v>24</v>
      </c>
      <c r="O15" s="2" t="s">
        <v>4892</v>
      </c>
      <c r="P15" s="48">
        <v>46053</v>
      </c>
    </row>
    <row r="16" spans="1:22" ht="120">
      <c r="A16" s="1">
        <v>15</v>
      </c>
      <c r="B16" s="5" t="s">
        <v>5047</v>
      </c>
      <c r="C16" s="5"/>
      <c r="D16" s="5"/>
      <c r="E16" s="5" t="s">
        <v>30</v>
      </c>
      <c r="F16" s="5" t="s">
        <v>22</v>
      </c>
      <c r="G16" s="5" t="s">
        <v>4979</v>
      </c>
      <c r="H16" s="5" t="s">
        <v>5048</v>
      </c>
      <c r="I16" s="1" t="s">
        <v>43</v>
      </c>
      <c r="J16" s="1" t="s">
        <v>5049</v>
      </c>
      <c r="K16" s="1" t="s">
        <v>255</v>
      </c>
      <c r="L16" s="1" t="s">
        <v>5050</v>
      </c>
      <c r="M16" s="1" t="s">
        <v>854</v>
      </c>
      <c r="N16" s="6" t="s">
        <v>24</v>
      </c>
      <c r="O16" s="2" t="s">
        <v>4892</v>
      </c>
      <c r="P16" s="48">
        <v>46053</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dimension ref="A1:V26"/>
  <sheetViews>
    <sheetView workbookViewId="0">
      <pane ySplit="1" topLeftCell="A23" activePane="bottomLeft" state="frozen"/>
      <selection pane="bottomLeft"/>
    </sheetView>
  </sheetViews>
  <sheetFormatPr defaultRowHeight="15"/>
  <cols>
    <col min="1" max="1" width="9.140625" style="45"/>
    <col min="2" max="2" width="18.5703125" style="45" customWidth="1"/>
    <col min="3" max="3" width="13.140625" style="45" customWidth="1"/>
    <col min="4" max="4" width="20.42578125" style="45" customWidth="1"/>
    <col min="5" max="5" width="13.28515625" style="45" customWidth="1"/>
    <col min="6" max="6" width="11.5703125" style="45" customWidth="1"/>
    <col min="7" max="7" width="22" style="45" customWidth="1"/>
    <col min="8" max="8" width="53" style="45" customWidth="1"/>
    <col min="9" max="9" width="46.5703125" style="45" customWidth="1"/>
    <col min="10" max="10" width="57" style="45" customWidth="1"/>
    <col min="11" max="11" width="36" style="45" customWidth="1"/>
    <col min="12" max="12" width="58.42578125" style="45" customWidth="1"/>
    <col min="13" max="13" width="56" style="45" customWidth="1"/>
    <col min="14" max="14" width="14.7109375" style="45" customWidth="1"/>
    <col min="15" max="15" width="32" style="45" customWidth="1"/>
    <col min="16" max="16" width="19.28515625" style="45" customWidth="1"/>
    <col min="17" max="17" width="12" style="45" customWidth="1"/>
    <col min="18" max="18" width="14.7109375" style="45" customWidth="1"/>
    <col min="19" max="19" width="19.85546875" style="45" customWidth="1"/>
    <col min="20" max="20" width="21.5703125" style="45" customWidth="1"/>
    <col min="21" max="21" width="25.85546875" style="45" customWidth="1"/>
    <col min="22" max="22" width="12.85546875" style="45" customWidth="1"/>
    <col min="23" max="16384" width="9.140625" style="45"/>
  </cols>
  <sheetData>
    <row r="1" spans="1:22" s="44"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44" customFormat="1" ht="90">
      <c r="A2" s="1">
        <v>1</v>
      </c>
      <c r="B2" s="5" t="s">
        <v>5055</v>
      </c>
      <c r="C2" s="5"/>
      <c r="D2" s="5"/>
      <c r="E2" s="5" t="s">
        <v>30</v>
      </c>
      <c r="F2" s="5" t="s">
        <v>22</v>
      </c>
      <c r="G2" s="5" t="s">
        <v>5056</v>
      </c>
      <c r="H2" s="5" t="s">
        <v>5057</v>
      </c>
      <c r="I2" s="5" t="s">
        <v>933</v>
      </c>
      <c r="J2" s="5" t="s">
        <v>5058</v>
      </c>
      <c r="K2" s="5" t="s">
        <v>4108</v>
      </c>
      <c r="L2" s="5" t="s">
        <v>5059</v>
      </c>
      <c r="M2" s="5" t="s">
        <v>5060</v>
      </c>
      <c r="N2" s="6" t="s">
        <v>24</v>
      </c>
      <c r="O2" s="2" t="s">
        <v>4892</v>
      </c>
      <c r="P2" s="12">
        <v>46055</v>
      </c>
      <c r="Q2" s="5"/>
      <c r="R2" s="5"/>
      <c r="S2" s="5"/>
      <c r="T2" s="5"/>
      <c r="U2" s="5"/>
      <c r="V2" s="5"/>
    </row>
    <row r="3" spans="1:22" ht="225">
      <c r="A3" s="1">
        <v>2</v>
      </c>
      <c r="B3" s="5" t="s">
        <v>5061</v>
      </c>
      <c r="C3" s="5"/>
      <c r="D3" s="5"/>
      <c r="E3" s="5" t="s">
        <v>30</v>
      </c>
      <c r="F3" s="5" t="s">
        <v>22</v>
      </c>
      <c r="G3" s="5" t="s">
        <v>5056</v>
      </c>
      <c r="H3" s="9" t="s">
        <v>5062</v>
      </c>
      <c r="I3" s="5" t="s">
        <v>933</v>
      </c>
      <c r="J3" s="9" t="s">
        <v>5063</v>
      </c>
      <c r="K3" s="9" t="s">
        <v>255</v>
      </c>
      <c r="L3" s="1" t="s">
        <v>5064</v>
      </c>
      <c r="M3" s="1" t="s">
        <v>5065</v>
      </c>
      <c r="N3" s="6" t="s">
        <v>24</v>
      </c>
      <c r="O3" s="2" t="s">
        <v>4892</v>
      </c>
      <c r="P3" s="12">
        <v>46055</v>
      </c>
    </row>
    <row r="4" spans="1:22" ht="375">
      <c r="A4" s="1">
        <v>3</v>
      </c>
      <c r="B4" s="5" t="s">
        <v>5066</v>
      </c>
      <c r="C4" s="5"/>
      <c r="D4" s="5"/>
      <c r="E4" s="5" t="s">
        <v>30</v>
      </c>
      <c r="F4" s="5" t="s">
        <v>22</v>
      </c>
      <c r="G4" s="5" t="s">
        <v>5056</v>
      </c>
      <c r="H4" s="9" t="s">
        <v>5067</v>
      </c>
      <c r="I4" s="5" t="s">
        <v>933</v>
      </c>
      <c r="J4" s="9" t="s">
        <v>5068</v>
      </c>
      <c r="K4" s="9" t="s">
        <v>255</v>
      </c>
      <c r="L4" s="1" t="s">
        <v>5069</v>
      </c>
      <c r="M4" s="1" t="s">
        <v>5072</v>
      </c>
      <c r="N4" s="33" t="s">
        <v>47</v>
      </c>
      <c r="O4" s="2" t="s">
        <v>4892</v>
      </c>
      <c r="P4" s="12">
        <v>46055</v>
      </c>
    </row>
    <row r="5" spans="1:22" ht="90">
      <c r="A5" s="1">
        <v>4</v>
      </c>
      <c r="B5" s="5" t="s">
        <v>5070</v>
      </c>
      <c r="C5" s="5"/>
      <c r="D5" s="5"/>
      <c r="E5" s="5" t="s">
        <v>30</v>
      </c>
      <c r="F5" s="5" t="s">
        <v>22</v>
      </c>
      <c r="G5" s="5" t="s">
        <v>5056</v>
      </c>
      <c r="H5" s="9" t="s">
        <v>5071</v>
      </c>
      <c r="I5" s="5" t="s">
        <v>933</v>
      </c>
      <c r="J5" s="121" t="s">
        <v>5083</v>
      </c>
      <c r="K5" s="121" t="s">
        <v>5003</v>
      </c>
      <c r="L5" s="121" t="s">
        <v>5084</v>
      </c>
      <c r="M5" s="1" t="s">
        <v>5085</v>
      </c>
      <c r="N5" s="6" t="s">
        <v>24</v>
      </c>
      <c r="O5" s="2" t="s">
        <v>4892</v>
      </c>
      <c r="P5" s="12">
        <v>46056</v>
      </c>
    </row>
    <row r="6" spans="1:22" ht="105">
      <c r="A6" s="1">
        <v>5</v>
      </c>
      <c r="B6" s="5" t="s">
        <v>5086</v>
      </c>
      <c r="C6" s="5"/>
      <c r="D6" s="5"/>
      <c r="E6" s="5" t="s">
        <v>30</v>
      </c>
      <c r="F6" s="5" t="s">
        <v>22</v>
      </c>
      <c r="G6" s="5" t="s">
        <v>5056</v>
      </c>
      <c r="H6" s="9" t="s">
        <v>5087</v>
      </c>
      <c r="I6" s="5" t="s">
        <v>933</v>
      </c>
      <c r="J6" s="121" t="s">
        <v>5088</v>
      </c>
      <c r="K6" s="121" t="s">
        <v>5003</v>
      </c>
      <c r="L6" s="121" t="s">
        <v>5089</v>
      </c>
      <c r="M6" s="1" t="s">
        <v>5095</v>
      </c>
      <c r="N6" s="32" t="s">
        <v>333</v>
      </c>
      <c r="O6" s="2" t="s">
        <v>4892</v>
      </c>
      <c r="P6" s="12">
        <v>46056</v>
      </c>
    </row>
    <row r="7" spans="1:22" ht="90">
      <c r="A7" s="1">
        <v>6</v>
      </c>
      <c r="B7" s="5" t="s">
        <v>5090</v>
      </c>
      <c r="C7" s="5"/>
      <c r="D7" s="5"/>
      <c r="E7" s="5" t="s">
        <v>30</v>
      </c>
      <c r="F7" s="5" t="s">
        <v>22</v>
      </c>
      <c r="G7" s="5" t="s">
        <v>5056</v>
      </c>
      <c r="H7" s="9" t="s">
        <v>5091</v>
      </c>
      <c r="I7" s="5" t="s">
        <v>933</v>
      </c>
      <c r="J7" s="121" t="s">
        <v>5092</v>
      </c>
      <c r="K7" s="121" t="s">
        <v>5003</v>
      </c>
      <c r="L7" s="121" t="s">
        <v>5093</v>
      </c>
      <c r="M7" s="1" t="s">
        <v>5094</v>
      </c>
      <c r="N7" s="6" t="s">
        <v>24</v>
      </c>
      <c r="O7" s="2" t="s">
        <v>4892</v>
      </c>
      <c r="P7" s="12">
        <v>46056</v>
      </c>
    </row>
    <row r="8" spans="1:22" ht="150">
      <c r="A8" s="1">
        <v>7</v>
      </c>
      <c r="B8" s="5" t="s">
        <v>5096</v>
      </c>
      <c r="C8" s="5"/>
      <c r="D8" s="5"/>
      <c r="E8" s="5" t="s">
        <v>30</v>
      </c>
      <c r="F8" s="5" t="s">
        <v>22</v>
      </c>
      <c r="G8" s="5" t="s">
        <v>5056</v>
      </c>
      <c r="H8" s="9" t="s">
        <v>5097</v>
      </c>
      <c r="I8" s="5" t="s">
        <v>933</v>
      </c>
      <c r="J8" s="1" t="s">
        <v>5098</v>
      </c>
      <c r="K8" s="1" t="s">
        <v>5100</v>
      </c>
      <c r="L8" s="1" t="s">
        <v>5099</v>
      </c>
      <c r="M8" s="1" t="s">
        <v>5101</v>
      </c>
      <c r="N8" s="33" t="s">
        <v>47</v>
      </c>
      <c r="O8" s="2" t="s">
        <v>4892</v>
      </c>
      <c r="P8" s="12">
        <v>46056</v>
      </c>
    </row>
    <row r="9" spans="1:22" ht="90">
      <c r="A9" s="1">
        <v>8</v>
      </c>
      <c r="B9" s="5" t="s">
        <v>5102</v>
      </c>
      <c r="C9" s="5"/>
      <c r="D9" s="5"/>
      <c r="E9" s="5" t="s">
        <v>30</v>
      </c>
      <c r="F9" s="5" t="s">
        <v>22</v>
      </c>
      <c r="G9" s="5" t="s">
        <v>5056</v>
      </c>
      <c r="H9" s="9" t="s">
        <v>5103</v>
      </c>
      <c r="I9" s="5" t="s">
        <v>933</v>
      </c>
      <c r="J9" s="121" t="s">
        <v>5104</v>
      </c>
      <c r="K9" s="121" t="s">
        <v>5107</v>
      </c>
      <c r="L9" s="121" t="s">
        <v>5105</v>
      </c>
      <c r="M9" s="1" t="s">
        <v>5106</v>
      </c>
      <c r="N9" s="32" t="s">
        <v>333</v>
      </c>
      <c r="O9" s="2" t="s">
        <v>4892</v>
      </c>
      <c r="P9" s="12">
        <v>46056</v>
      </c>
    </row>
    <row r="10" spans="1:22" ht="90">
      <c r="A10" s="1">
        <v>9</v>
      </c>
      <c r="B10" s="5" t="s">
        <v>5108</v>
      </c>
      <c r="C10" s="5"/>
      <c r="D10" s="5"/>
      <c r="E10" s="5" t="s">
        <v>30</v>
      </c>
      <c r="F10" s="5" t="s">
        <v>22</v>
      </c>
      <c r="G10" s="5" t="s">
        <v>5056</v>
      </c>
      <c r="H10" s="9" t="s">
        <v>5109</v>
      </c>
      <c r="I10" s="5" t="s">
        <v>933</v>
      </c>
      <c r="J10" s="121" t="s">
        <v>5110</v>
      </c>
      <c r="K10" s="121" t="s">
        <v>5107</v>
      </c>
      <c r="L10" s="121" t="s">
        <v>5111</v>
      </c>
      <c r="M10" s="1" t="s">
        <v>5112</v>
      </c>
      <c r="N10" s="33" t="s">
        <v>47</v>
      </c>
      <c r="O10" s="2" t="s">
        <v>4892</v>
      </c>
      <c r="P10" s="12">
        <v>46056</v>
      </c>
    </row>
    <row r="11" spans="1:22" ht="150">
      <c r="A11" s="1">
        <v>10</v>
      </c>
      <c r="B11" s="5" t="s">
        <v>5113</v>
      </c>
      <c r="C11" s="5"/>
      <c r="D11" s="5"/>
      <c r="E11" s="5" t="s">
        <v>30</v>
      </c>
      <c r="F11" s="5" t="s">
        <v>22</v>
      </c>
      <c r="G11" s="5" t="s">
        <v>5056</v>
      </c>
      <c r="H11" s="9" t="s">
        <v>5114</v>
      </c>
      <c r="I11" s="5" t="s">
        <v>933</v>
      </c>
      <c r="J11" s="121" t="s">
        <v>5115</v>
      </c>
      <c r="K11" s="121" t="s">
        <v>5116</v>
      </c>
      <c r="L11" s="5" t="s">
        <v>5117</v>
      </c>
      <c r="M11" s="1" t="s">
        <v>5118</v>
      </c>
      <c r="N11" s="33" t="s">
        <v>47</v>
      </c>
      <c r="O11" s="2" t="s">
        <v>4892</v>
      </c>
      <c r="P11" s="12">
        <v>46056</v>
      </c>
    </row>
    <row r="12" spans="1:22" ht="150">
      <c r="A12" s="1">
        <v>11</v>
      </c>
      <c r="B12" s="5" t="s">
        <v>5119</v>
      </c>
      <c r="C12" s="5"/>
      <c r="D12" s="5"/>
      <c r="E12" s="5" t="s">
        <v>30</v>
      </c>
      <c r="F12" s="5" t="s">
        <v>22</v>
      </c>
      <c r="G12" s="5" t="s">
        <v>5056</v>
      </c>
      <c r="H12" s="9" t="s">
        <v>5120</v>
      </c>
      <c r="I12" s="5" t="s">
        <v>933</v>
      </c>
      <c r="J12" s="121" t="s">
        <v>5121</v>
      </c>
      <c r="K12" s="121" t="s">
        <v>5116</v>
      </c>
      <c r="L12" s="5" t="s">
        <v>5122</v>
      </c>
      <c r="M12" s="1" t="s">
        <v>5123</v>
      </c>
      <c r="N12" s="33" t="s">
        <v>47</v>
      </c>
      <c r="O12" s="2" t="s">
        <v>4892</v>
      </c>
      <c r="P12" s="12">
        <v>46056</v>
      </c>
    </row>
    <row r="13" spans="1:22" ht="90">
      <c r="A13" s="1">
        <v>12</v>
      </c>
      <c r="B13" s="5" t="s">
        <v>5124</v>
      </c>
      <c r="C13" s="5"/>
      <c r="D13" s="5"/>
      <c r="E13" s="5" t="s">
        <v>30</v>
      </c>
      <c r="F13" s="5" t="s">
        <v>22</v>
      </c>
      <c r="G13" s="5" t="s">
        <v>5056</v>
      </c>
      <c r="H13" s="9" t="s">
        <v>5125</v>
      </c>
      <c r="I13" s="5" t="s">
        <v>933</v>
      </c>
      <c r="J13" s="121" t="s">
        <v>5126</v>
      </c>
      <c r="K13" s="121" t="s">
        <v>5107</v>
      </c>
      <c r="L13" s="121" t="s">
        <v>5127</v>
      </c>
      <c r="M13" s="1" t="s">
        <v>5128</v>
      </c>
      <c r="N13" s="6" t="s">
        <v>24</v>
      </c>
      <c r="O13" s="2" t="s">
        <v>4892</v>
      </c>
      <c r="P13" s="12">
        <v>46056</v>
      </c>
    </row>
    <row r="14" spans="1:22" ht="90">
      <c r="A14" s="1">
        <v>13</v>
      </c>
      <c r="B14" s="5" t="s">
        <v>5129</v>
      </c>
      <c r="C14" s="5"/>
      <c r="D14" s="5"/>
      <c r="E14" s="5" t="s">
        <v>30</v>
      </c>
      <c r="F14" s="5" t="s">
        <v>22</v>
      </c>
      <c r="G14" s="5" t="s">
        <v>5056</v>
      </c>
      <c r="H14" s="9" t="s">
        <v>5130</v>
      </c>
      <c r="I14" s="5" t="s">
        <v>933</v>
      </c>
      <c r="J14" s="5" t="s">
        <v>5131</v>
      </c>
      <c r="K14" s="5" t="s">
        <v>5132</v>
      </c>
      <c r="L14" s="5" t="s">
        <v>5133</v>
      </c>
      <c r="M14" s="5" t="s">
        <v>258</v>
      </c>
      <c r="N14" s="6" t="s">
        <v>24</v>
      </c>
      <c r="O14" s="2" t="s">
        <v>4892</v>
      </c>
      <c r="P14" s="12">
        <v>46056</v>
      </c>
    </row>
    <row r="15" spans="1:22" ht="135">
      <c r="A15" s="1">
        <v>14</v>
      </c>
      <c r="B15" s="5" t="s">
        <v>5134</v>
      </c>
      <c r="C15" s="5"/>
      <c r="D15" s="5"/>
      <c r="E15" s="5" t="s">
        <v>30</v>
      </c>
      <c r="F15" s="5" t="s">
        <v>22</v>
      </c>
      <c r="G15" s="5" t="s">
        <v>5056</v>
      </c>
      <c r="H15" s="9" t="s">
        <v>5135</v>
      </c>
      <c r="I15" s="5" t="s">
        <v>933</v>
      </c>
      <c r="J15" s="121" t="s">
        <v>5136</v>
      </c>
      <c r="K15" s="121" t="s">
        <v>5107</v>
      </c>
      <c r="L15" s="5" t="s">
        <v>5137</v>
      </c>
      <c r="M15" s="1" t="s">
        <v>5138</v>
      </c>
      <c r="N15" s="33" t="s">
        <v>47</v>
      </c>
      <c r="O15" s="2" t="s">
        <v>4892</v>
      </c>
      <c r="P15" s="12">
        <v>46056</v>
      </c>
    </row>
    <row r="16" spans="1:22" ht="90">
      <c r="A16" s="1">
        <v>15</v>
      </c>
      <c r="B16" s="5" t="s">
        <v>5139</v>
      </c>
      <c r="C16" s="5"/>
      <c r="D16" s="5"/>
      <c r="E16" s="5" t="s">
        <v>30</v>
      </c>
      <c r="F16" s="5" t="s">
        <v>22</v>
      </c>
      <c r="G16" s="5" t="s">
        <v>5056</v>
      </c>
      <c r="H16" s="9" t="s">
        <v>5140</v>
      </c>
      <c r="I16" s="5" t="s">
        <v>933</v>
      </c>
      <c r="J16" s="121" t="s">
        <v>5141</v>
      </c>
      <c r="K16" s="121" t="s">
        <v>5107</v>
      </c>
      <c r="L16" s="121" t="s">
        <v>5142</v>
      </c>
      <c r="M16" s="1" t="s">
        <v>5143</v>
      </c>
      <c r="N16" s="6" t="s">
        <v>24</v>
      </c>
      <c r="O16" s="2" t="s">
        <v>4892</v>
      </c>
      <c r="P16" s="12">
        <v>46056</v>
      </c>
    </row>
    <row r="17" spans="1:16" ht="330">
      <c r="A17" s="1">
        <v>16</v>
      </c>
      <c r="B17" s="5" t="s">
        <v>5144</v>
      </c>
      <c r="C17" s="5"/>
      <c r="D17" s="5"/>
      <c r="E17" s="5" t="s">
        <v>30</v>
      </c>
      <c r="F17" s="5" t="s">
        <v>22</v>
      </c>
      <c r="G17" s="5" t="s">
        <v>5056</v>
      </c>
      <c r="H17" s="9" t="s">
        <v>5145</v>
      </c>
      <c r="I17" s="5" t="s">
        <v>933</v>
      </c>
      <c r="J17" s="121" t="s">
        <v>5147</v>
      </c>
      <c r="K17" s="121" t="s">
        <v>5146</v>
      </c>
      <c r="L17" s="5" t="s">
        <v>5148</v>
      </c>
      <c r="M17" s="5" t="s">
        <v>5149</v>
      </c>
      <c r="N17" s="33" t="s">
        <v>47</v>
      </c>
      <c r="O17" s="2" t="s">
        <v>4892</v>
      </c>
      <c r="P17" s="12">
        <v>46056</v>
      </c>
    </row>
    <row r="18" spans="1:16" ht="180">
      <c r="A18" s="1">
        <v>17</v>
      </c>
      <c r="B18" s="5" t="s">
        <v>5150</v>
      </c>
      <c r="C18" s="5"/>
      <c r="D18" s="5"/>
      <c r="E18" s="5" t="s">
        <v>30</v>
      </c>
      <c r="F18" s="5" t="s">
        <v>22</v>
      </c>
      <c r="G18" s="5" t="s">
        <v>5056</v>
      </c>
      <c r="H18" s="9" t="s">
        <v>5151</v>
      </c>
      <c r="I18" s="5" t="s">
        <v>933</v>
      </c>
      <c r="J18" s="121" t="s">
        <v>5158</v>
      </c>
      <c r="K18" s="1" t="s">
        <v>5152</v>
      </c>
      <c r="L18" s="5" t="s">
        <v>5153</v>
      </c>
      <c r="M18" s="1" t="s">
        <v>5154</v>
      </c>
      <c r="N18" s="6" t="s">
        <v>24</v>
      </c>
      <c r="O18" s="2" t="s">
        <v>4892</v>
      </c>
      <c r="P18" s="12">
        <v>46056</v>
      </c>
    </row>
    <row r="19" spans="1:16" ht="165">
      <c r="A19" s="1">
        <v>18</v>
      </c>
      <c r="B19" s="5" t="s">
        <v>5155</v>
      </c>
      <c r="C19" s="5"/>
      <c r="D19" s="5"/>
      <c r="E19" s="5" t="s">
        <v>30</v>
      </c>
      <c r="F19" s="5" t="s">
        <v>22</v>
      </c>
      <c r="G19" s="5" t="s">
        <v>5056</v>
      </c>
      <c r="H19" s="9" t="s">
        <v>5156</v>
      </c>
      <c r="I19" s="5" t="s">
        <v>933</v>
      </c>
      <c r="J19" s="89" t="s">
        <v>255</v>
      </c>
      <c r="K19" s="1" t="s">
        <v>5157</v>
      </c>
      <c r="L19" s="5" t="s">
        <v>5159</v>
      </c>
      <c r="M19" s="1" t="s">
        <v>5160</v>
      </c>
      <c r="N19" s="6" t="s">
        <v>24</v>
      </c>
      <c r="O19" s="2" t="s">
        <v>4892</v>
      </c>
      <c r="P19" s="12">
        <v>46056</v>
      </c>
    </row>
    <row r="20" spans="1:16" ht="195">
      <c r="A20" s="1">
        <v>19</v>
      </c>
      <c r="B20" s="5" t="s">
        <v>5165</v>
      </c>
      <c r="C20" s="5"/>
      <c r="D20" s="5"/>
      <c r="E20" s="5" t="s">
        <v>30</v>
      </c>
      <c r="F20" s="5" t="s">
        <v>22</v>
      </c>
      <c r="G20" s="5" t="s">
        <v>5056</v>
      </c>
      <c r="H20" s="5" t="s">
        <v>5161</v>
      </c>
      <c r="I20" s="5" t="s">
        <v>933</v>
      </c>
      <c r="J20" s="5" t="s">
        <v>5162</v>
      </c>
      <c r="K20" s="118" t="s">
        <v>4967</v>
      </c>
      <c r="L20" s="118" t="s">
        <v>5163</v>
      </c>
      <c r="M20" s="118" t="s">
        <v>5164</v>
      </c>
      <c r="N20" s="6" t="s">
        <v>24</v>
      </c>
      <c r="O20" s="2" t="s">
        <v>4892</v>
      </c>
      <c r="P20" s="12">
        <v>46056</v>
      </c>
    </row>
    <row r="21" spans="1:16" ht="255">
      <c r="A21" s="1">
        <v>20</v>
      </c>
      <c r="B21" s="5" t="s">
        <v>5166</v>
      </c>
      <c r="C21" s="5"/>
      <c r="D21" s="5"/>
      <c r="E21" s="5" t="s">
        <v>30</v>
      </c>
      <c r="F21" s="5" t="s">
        <v>22</v>
      </c>
      <c r="G21" s="5" t="s">
        <v>5056</v>
      </c>
      <c r="H21" s="5" t="s">
        <v>5167</v>
      </c>
      <c r="I21" s="5" t="s">
        <v>933</v>
      </c>
      <c r="J21" s="5" t="s">
        <v>5175</v>
      </c>
      <c r="K21" s="118" t="s">
        <v>4967</v>
      </c>
      <c r="L21" s="5" t="s">
        <v>5168</v>
      </c>
      <c r="M21" s="1" t="s">
        <v>740</v>
      </c>
      <c r="N21" s="6" t="s">
        <v>24</v>
      </c>
      <c r="O21" s="2" t="s">
        <v>4892</v>
      </c>
      <c r="P21" s="12">
        <v>46056</v>
      </c>
    </row>
    <row r="22" spans="1:16" ht="90">
      <c r="A22" s="1">
        <v>21</v>
      </c>
      <c r="B22" s="5" t="s">
        <v>5169</v>
      </c>
      <c r="C22" s="5"/>
      <c r="D22" s="5"/>
      <c r="E22" s="5" t="s">
        <v>30</v>
      </c>
      <c r="F22" s="5" t="s">
        <v>22</v>
      </c>
      <c r="G22" s="5" t="s">
        <v>5056</v>
      </c>
      <c r="H22" s="5" t="s">
        <v>5170</v>
      </c>
      <c r="I22" s="5" t="s">
        <v>933</v>
      </c>
      <c r="J22" s="5" t="s">
        <v>5176</v>
      </c>
      <c r="K22" s="5" t="s">
        <v>890</v>
      </c>
      <c r="L22" s="5" t="s">
        <v>5042</v>
      </c>
      <c r="M22" s="5" t="s">
        <v>1773</v>
      </c>
      <c r="N22" s="6" t="s">
        <v>24</v>
      </c>
      <c r="O22" s="2" t="s">
        <v>4892</v>
      </c>
      <c r="P22" s="12">
        <v>46057</v>
      </c>
    </row>
    <row r="23" spans="1:16" ht="90">
      <c r="A23" s="1">
        <v>22</v>
      </c>
      <c r="B23" s="5" t="s">
        <v>5171</v>
      </c>
      <c r="C23" s="5"/>
      <c r="D23" s="5"/>
      <c r="E23" s="5" t="s">
        <v>30</v>
      </c>
      <c r="F23" s="5" t="s">
        <v>22</v>
      </c>
      <c r="G23" s="5" t="s">
        <v>5056</v>
      </c>
      <c r="H23" s="5" t="s">
        <v>5172</v>
      </c>
      <c r="I23" s="5" t="s">
        <v>933</v>
      </c>
      <c r="J23" s="1" t="s">
        <v>5178</v>
      </c>
      <c r="K23" s="1" t="s">
        <v>5180</v>
      </c>
      <c r="L23" s="1" t="s">
        <v>5173</v>
      </c>
      <c r="M23" s="1" t="s">
        <v>5174</v>
      </c>
      <c r="N23" s="6" t="s">
        <v>24</v>
      </c>
      <c r="O23" s="2" t="s">
        <v>4892</v>
      </c>
      <c r="P23" s="12">
        <v>46057</v>
      </c>
    </row>
    <row r="24" spans="1:16" ht="90">
      <c r="A24" s="1">
        <v>23</v>
      </c>
      <c r="B24" s="5" t="s">
        <v>5177</v>
      </c>
      <c r="C24" s="5"/>
      <c r="D24" s="5"/>
      <c r="E24" s="5" t="s">
        <v>30</v>
      </c>
      <c r="F24" s="5" t="s">
        <v>22</v>
      </c>
      <c r="G24" s="5" t="s">
        <v>5056</v>
      </c>
      <c r="H24" s="5" t="s">
        <v>5184</v>
      </c>
      <c r="I24" s="5" t="s">
        <v>933</v>
      </c>
      <c r="J24" s="1" t="s">
        <v>5179</v>
      </c>
      <c r="K24" s="1" t="s">
        <v>5180</v>
      </c>
      <c r="L24" s="1" t="s">
        <v>5181</v>
      </c>
      <c r="M24" s="1" t="s">
        <v>5182</v>
      </c>
      <c r="N24" s="6" t="s">
        <v>24</v>
      </c>
      <c r="O24" s="2" t="s">
        <v>4892</v>
      </c>
      <c r="P24" s="12">
        <v>46057</v>
      </c>
    </row>
    <row r="25" spans="1:16" ht="90">
      <c r="A25" s="1">
        <v>24</v>
      </c>
      <c r="B25" s="5" t="s">
        <v>5183</v>
      </c>
      <c r="C25" s="5"/>
      <c r="D25" s="5"/>
      <c r="E25" s="5" t="s">
        <v>30</v>
      </c>
      <c r="F25" s="5" t="s">
        <v>22</v>
      </c>
      <c r="G25" s="5" t="s">
        <v>5056</v>
      </c>
      <c r="H25" s="5" t="s">
        <v>5185</v>
      </c>
      <c r="I25" s="5" t="s">
        <v>933</v>
      </c>
      <c r="J25" s="1" t="s">
        <v>5186</v>
      </c>
      <c r="K25" s="1" t="s">
        <v>255</v>
      </c>
      <c r="L25" s="1" t="s">
        <v>5187</v>
      </c>
      <c r="M25" s="1" t="s">
        <v>5188</v>
      </c>
      <c r="N25" s="6" t="s">
        <v>24</v>
      </c>
      <c r="O25" s="2" t="s">
        <v>4892</v>
      </c>
      <c r="P25" s="12">
        <v>46057</v>
      </c>
    </row>
    <row r="26" spans="1:16" ht="105">
      <c r="A26" s="1">
        <v>25</v>
      </c>
      <c r="B26" s="5" t="s">
        <v>5189</v>
      </c>
      <c r="C26" s="5"/>
      <c r="D26" s="5"/>
      <c r="E26" s="5" t="s">
        <v>30</v>
      </c>
      <c r="F26" s="5" t="s">
        <v>22</v>
      </c>
      <c r="G26" s="5" t="s">
        <v>5056</v>
      </c>
      <c r="H26" s="5" t="s">
        <v>5190</v>
      </c>
      <c r="I26" s="5" t="s">
        <v>933</v>
      </c>
      <c r="J26" s="1" t="s">
        <v>5191</v>
      </c>
      <c r="K26" s="1" t="s">
        <v>255</v>
      </c>
      <c r="L26" s="1" t="s">
        <v>5192</v>
      </c>
      <c r="M26" s="1" t="s">
        <v>5193</v>
      </c>
      <c r="N26" s="6" t="s">
        <v>24</v>
      </c>
      <c r="O26" s="2" t="s">
        <v>4892</v>
      </c>
      <c r="P26" s="12">
        <v>46057</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dimension ref="A1:V15"/>
  <sheetViews>
    <sheetView topLeftCell="G1" workbookViewId="0">
      <pane ySplit="1" topLeftCell="A9" activePane="bottomLeft" state="frozen"/>
      <selection pane="bottomLeft" activeCell="K13" sqref="K13"/>
    </sheetView>
  </sheetViews>
  <sheetFormatPr defaultRowHeight="15"/>
  <cols>
    <col min="1" max="1" width="12" customWidth="1"/>
    <col min="2" max="2" width="16.5703125" customWidth="1"/>
    <col min="3" max="3" width="12.28515625" customWidth="1"/>
    <col min="4" max="4" width="20.28515625" customWidth="1"/>
    <col min="5" max="5" width="15" customWidth="1"/>
    <col min="6" max="6" width="13.28515625" customWidth="1"/>
    <col min="7" max="7" width="22" customWidth="1"/>
    <col min="8" max="8" width="54.85546875" customWidth="1"/>
    <col min="9" max="9" width="45.28515625" customWidth="1"/>
    <col min="10" max="10" width="51.85546875" customWidth="1"/>
    <col min="11" max="11" width="32.28515625" customWidth="1"/>
    <col min="12" max="12" width="58.140625" customWidth="1"/>
    <col min="13" max="13" width="46.28515625" customWidth="1"/>
    <col min="14" max="14" width="11.28515625" customWidth="1"/>
    <col min="15" max="15" width="31.85546875" customWidth="1"/>
    <col min="16" max="16" width="19" customWidth="1"/>
    <col min="17" max="17" width="16.5703125" customWidth="1"/>
    <col min="18" max="18" width="15.28515625" customWidth="1"/>
    <col min="19" max="19" width="20" customWidth="1"/>
    <col min="20" max="20" width="23.7109375" customWidth="1"/>
    <col min="21" max="21" width="25.140625" customWidth="1"/>
    <col min="22" max="22" width="13" customWidth="1"/>
  </cols>
  <sheetData>
    <row r="1" spans="1:22" s="92"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5195</v>
      </c>
      <c r="C2" s="5"/>
      <c r="D2" s="5"/>
      <c r="E2" s="5" t="s">
        <v>30</v>
      </c>
      <c r="F2" s="5" t="s">
        <v>22</v>
      </c>
      <c r="G2" s="5" t="s">
        <v>5196</v>
      </c>
      <c r="H2" s="5" t="s">
        <v>5260</v>
      </c>
      <c r="I2" s="5" t="s">
        <v>933</v>
      </c>
      <c r="J2" s="5" t="s">
        <v>5197</v>
      </c>
      <c r="K2" s="5" t="s">
        <v>5198</v>
      </c>
      <c r="L2" s="5" t="s">
        <v>5199</v>
      </c>
      <c r="M2" s="5" t="s">
        <v>5200</v>
      </c>
      <c r="N2" s="6" t="s">
        <v>24</v>
      </c>
      <c r="O2" s="2" t="s">
        <v>4892</v>
      </c>
      <c r="P2" s="12">
        <v>46057</v>
      </c>
      <c r="Q2" s="5"/>
      <c r="R2" s="5"/>
      <c r="S2" s="5"/>
      <c r="T2" s="5"/>
      <c r="U2" s="5"/>
      <c r="V2" s="5"/>
    </row>
    <row r="3" spans="1:22" ht="90">
      <c r="A3" s="1">
        <v>2</v>
      </c>
      <c r="B3" s="5" t="s">
        <v>5201</v>
      </c>
      <c r="C3" s="5"/>
      <c r="D3" s="5"/>
      <c r="E3" s="5" t="s">
        <v>30</v>
      </c>
      <c r="F3" s="5" t="s">
        <v>22</v>
      </c>
      <c r="G3" s="5" t="s">
        <v>5196</v>
      </c>
      <c r="H3" s="14" t="s">
        <v>5202</v>
      </c>
      <c r="I3" s="5" t="s">
        <v>933</v>
      </c>
      <c r="J3" s="1" t="s">
        <v>5207</v>
      </c>
      <c r="K3" s="1" t="s">
        <v>5203</v>
      </c>
      <c r="L3" s="1" t="s">
        <v>5204</v>
      </c>
      <c r="M3" s="1" t="s">
        <v>5205</v>
      </c>
      <c r="N3" s="6" t="s">
        <v>24</v>
      </c>
      <c r="O3" s="2" t="s">
        <v>4892</v>
      </c>
      <c r="P3" s="12">
        <v>46057</v>
      </c>
    </row>
    <row r="4" spans="1:22" ht="135">
      <c r="A4" s="1">
        <v>3</v>
      </c>
      <c r="B4" s="5" t="s">
        <v>5206</v>
      </c>
      <c r="C4" s="5"/>
      <c r="D4" s="5"/>
      <c r="E4" s="5" t="s">
        <v>30</v>
      </c>
      <c r="F4" s="5" t="s">
        <v>22</v>
      </c>
      <c r="G4" s="5" t="s">
        <v>5196</v>
      </c>
      <c r="H4" s="14" t="s">
        <v>5208</v>
      </c>
      <c r="I4" s="5" t="s">
        <v>933</v>
      </c>
      <c r="J4" s="1" t="s">
        <v>5209</v>
      </c>
      <c r="K4" s="1" t="s">
        <v>255</v>
      </c>
      <c r="L4" s="1" t="s">
        <v>5210</v>
      </c>
      <c r="M4" s="14" t="s">
        <v>5213</v>
      </c>
      <c r="N4" s="33" t="s">
        <v>47</v>
      </c>
      <c r="O4" s="2" t="s">
        <v>4892</v>
      </c>
      <c r="P4" s="12">
        <v>46057</v>
      </c>
    </row>
    <row r="5" spans="1:22" ht="90">
      <c r="A5" s="1">
        <v>4</v>
      </c>
      <c r="B5" s="5" t="s">
        <v>5211</v>
      </c>
      <c r="C5" s="5"/>
      <c r="D5" s="5"/>
      <c r="E5" s="5" t="s">
        <v>30</v>
      </c>
      <c r="F5" s="5" t="s">
        <v>22</v>
      </c>
      <c r="G5" s="5" t="s">
        <v>5196</v>
      </c>
      <c r="H5" s="5" t="s">
        <v>5212</v>
      </c>
      <c r="I5" s="5" t="s">
        <v>933</v>
      </c>
      <c r="J5" s="1" t="s">
        <v>5218</v>
      </c>
      <c r="K5" s="1" t="s">
        <v>255</v>
      </c>
      <c r="L5" s="1" t="s">
        <v>5214</v>
      </c>
      <c r="M5" s="1" t="s">
        <v>5215</v>
      </c>
      <c r="N5" s="6" t="s">
        <v>24</v>
      </c>
      <c r="O5" s="2" t="s">
        <v>4892</v>
      </c>
      <c r="P5" s="12">
        <v>46057</v>
      </c>
    </row>
    <row r="6" spans="1:22" ht="135">
      <c r="A6" s="1">
        <v>5</v>
      </c>
      <c r="B6" s="5" t="s">
        <v>5216</v>
      </c>
      <c r="C6" s="5"/>
      <c r="D6" s="5"/>
      <c r="E6" s="5" t="s">
        <v>30</v>
      </c>
      <c r="F6" s="5" t="s">
        <v>22</v>
      </c>
      <c r="G6" s="5" t="s">
        <v>5196</v>
      </c>
      <c r="H6" s="14" t="s">
        <v>5221</v>
      </c>
      <c r="I6" s="5" t="s">
        <v>933</v>
      </c>
      <c r="J6" s="1" t="s">
        <v>5226</v>
      </c>
      <c r="K6" s="118" t="s">
        <v>5217</v>
      </c>
      <c r="L6" s="118" t="s">
        <v>5219</v>
      </c>
      <c r="M6" s="117" t="s">
        <v>5224</v>
      </c>
      <c r="N6" s="33" t="s">
        <v>47</v>
      </c>
      <c r="O6" s="2" t="s">
        <v>4892</v>
      </c>
      <c r="P6" s="12">
        <v>46057</v>
      </c>
    </row>
    <row r="7" spans="1:22" ht="390">
      <c r="A7" s="1">
        <v>6</v>
      </c>
      <c r="B7" s="5" t="s">
        <v>5220</v>
      </c>
      <c r="C7" s="5"/>
      <c r="D7" s="5"/>
      <c r="E7" s="5" t="s">
        <v>30</v>
      </c>
      <c r="F7" s="5" t="s">
        <v>22</v>
      </c>
      <c r="G7" s="5" t="s">
        <v>5196</v>
      </c>
      <c r="H7" s="14" t="s">
        <v>5222</v>
      </c>
      <c r="I7" s="5" t="s">
        <v>933</v>
      </c>
      <c r="J7" s="1" t="s">
        <v>5225</v>
      </c>
      <c r="K7" s="118" t="s">
        <v>5223</v>
      </c>
      <c r="L7" s="118" t="s">
        <v>5227</v>
      </c>
      <c r="M7" s="92" t="s">
        <v>5228</v>
      </c>
      <c r="N7" s="119" t="s">
        <v>333</v>
      </c>
      <c r="O7" s="2" t="s">
        <v>4892</v>
      </c>
      <c r="P7" s="12">
        <v>46057</v>
      </c>
    </row>
    <row r="8" spans="1:22" ht="120">
      <c r="A8" s="1">
        <v>7</v>
      </c>
      <c r="B8" s="5" t="s">
        <v>5229</v>
      </c>
      <c r="C8" s="5"/>
      <c r="D8" s="5"/>
      <c r="E8" s="5" t="s">
        <v>30</v>
      </c>
      <c r="F8" s="5" t="s">
        <v>22</v>
      </c>
      <c r="G8" s="5" t="s">
        <v>5196</v>
      </c>
      <c r="H8" s="9" t="s">
        <v>5230</v>
      </c>
      <c r="I8" s="5" t="s">
        <v>933</v>
      </c>
      <c r="J8" s="121" t="s">
        <v>5231</v>
      </c>
      <c r="K8" s="121" t="s">
        <v>5146</v>
      </c>
      <c r="L8" s="5" t="s">
        <v>5232</v>
      </c>
      <c r="M8" s="5" t="s">
        <v>5233</v>
      </c>
      <c r="N8" s="6" t="s">
        <v>24</v>
      </c>
      <c r="O8" s="2" t="s">
        <v>4892</v>
      </c>
      <c r="P8" s="12">
        <v>46057</v>
      </c>
    </row>
    <row r="9" spans="1:22" ht="180">
      <c r="A9" s="1">
        <v>8</v>
      </c>
      <c r="B9" s="5" t="s">
        <v>5234</v>
      </c>
      <c r="C9" s="5"/>
      <c r="D9" s="5"/>
      <c r="E9" s="5" t="s">
        <v>30</v>
      </c>
      <c r="F9" s="5" t="s">
        <v>22</v>
      </c>
      <c r="G9" s="5" t="s">
        <v>5196</v>
      </c>
      <c r="H9" s="9" t="s">
        <v>5235</v>
      </c>
      <c r="I9" s="5" t="s">
        <v>933</v>
      </c>
      <c r="J9" s="121" t="s">
        <v>5236</v>
      </c>
      <c r="K9" s="126" t="s">
        <v>255</v>
      </c>
      <c r="L9" s="118" t="s">
        <v>5238</v>
      </c>
      <c r="M9" s="118" t="s">
        <v>5237</v>
      </c>
      <c r="N9" s="6" t="s">
        <v>24</v>
      </c>
      <c r="O9" s="2" t="s">
        <v>4892</v>
      </c>
      <c r="P9" s="12">
        <v>46057</v>
      </c>
    </row>
    <row r="10" spans="1:22" ht="90">
      <c r="A10" s="1">
        <v>9</v>
      </c>
      <c r="B10" s="5" t="s">
        <v>5239</v>
      </c>
      <c r="C10" s="5"/>
      <c r="D10" s="5"/>
      <c r="E10" s="5" t="s">
        <v>30</v>
      </c>
      <c r="F10" s="5" t="s">
        <v>22</v>
      </c>
      <c r="G10" s="5" t="s">
        <v>5196</v>
      </c>
      <c r="H10" s="5" t="s">
        <v>5240</v>
      </c>
      <c r="I10" s="5" t="s">
        <v>933</v>
      </c>
      <c r="J10" s="5"/>
      <c r="K10" s="118"/>
      <c r="L10" s="118"/>
      <c r="M10" s="118" t="s">
        <v>5241</v>
      </c>
      <c r="N10" s="119" t="s">
        <v>333</v>
      </c>
      <c r="O10" s="2" t="s">
        <v>4892</v>
      </c>
      <c r="P10" s="12">
        <v>46057</v>
      </c>
    </row>
    <row r="11" spans="1:22" ht="90">
      <c r="A11" s="1">
        <v>10</v>
      </c>
      <c r="B11" s="5" t="s">
        <v>5242</v>
      </c>
      <c r="C11" s="5"/>
      <c r="D11" s="5"/>
      <c r="E11" s="5" t="s">
        <v>30</v>
      </c>
      <c r="F11" s="5" t="s">
        <v>22</v>
      </c>
      <c r="G11" s="5" t="s">
        <v>5196</v>
      </c>
      <c r="H11" s="5" t="s">
        <v>5243</v>
      </c>
      <c r="I11" s="5" t="s">
        <v>933</v>
      </c>
      <c r="J11" s="5" t="s">
        <v>5244</v>
      </c>
      <c r="K11" s="5" t="s">
        <v>890</v>
      </c>
      <c r="L11" s="5" t="s">
        <v>5042</v>
      </c>
      <c r="M11" s="5" t="s">
        <v>1773</v>
      </c>
      <c r="N11" s="6" t="s">
        <v>24</v>
      </c>
      <c r="O11" s="2" t="s">
        <v>4892</v>
      </c>
      <c r="P11" s="12">
        <v>46057</v>
      </c>
    </row>
    <row r="12" spans="1:22" ht="105">
      <c r="A12" s="1">
        <v>11</v>
      </c>
      <c r="B12" s="5" t="s">
        <v>5245</v>
      </c>
      <c r="C12" s="5"/>
      <c r="D12" s="5"/>
      <c r="E12" s="5" t="s">
        <v>30</v>
      </c>
      <c r="F12" s="5" t="s">
        <v>22</v>
      </c>
      <c r="G12" s="5" t="s">
        <v>5196</v>
      </c>
      <c r="H12" s="5" t="s">
        <v>5246</v>
      </c>
      <c r="I12" s="5" t="s">
        <v>933</v>
      </c>
      <c r="J12" s="1" t="s">
        <v>5247</v>
      </c>
      <c r="K12" s="1" t="s">
        <v>5180</v>
      </c>
      <c r="L12" s="1" t="s">
        <v>5173</v>
      </c>
      <c r="M12" s="1" t="s">
        <v>5174</v>
      </c>
      <c r="N12" s="6" t="s">
        <v>24</v>
      </c>
      <c r="O12" s="2" t="s">
        <v>4892</v>
      </c>
      <c r="P12" s="12">
        <v>46057</v>
      </c>
    </row>
    <row r="13" spans="1:22" ht="105">
      <c r="A13" s="1">
        <v>12</v>
      </c>
      <c r="B13" s="5" t="s">
        <v>5248</v>
      </c>
      <c r="C13" s="5"/>
      <c r="D13" s="5"/>
      <c r="E13" s="5" t="s">
        <v>30</v>
      </c>
      <c r="F13" s="5" t="s">
        <v>22</v>
      </c>
      <c r="G13" s="5" t="s">
        <v>5196</v>
      </c>
      <c r="H13" s="5" t="s">
        <v>5249</v>
      </c>
      <c r="I13" s="5" t="s">
        <v>933</v>
      </c>
      <c r="J13" s="1" t="s">
        <v>5250</v>
      </c>
      <c r="K13" s="1" t="s">
        <v>5180</v>
      </c>
      <c r="L13" s="1" t="s">
        <v>5181</v>
      </c>
      <c r="M13" s="1" t="s">
        <v>5182</v>
      </c>
      <c r="N13" s="6" t="s">
        <v>24</v>
      </c>
      <c r="O13" s="2" t="s">
        <v>4892</v>
      </c>
      <c r="P13" s="12">
        <v>46057</v>
      </c>
    </row>
    <row r="14" spans="1:22" ht="90">
      <c r="A14" s="1">
        <v>13</v>
      </c>
      <c r="B14" s="5" t="s">
        <v>5251</v>
      </c>
      <c r="C14" s="5"/>
      <c r="D14" s="5"/>
      <c r="E14" s="5" t="s">
        <v>30</v>
      </c>
      <c r="F14" s="5" t="s">
        <v>22</v>
      </c>
      <c r="G14" s="5" t="s">
        <v>5196</v>
      </c>
      <c r="H14" s="5" t="s">
        <v>5252</v>
      </c>
      <c r="I14" s="5" t="s">
        <v>933</v>
      </c>
      <c r="J14" s="1" t="s">
        <v>5253</v>
      </c>
      <c r="K14" s="1" t="s">
        <v>255</v>
      </c>
      <c r="L14" s="1" t="s">
        <v>5187</v>
      </c>
      <c r="M14" s="1" t="s">
        <v>5188</v>
      </c>
      <c r="N14" s="6" t="s">
        <v>24</v>
      </c>
      <c r="O14" s="2" t="s">
        <v>4892</v>
      </c>
      <c r="P14" s="12">
        <v>46057</v>
      </c>
    </row>
    <row r="15" spans="1:22" ht="105">
      <c r="A15" s="1">
        <v>14</v>
      </c>
      <c r="B15" s="5" t="s">
        <v>5254</v>
      </c>
      <c r="C15" s="5"/>
      <c r="D15" s="5"/>
      <c r="E15" s="5" t="s">
        <v>30</v>
      </c>
      <c r="F15" s="5" t="s">
        <v>22</v>
      </c>
      <c r="G15" s="5" t="s">
        <v>5196</v>
      </c>
      <c r="H15" s="5" t="s">
        <v>5255</v>
      </c>
      <c r="I15" s="5" t="s">
        <v>933</v>
      </c>
      <c r="J15" s="1" t="s">
        <v>5256</v>
      </c>
      <c r="K15" s="1" t="s">
        <v>255</v>
      </c>
      <c r="L15" s="1" t="s">
        <v>5192</v>
      </c>
      <c r="M15" s="1" t="s">
        <v>5193</v>
      </c>
      <c r="N15" s="6" t="s">
        <v>24</v>
      </c>
      <c r="O15" s="2" t="s">
        <v>4892</v>
      </c>
      <c r="P15" s="12">
        <v>46057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6"/>
  <sheetViews>
    <sheetView workbookViewId="0">
      <pane ySplit="1" topLeftCell="A2" activePane="bottomLeft" state="frozen"/>
      <selection activeCell="H1" sqref="H1"/>
      <selection pane="bottomLeft"/>
    </sheetView>
  </sheetViews>
  <sheetFormatPr defaultRowHeight="15"/>
  <cols>
    <col min="1" max="1" width="7.28515625" customWidth="1"/>
    <col min="2" max="2" width="20" customWidth="1"/>
    <col min="3" max="3" width="11.5703125" customWidth="1"/>
    <col min="4" max="4" width="21" customWidth="1"/>
    <col min="5" max="5" width="13.85546875" customWidth="1"/>
    <col min="6" max="6" width="12.5703125" customWidth="1"/>
    <col min="7" max="7" width="26.28515625" customWidth="1"/>
    <col min="8" max="8" width="59.42578125" customWidth="1"/>
    <col min="9" max="9" width="40.7109375" customWidth="1"/>
    <col min="10" max="10" width="53.7109375" customWidth="1"/>
    <col min="11" max="11" width="32.85546875" customWidth="1"/>
    <col min="12" max="12" width="58" customWidth="1"/>
    <col min="13" max="13" width="56.5703125" customWidth="1"/>
    <col min="14" max="14" width="12.140625" customWidth="1"/>
    <col min="15" max="15" width="29" customWidth="1"/>
    <col min="16" max="16" width="20.140625" customWidth="1"/>
    <col min="17" max="17" width="13.42578125" customWidth="1"/>
    <col min="18" max="18" width="14.85546875" customWidth="1"/>
    <col min="19" max="19" width="20.7109375" customWidth="1"/>
    <col min="20" max="20" width="22.42578125" customWidth="1"/>
    <col min="21" max="21" width="24.28515625" customWidth="1"/>
    <col min="22" max="22" width="15.140625"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5258</v>
      </c>
      <c r="C2" s="5"/>
      <c r="D2" s="5"/>
      <c r="E2" s="5" t="s">
        <v>30</v>
      </c>
      <c r="F2" s="5" t="s">
        <v>22</v>
      </c>
      <c r="G2" s="5" t="s">
        <v>5259</v>
      </c>
      <c r="H2" s="5" t="s">
        <v>5261</v>
      </c>
      <c r="I2" s="5" t="s">
        <v>933</v>
      </c>
      <c r="J2" s="5" t="s">
        <v>5262</v>
      </c>
      <c r="K2" s="5" t="s">
        <v>5198</v>
      </c>
      <c r="L2" s="5" t="s">
        <v>5263</v>
      </c>
      <c r="M2" s="5" t="s">
        <v>5264</v>
      </c>
      <c r="N2" s="6" t="s">
        <v>24</v>
      </c>
      <c r="O2" s="2" t="s">
        <v>4892</v>
      </c>
      <c r="P2" s="12">
        <v>46057</v>
      </c>
      <c r="Q2" s="5"/>
      <c r="R2" s="5"/>
      <c r="S2" s="5"/>
      <c r="T2" s="5"/>
      <c r="U2" s="5"/>
      <c r="V2" s="5"/>
    </row>
    <row r="3" spans="1:22" ht="300">
      <c r="A3" s="1">
        <v>2</v>
      </c>
      <c r="B3" s="5" t="s">
        <v>5265</v>
      </c>
      <c r="C3" s="5"/>
      <c r="D3" s="5"/>
      <c r="E3" s="5" t="s">
        <v>30</v>
      </c>
      <c r="F3" s="5" t="s">
        <v>22</v>
      </c>
      <c r="G3" s="5" t="s">
        <v>5259</v>
      </c>
      <c r="H3" s="127" t="s">
        <v>5271</v>
      </c>
      <c r="I3" s="5" t="s">
        <v>933</v>
      </c>
      <c r="J3" s="5" t="s">
        <v>5267</v>
      </c>
      <c r="K3" s="127" t="s">
        <v>5266</v>
      </c>
      <c r="L3" s="118" t="s">
        <v>5268</v>
      </c>
      <c r="M3" s="118" t="s">
        <v>5269</v>
      </c>
      <c r="N3" s="6" t="s">
        <v>24</v>
      </c>
      <c r="O3" s="2" t="s">
        <v>4892</v>
      </c>
      <c r="P3" s="12">
        <v>46057</v>
      </c>
    </row>
    <row r="4" spans="1:22" ht="120">
      <c r="A4" s="1">
        <v>3</v>
      </c>
      <c r="B4" s="5" t="s">
        <v>5272</v>
      </c>
      <c r="C4" s="5"/>
      <c r="D4" s="5"/>
      <c r="E4" s="5" t="s">
        <v>30</v>
      </c>
      <c r="F4" s="5" t="s">
        <v>22</v>
      </c>
      <c r="G4" s="5" t="s">
        <v>5259</v>
      </c>
      <c r="H4" s="127" t="s">
        <v>5273</v>
      </c>
      <c r="I4" s="5" t="s">
        <v>933</v>
      </c>
      <c r="J4" s="5" t="s">
        <v>5274</v>
      </c>
      <c r="K4" s="127" t="s">
        <v>255</v>
      </c>
      <c r="L4" s="118" t="s">
        <v>5275</v>
      </c>
      <c r="M4" s="128" t="s">
        <v>5276</v>
      </c>
      <c r="N4" s="6" t="s">
        <v>24</v>
      </c>
      <c r="O4" s="2" t="s">
        <v>4892</v>
      </c>
      <c r="P4" s="12">
        <v>46057</v>
      </c>
    </row>
    <row r="5" spans="1:22" ht="255">
      <c r="A5" s="1">
        <v>4</v>
      </c>
      <c r="B5" s="5" t="s">
        <v>5270</v>
      </c>
      <c r="C5" s="5"/>
      <c r="D5" s="5"/>
      <c r="E5" s="5" t="s">
        <v>30</v>
      </c>
      <c r="F5" s="5" t="s">
        <v>22</v>
      </c>
      <c r="G5" s="5" t="s">
        <v>5259</v>
      </c>
      <c r="H5" s="118" t="s">
        <v>5277</v>
      </c>
      <c r="I5" s="5" t="s">
        <v>933</v>
      </c>
      <c r="J5" s="92" t="s">
        <v>5278</v>
      </c>
      <c r="K5" s="127" t="s">
        <v>255</v>
      </c>
      <c r="L5" s="118" t="s">
        <v>5279</v>
      </c>
      <c r="M5" s="118" t="s">
        <v>5280</v>
      </c>
      <c r="N5" s="129" t="s">
        <v>47</v>
      </c>
      <c r="O5" s="2" t="s">
        <v>4892</v>
      </c>
      <c r="P5" s="12">
        <v>46057</v>
      </c>
    </row>
    <row r="6" spans="1:22" ht="90">
      <c r="A6" s="1">
        <v>5</v>
      </c>
      <c r="B6" s="5" t="s">
        <v>5281</v>
      </c>
      <c r="C6" s="5"/>
      <c r="D6" s="5"/>
      <c r="E6" s="5" t="s">
        <v>30</v>
      </c>
      <c r="F6" s="5" t="s">
        <v>22</v>
      </c>
      <c r="G6" s="5" t="s">
        <v>5259</v>
      </c>
      <c r="H6" s="5" t="s">
        <v>5282</v>
      </c>
      <c r="I6" s="5" t="s">
        <v>933</v>
      </c>
      <c r="J6" s="1" t="s">
        <v>5283</v>
      </c>
      <c r="K6" s="1" t="s">
        <v>255</v>
      </c>
      <c r="L6" s="1" t="s">
        <v>5284</v>
      </c>
      <c r="M6" s="1" t="s">
        <v>5285</v>
      </c>
      <c r="N6" s="6" t="s">
        <v>24</v>
      </c>
      <c r="O6" s="2" t="s">
        <v>4892</v>
      </c>
      <c r="P6" s="12">
        <v>46057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8"/>
  <sheetViews>
    <sheetView topLeftCell="I1" workbookViewId="0">
      <pane ySplit="1" topLeftCell="A8" activePane="bottomLeft" state="frozen"/>
      <selection pane="bottomLeft" activeCell="K10" sqref="K10"/>
    </sheetView>
  </sheetViews>
  <sheetFormatPr defaultRowHeight="15"/>
  <cols>
    <col min="2" max="2" width="19.42578125" customWidth="1"/>
    <col min="3" max="3" width="11.85546875" customWidth="1"/>
    <col min="4" max="4" width="19.85546875" customWidth="1"/>
    <col min="5" max="5" width="12.85546875" customWidth="1"/>
    <col min="6" max="6" width="11.140625" customWidth="1"/>
    <col min="7" max="7" width="20.7109375" customWidth="1"/>
    <col min="8" max="8" width="50.140625" customWidth="1"/>
    <col min="9" max="9" width="44.140625" customWidth="1"/>
    <col min="10" max="10" width="59.5703125" customWidth="1"/>
    <col min="11" max="11" width="32" customWidth="1"/>
    <col min="12" max="12" width="57.28515625" customWidth="1"/>
    <col min="13" max="13" width="49.28515625" customWidth="1"/>
    <col min="14" max="14" width="12.85546875" customWidth="1"/>
    <col min="15" max="16" width="33.28515625" customWidth="1"/>
    <col min="17" max="17" width="12.42578125" customWidth="1"/>
    <col min="18" max="18" width="13.85546875" customWidth="1"/>
    <col min="19" max="19" width="16" customWidth="1"/>
    <col min="20" max="20" width="20.7109375" customWidth="1"/>
    <col min="21" max="21" width="24.7109375" customWidth="1"/>
    <col min="22" max="22" width="12.7109375"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5286</v>
      </c>
      <c r="C2" s="5"/>
      <c r="D2" s="5"/>
      <c r="E2" s="5" t="s">
        <v>30</v>
      </c>
      <c r="F2" s="5" t="s">
        <v>22</v>
      </c>
      <c r="G2" s="5" t="s">
        <v>5287</v>
      </c>
      <c r="H2" s="5" t="s">
        <v>5288</v>
      </c>
      <c r="I2" s="5" t="s">
        <v>933</v>
      </c>
      <c r="J2" s="5" t="s">
        <v>5289</v>
      </c>
      <c r="K2" s="5" t="s">
        <v>5198</v>
      </c>
      <c r="L2" s="5" t="s">
        <v>5290</v>
      </c>
      <c r="M2" s="5" t="s">
        <v>5291</v>
      </c>
      <c r="N2" s="6" t="s">
        <v>24</v>
      </c>
      <c r="O2" s="2" t="s">
        <v>5292</v>
      </c>
      <c r="P2" s="12">
        <v>46058</v>
      </c>
      <c r="Q2" s="5"/>
      <c r="R2" s="5"/>
      <c r="S2" s="5"/>
      <c r="T2" s="5"/>
      <c r="U2" s="5"/>
      <c r="V2" s="5"/>
    </row>
    <row r="3" spans="1:22" ht="150">
      <c r="A3" s="1">
        <v>2</v>
      </c>
      <c r="B3" s="5" t="s">
        <v>5293</v>
      </c>
      <c r="C3" s="5"/>
      <c r="D3" s="5"/>
      <c r="E3" s="5" t="s">
        <v>30</v>
      </c>
      <c r="F3" s="5" t="s">
        <v>22</v>
      </c>
      <c r="G3" s="5" t="s">
        <v>5287</v>
      </c>
      <c r="H3" s="121" t="s">
        <v>5294</v>
      </c>
      <c r="I3" s="5" t="s">
        <v>933</v>
      </c>
      <c r="J3" s="121" t="s">
        <v>5295</v>
      </c>
      <c r="K3" s="121" t="s">
        <v>5296</v>
      </c>
      <c r="L3" s="5" t="s">
        <v>4986</v>
      </c>
      <c r="M3" s="5" t="s">
        <v>5297</v>
      </c>
      <c r="N3" s="33" t="s">
        <v>47</v>
      </c>
      <c r="O3" s="2" t="s">
        <v>5292</v>
      </c>
      <c r="P3" s="12">
        <v>46058</v>
      </c>
    </row>
    <row r="4" spans="1:22" ht="90">
      <c r="A4" s="1">
        <v>3</v>
      </c>
      <c r="B4" s="5" t="s">
        <v>5298</v>
      </c>
      <c r="C4" s="5"/>
      <c r="D4" s="5"/>
      <c r="E4" s="5" t="s">
        <v>30</v>
      </c>
      <c r="F4" s="5" t="s">
        <v>22</v>
      </c>
      <c r="G4" s="5" t="s">
        <v>5287</v>
      </c>
      <c r="H4" s="5" t="s">
        <v>5303</v>
      </c>
      <c r="I4" s="5" t="s">
        <v>933</v>
      </c>
      <c r="J4" s="5" t="s">
        <v>5299</v>
      </c>
      <c r="K4" s="5" t="s">
        <v>255</v>
      </c>
      <c r="L4" s="5" t="s">
        <v>5300</v>
      </c>
      <c r="M4" s="5" t="s">
        <v>5301</v>
      </c>
      <c r="N4" s="6" t="s">
        <v>24</v>
      </c>
      <c r="O4" s="2" t="s">
        <v>5292</v>
      </c>
      <c r="P4" s="12">
        <v>46058</v>
      </c>
    </row>
    <row r="5" spans="1:22" ht="90">
      <c r="A5" s="1">
        <v>4</v>
      </c>
      <c r="B5" s="5" t="s">
        <v>5302</v>
      </c>
      <c r="C5" s="5"/>
      <c r="D5" s="5"/>
      <c r="E5" s="5" t="s">
        <v>30</v>
      </c>
      <c r="F5" s="5" t="s">
        <v>22</v>
      </c>
      <c r="G5" s="5" t="s">
        <v>5287</v>
      </c>
      <c r="H5" s="5" t="s">
        <v>5304</v>
      </c>
      <c r="I5" s="1" t="s">
        <v>933</v>
      </c>
      <c r="J5" s="1" t="s">
        <v>5305</v>
      </c>
      <c r="K5" s="1" t="s">
        <v>255</v>
      </c>
      <c r="L5" s="1" t="s">
        <v>5306</v>
      </c>
      <c r="M5" s="1" t="s">
        <v>4918</v>
      </c>
      <c r="N5" s="6" t="s">
        <v>24</v>
      </c>
      <c r="O5" s="2" t="s">
        <v>5292</v>
      </c>
      <c r="P5" s="12">
        <v>46058</v>
      </c>
    </row>
    <row r="6" spans="1:22" ht="120">
      <c r="A6" s="1">
        <v>5</v>
      </c>
      <c r="B6" s="5" t="s">
        <v>5307</v>
      </c>
      <c r="C6" s="5"/>
      <c r="D6" s="5"/>
      <c r="E6" s="5" t="s">
        <v>30</v>
      </c>
      <c r="F6" s="5" t="s">
        <v>22</v>
      </c>
      <c r="G6" s="5" t="s">
        <v>5287</v>
      </c>
      <c r="H6" s="14" t="s">
        <v>5308</v>
      </c>
      <c r="I6" s="1" t="s">
        <v>933</v>
      </c>
      <c r="J6" s="1" t="s">
        <v>5309</v>
      </c>
      <c r="K6" s="118" t="s">
        <v>5310</v>
      </c>
      <c r="L6" s="118" t="s">
        <v>5311</v>
      </c>
      <c r="M6" s="121" t="s">
        <v>5312</v>
      </c>
      <c r="N6" s="33" t="s">
        <v>47</v>
      </c>
      <c r="O6" s="2" t="s">
        <v>5292</v>
      </c>
      <c r="P6" s="12">
        <v>46058</v>
      </c>
    </row>
    <row r="7" spans="1:22" ht="150">
      <c r="A7" s="1">
        <v>6</v>
      </c>
      <c r="B7" s="5" t="s">
        <v>5313</v>
      </c>
      <c r="C7" s="5"/>
      <c r="D7" s="5"/>
      <c r="E7" s="5" t="s">
        <v>30</v>
      </c>
      <c r="F7" s="5" t="s">
        <v>22</v>
      </c>
      <c r="G7" s="5" t="s">
        <v>5287</v>
      </c>
      <c r="H7" s="121" t="s">
        <v>5319</v>
      </c>
      <c r="I7" s="121" t="s">
        <v>4529</v>
      </c>
      <c r="J7" s="121" t="s">
        <v>5314</v>
      </c>
      <c r="K7" s="121" t="s">
        <v>5315</v>
      </c>
      <c r="L7" s="121" t="s">
        <v>5316</v>
      </c>
      <c r="M7" s="121" t="s">
        <v>5317</v>
      </c>
      <c r="N7" s="33" t="s">
        <v>47</v>
      </c>
      <c r="O7" s="2" t="s">
        <v>5292</v>
      </c>
      <c r="P7" s="12">
        <v>46058</v>
      </c>
    </row>
    <row r="8" spans="1:22" ht="120">
      <c r="A8" s="1">
        <v>7</v>
      </c>
      <c r="B8" s="5" t="s">
        <v>5318</v>
      </c>
      <c r="C8" s="5"/>
      <c r="D8" s="5"/>
      <c r="E8" s="5" t="s">
        <v>30</v>
      </c>
      <c r="F8" s="5" t="s">
        <v>22</v>
      </c>
      <c r="G8" s="5" t="s">
        <v>5287</v>
      </c>
      <c r="H8" s="121" t="s">
        <v>5320</v>
      </c>
      <c r="I8" s="121" t="s">
        <v>4529</v>
      </c>
      <c r="J8" s="121" t="s">
        <v>5321</v>
      </c>
      <c r="K8" s="121" t="s">
        <v>5322</v>
      </c>
      <c r="L8" s="121" t="s">
        <v>5323</v>
      </c>
      <c r="M8" s="121" t="s">
        <v>5324</v>
      </c>
      <c r="N8" s="6" t="s">
        <v>24</v>
      </c>
      <c r="O8" s="2" t="s">
        <v>5292</v>
      </c>
      <c r="P8" s="12">
        <v>46058</v>
      </c>
    </row>
    <row r="9" spans="1:22" ht="165">
      <c r="A9" s="1">
        <v>8</v>
      </c>
      <c r="B9" s="5" t="s">
        <v>5325</v>
      </c>
      <c r="C9" s="5"/>
      <c r="D9" s="5"/>
      <c r="E9" s="5" t="s">
        <v>30</v>
      </c>
      <c r="F9" s="5" t="s">
        <v>22</v>
      </c>
      <c r="G9" s="5" t="s">
        <v>5287</v>
      </c>
      <c r="H9" s="5" t="s">
        <v>5326</v>
      </c>
      <c r="I9" s="5" t="s">
        <v>933</v>
      </c>
      <c r="J9" s="5" t="s">
        <v>5331</v>
      </c>
      <c r="K9" s="5" t="s">
        <v>5327</v>
      </c>
      <c r="L9" s="5" t="s">
        <v>5352</v>
      </c>
      <c r="M9" s="5" t="s">
        <v>5353</v>
      </c>
      <c r="N9" s="33" t="s">
        <v>47</v>
      </c>
      <c r="O9" s="2" t="s">
        <v>5292</v>
      </c>
      <c r="P9" s="12">
        <v>46058</v>
      </c>
    </row>
    <row r="10" spans="1:22" ht="135">
      <c r="A10" s="1">
        <v>9</v>
      </c>
      <c r="B10" s="5" t="s">
        <v>5328</v>
      </c>
      <c r="C10" s="5"/>
      <c r="D10" s="5"/>
      <c r="E10" s="5" t="s">
        <v>30</v>
      </c>
      <c r="F10" s="5" t="s">
        <v>22</v>
      </c>
      <c r="G10" s="5" t="s">
        <v>5287</v>
      </c>
      <c r="H10" s="9" t="s">
        <v>5329</v>
      </c>
      <c r="I10" s="5" t="s">
        <v>933</v>
      </c>
      <c r="J10" s="121" t="s">
        <v>5330</v>
      </c>
      <c r="K10" s="1" t="s">
        <v>5332</v>
      </c>
      <c r="L10" s="5" t="s">
        <v>5333</v>
      </c>
      <c r="M10" s="1" t="s">
        <v>5334</v>
      </c>
      <c r="N10" s="33" t="s">
        <v>47</v>
      </c>
      <c r="O10" s="2" t="s">
        <v>5292</v>
      </c>
      <c r="P10" s="12">
        <v>46058</v>
      </c>
    </row>
    <row r="11" spans="1:22" ht="180">
      <c r="A11" s="1">
        <v>10</v>
      </c>
      <c r="B11" s="5" t="s">
        <v>5335</v>
      </c>
      <c r="C11" s="5"/>
      <c r="D11" s="5"/>
      <c r="E11" s="5" t="s">
        <v>30</v>
      </c>
      <c r="F11" s="5" t="s">
        <v>22</v>
      </c>
      <c r="G11" s="5" t="s">
        <v>5287</v>
      </c>
      <c r="H11" s="9" t="s">
        <v>5336</v>
      </c>
      <c r="I11" s="5" t="s">
        <v>933</v>
      </c>
      <c r="J11" s="121" t="s">
        <v>5337</v>
      </c>
      <c r="K11" s="126" t="s">
        <v>255</v>
      </c>
      <c r="L11" s="118" t="s">
        <v>5238</v>
      </c>
      <c r="M11" s="118" t="s">
        <v>5338</v>
      </c>
      <c r="N11" s="33" t="s">
        <v>47</v>
      </c>
      <c r="O11" s="2" t="s">
        <v>5292</v>
      </c>
      <c r="P11" s="12">
        <v>46058</v>
      </c>
    </row>
    <row r="12" spans="1:22" ht="195">
      <c r="A12" s="1">
        <v>11</v>
      </c>
      <c r="B12" s="5" t="s">
        <v>5339</v>
      </c>
      <c r="C12" s="5"/>
      <c r="D12" s="5"/>
      <c r="E12" s="5" t="s">
        <v>30</v>
      </c>
      <c r="F12" s="5" t="s">
        <v>22</v>
      </c>
      <c r="G12" s="5" t="s">
        <v>5287</v>
      </c>
      <c r="H12" s="5" t="s">
        <v>5340</v>
      </c>
      <c r="I12" s="5" t="s">
        <v>933</v>
      </c>
      <c r="J12" s="5" t="s">
        <v>5341</v>
      </c>
      <c r="K12" s="118" t="s">
        <v>4967</v>
      </c>
      <c r="L12" s="118" t="s">
        <v>5342</v>
      </c>
      <c r="M12" s="118" t="s">
        <v>5343</v>
      </c>
      <c r="N12" s="6" t="s">
        <v>24</v>
      </c>
      <c r="O12" s="2" t="s">
        <v>5292</v>
      </c>
      <c r="P12" s="12">
        <v>46058</v>
      </c>
    </row>
    <row r="13" spans="1:22" ht="270">
      <c r="A13" s="1">
        <v>12</v>
      </c>
      <c r="B13" s="5" t="s">
        <v>5344</v>
      </c>
      <c r="C13" s="5"/>
      <c r="D13" s="5"/>
      <c r="E13" s="5" t="s">
        <v>30</v>
      </c>
      <c r="F13" s="5" t="s">
        <v>22</v>
      </c>
      <c r="G13" s="5" t="s">
        <v>5287</v>
      </c>
      <c r="H13" s="5" t="s">
        <v>5345</v>
      </c>
      <c r="I13" s="5" t="s">
        <v>933</v>
      </c>
      <c r="J13" s="5" t="s">
        <v>5346</v>
      </c>
      <c r="K13" s="118" t="s">
        <v>4967</v>
      </c>
      <c r="L13" s="5" t="s">
        <v>5168</v>
      </c>
      <c r="M13" s="1" t="s">
        <v>5347</v>
      </c>
      <c r="N13" s="33" t="s">
        <v>47</v>
      </c>
      <c r="O13" s="2" t="s">
        <v>5292</v>
      </c>
      <c r="P13" s="12">
        <v>46058</v>
      </c>
    </row>
    <row r="14" spans="1:22" ht="90">
      <c r="A14" s="1">
        <v>13</v>
      </c>
      <c r="B14" s="5" t="s">
        <v>5348</v>
      </c>
      <c r="C14" s="5"/>
      <c r="D14" s="5"/>
      <c r="E14" s="5" t="s">
        <v>30</v>
      </c>
      <c r="F14" s="5" t="s">
        <v>22</v>
      </c>
      <c r="G14" s="5" t="s">
        <v>5287</v>
      </c>
      <c r="H14" s="5" t="s">
        <v>5349</v>
      </c>
      <c r="I14" s="5" t="s">
        <v>933</v>
      </c>
      <c r="J14" s="5" t="s">
        <v>5350</v>
      </c>
      <c r="K14" s="5" t="s">
        <v>890</v>
      </c>
      <c r="L14" s="5" t="s">
        <v>5042</v>
      </c>
      <c r="M14" s="5" t="s">
        <v>1773</v>
      </c>
      <c r="N14" s="6" t="s">
        <v>24</v>
      </c>
      <c r="O14" s="2" t="s">
        <v>5292</v>
      </c>
      <c r="P14" s="12">
        <v>46058</v>
      </c>
    </row>
    <row r="15" spans="1:22" ht="90">
      <c r="A15" s="1">
        <v>14</v>
      </c>
      <c r="B15" s="5" t="s">
        <v>5351</v>
      </c>
      <c r="C15" s="5"/>
      <c r="D15" s="5"/>
      <c r="E15" s="5" t="s">
        <v>30</v>
      </c>
      <c r="F15" s="5" t="s">
        <v>22</v>
      </c>
      <c r="G15" s="5" t="s">
        <v>5287</v>
      </c>
      <c r="H15" s="5" t="s">
        <v>5354</v>
      </c>
      <c r="I15" s="5" t="s">
        <v>933</v>
      </c>
      <c r="J15" s="1" t="s">
        <v>5355</v>
      </c>
      <c r="K15" s="1" t="s">
        <v>5180</v>
      </c>
      <c r="L15" s="1" t="s">
        <v>5173</v>
      </c>
      <c r="M15" s="1" t="s">
        <v>5174</v>
      </c>
      <c r="N15" s="6" t="s">
        <v>24</v>
      </c>
      <c r="O15" s="2" t="s">
        <v>5292</v>
      </c>
      <c r="P15" s="12">
        <v>46058</v>
      </c>
    </row>
    <row r="16" spans="1:22" ht="90">
      <c r="A16" s="1">
        <v>15</v>
      </c>
      <c r="B16" s="5" t="s">
        <v>5356</v>
      </c>
      <c r="C16" s="5"/>
      <c r="D16" s="5"/>
      <c r="E16" s="5" t="s">
        <v>30</v>
      </c>
      <c r="F16" s="5" t="s">
        <v>22</v>
      </c>
      <c r="G16" s="5" t="s">
        <v>5287</v>
      </c>
      <c r="H16" s="5" t="s">
        <v>5357</v>
      </c>
      <c r="I16" s="5" t="s">
        <v>933</v>
      </c>
      <c r="J16" s="1" t="s">
        <v>5358</v>
      </c>
      <c r="K16" s="1" t="s">
        <v>5180</v>
      </c>
      <c r="L16" s="1" t="s">
        <v>5181</v>
      </c>
      <c r="M16" s="1" t="s">
        <v>5182</v>
      </c>
      <c r="N16" s="6" t="s">
        <v>24</v>
      </c>
      <c r="O16" s="2" t="s">
        <v>5292</v>
      </c>
      <c r="P16" s="12">
        <v>46058</v>
      </c>
    </row>
    <row r="17" spans="1:16" ht="90">
      <c r="A17" s="1">
        <v>16</v>
      </c>
      <c r="B17" s="5" t="s">
        <v>5359</v>
      </c>
      <c r="C17" s="5"/>
      <c r="D17" s="5"/>
      <c r="E17" s="5" t="s">
        <v>30</v>
      </c>
      <c r="F17" s="5" t="s">
        <v>22</v>
      </c>
      <c r="G17" s="5" t="s">
        <v>5287</v>
      </c>
      <c r="H17" s="5" t="s">
        <v>5360</v>
      </c>
      <c r="I17" s="5" t="s">
        <v>933</v>
      </c>
      <c r="J17" s="1" t="s">
        <v>5361</v>
      </c>
      <c r="K17" s="1" t="s">
        <v>255</v>
      </c>
      <c r="L17" s="1" t="s">
        <v>5187</v>
      </c>
      <c r="M17" s="1" t="s">
        <v>5188</v>
      </c>
      <c r="N17" s="6" t="s">
        <v>24</v>
      </c>
      <c r="O17" s="2" t="s">
        <v>5292</v>
      </c>
      <c r="P17" s="12">
        <v>46058</v>
      </c>
    </row>
    <row r="18" spans="1:16" ht="105">
      <c r="A18" s="1">
        <v>17</v>
      </c>
      <c r="B18" s="5" t="s">
        <v>5362</v>
      </c>
      <c r="C18" s="5"/>
      <c r="D18" s="5"/>
      <c r="E18" s="5" t="s">
        <v>30</v>
      </c>
      <c r="F18" s="5" t="s">
        <v>22</v>
      </c>
      <c r="G18" s="5" t="s">
        <v>5287</v>
      </c>
      <c r="H18" s="5" t="s">
        <v>5363</v>
      </c>
      <c r="I18" s="5" t="s">
        <v>933</v>
      </c>
      <c r="J18" s="1" t="s">
        <v>5364</v>
      </c>
      <c r="K18" s="1" t="s">
        <v>255</v>
      </c>
      <c r="L18" s="1" t="s">
        <v>5192</v>
      </c>
      <c r="M18" s="1" t="s">
        <v>5193</v>
      </c>
      <c r="N18" s="6" t="s">
        <v>24</v>
      </c>
      <c r="O18" s="2" t="s">
        <v>5292</v>
      </c>
      <c r="P18" s="12">
        <v>46058</v>
      </c>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dimension ref="A1:V26"/>
  <sheetViews>
    <sheetView topLeftCell="I22" workbookViewId="0">
      <selection activeCell="K25" sqref="K25"/>
    </sheetView>
  </sheetViews>
  <sheetFormatPr defaultRowHeight="15"/>
  <cols>
    <col min="1" max="1" width="9.5703125" customWidth="1"/>
    <col min="2" max="2" width="17.140625" customWidth="1"/>
    <col min="3" max="3" width="11.28515625" customWidth="1"/>
    <col min="4" max="4" width="21.28515625" customWidth="1"/>
    <col min="5" max="5" width="14" customWidth="1"/>
    <col min="6" max="6" width="11.5703125" customWidth="1"/>
    <col min="7" max="7" width="24.140625" customWidth="1"/>
    <col min="8" max="8" width="57.42578125" customWidth="1"/>
    <col min="9" max="9" width="45.5703125" customWidth="1"/>
    <col min="10" max="10" width="48.42578125" customWidth="1"/>
    <col min="11" max="11" width="32.28515625" customWidth="1"/>
    <col min="12" max="12" width="62.7109375" customWidth="1"/>
    <col min="13" max="13" width="52" customWidth="1"/>
    <col min="14" max="14" width="17.5703125" customWidth="1"/>
    <col min="15" max="15" width="36.85546875" customWidth="1"/>
    <col min="16" max="16" width="19.5703125" customWidth="1"/>
    <col min="17" max="17" width="13.42578125" customWidth="1"/>
    <col min="18" max="18" width="15" customWidth="1"/>
    <col min="19" max="19" width="18.5703125" customWidth="1"/>
    <col min="20" max="20" width="21.28515625" customWidth="1"/>
    <col min="21" max="21" width="25.140625" customWidth="1"/>
    <col min="22" max="22" width="13.42578125" customWidth="1"/>
  </cols>
  <sheetData>
    <row r="1" spans="1:22" s="92"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5366</v>
      </c>
      <c r="C2" s="5"/>
      <c r="D2" s="5"/>
      <c r="E2" s="5" t="s">
        <v>30</v>
      </c>
      <c r="F2" s="5" t="s">
        <v>22</v>
      </c>
      <c r="G2" s="5" t="s">
        <v>5367</v>
      </c>
      <c r="H2" s="5" t="s">
        <v>5368</v>
      </c>
      <c r="I2" s="5" t="s">
        <v>933</v>
      </c>
      <c r="J2" s="5" t="s">
        <v>5369</v>
      </c>
      <c r="K2" s="5" t="s">
        <v>5198</v>
      </c>
      <c r="L2" s="5" t="s">
        <v>5370</v>
      </c>
      <c r="M2" s="5" t="s">
        <v>5371</v>
      </c>
      <c r="N2" s="6" t="s">
        <v>24</v>
      </c>
      <c r="O2" s="2" t="s">
        <v>5372</v>
      </c>
      <c r="P2" s="12">
        <v>46059</v>
      </c>
      <c r="Q2" s="5"/>
      <c r="R2" s="5"/>
      <c r="S2" s="5"/>
      <c r="T2" s="5"/>
      <c r="U2" s="5"/>
      <c r="V2" s="5"/>
    </row>
    <row r="3" spans="1:22" ht="210">
      <c r="A3" s="1">
        <v>2</v>
      </c>
      <c r="B3" s="5" t="s">
        <v>5373</v>
      </c>
      <c r="C3" s="5"/>
      <c r="D3" s="5"/>
      <c r="E3" s="5" t="s">
        <v>30</v>
      </c>
      <c r="F3" s="5" t="s">
        <v>22</v>
      </c>
      <c r="G3" s="5" t="s">
        <v>5367</v>
      </c>
      <c r="H3" s="121" t="s">
        <v>5379</v>
      </c>
      <c r="I3" s="5" t="s">
        <v>933</v>
      </c>
      <c r="J3" s="121" t="s">
        <v>5374</v>
      </c>
      <c r="K3" s="121" t="s">
        <v>5375</v>
      </c>
      <c r="L3" s="5" t="s">
        <v>5376</v>
      </c>
      <c r="M3" s="5" t="s">
        <v>5377</v>
      </c>
      <c r="N3" s="129" t="s">
        <v>47</v>
      </c>
      <c r="O3" s="2" t="s">
        <v>5372</v>
      </c>
      <c r="P3" s="12">
        <v>46059</v>
      </c>
    </row>
    <row r="4" spans="1:22" ht="300">
      <c r="A4" s="1">
        <v>3</v>
      </c>
      <c r="B4" s="5" t="s">
        <v>5378</v>
      </c>
      <c r="C4" s="5"/>
      <c r="D4" s="5"/>
      <c r="E4" s="5" t="s">
        <v>30</v>
      </c>
      <c r="F4" s="5" t="s">
        <v>22</v>
      </c>
      <c r="G4" s="5" t="s">
        <v>5367</v>
      </c>
      <c r="H4" s="118" t="s">
        <v>5385</v>
      </c>
      <c r="I4" s="5" t="s">
        <v>933</v>
      </c>
      <c r="J4" s="130" t="s">
        <v>5380</v>
      </c>
      <c r="K4" s="127" t="s">
        <v>255</v>
      </c>
      <c r="L4" s="118" t="s">
        <v>5381</v>
      </c>
      <c r="M4" s="118" t="s">
        <v>5382</v>
      </c>
      <c r="N4" s="129" t="s">
        <v>47</v>
      </c>
      <c r="O4" s="2" t="s">
        <v>5372</v>
      </c>
      <c r="P4" s="12">
        <v>46059</v>
      </c>
    </row>
    <row r="5" spans="1:22" ht="105">
      <c r="A5" s="1">
        <v>4</v>
      </c>
      <c r="B5" s="5" t="s">
        <v>5383</v>
      </c>
      <c r="C5" s="5"/>
      <c r="D5" s="5"/>
      <c r="E5" s="5" t="s">
        <v>30</v>
      </c>
      <c r="F5" s="5" t="s">
        <v>22</v>
      </c>
      <c r="G5" s="5" t="s">
        <v>5367</v>
      </c>
      <c r="H5" s="127" t="s">
        <v>5386</v>
      </c>
      <c r="I5" s="5" t="s">
        <v>933</v>
      </c>
      <c r="J5" s="121" t="s">
        <v>5387</v>
      </c>
      <c r="K5" s="121" t="s">
        <v>5107</v>
      </c>
      <c r="L5" s="5" t="s">
        <v>5388</v>
      </c>
      <c r="M5" s="1" t="s">
        <v>5389</v>
      </c>
      <c r="N5" s="131" t="s">
        <v>333</v>
      </c>
      <c r="O5" s="2" t="s">
        <v>5372</v>
      </c>
      <c r="P5" s="12">
        <v>46059</v>
      </c>
    </row>
    <row r="6" spans="1:22" ht="90">
      <c r="A6" s="1">
        <v>5</v>
      </c>
      <c r="B6" s="5" t="s">
        <v>5394</v>
      </c>
      <c r="C6" s="5"/>
      <c r="D6" s="5"/>
      <c r="E6" s="5" t="s">
        <v>30</v>
      </c>
      <c r="F6" s="5" t="s">
        <v>22</v>
      </c>
      <c r="G6" s="5" t="s">
        <v>5367</v>
      </c>
      <c r="H6" s="127" t="s">
        <v>5390</v>
      </c>
      <c r="I6" s="5" t="s">
        <v>933</v>
      </c>
      <c r="J6" s="121" t="s">
        <v>5391</v>
      </c>
      <c r="K6" s="121" t="s">
        <v>5107</v>
      </c>
      <c r="L6" s="5" t="s">
        <v>5392</v>
      </c>
      <c r="M6" s="118" t="s">
        <v>5393</v>
      </c>
      <c r="N6" s="131" t="s">
        <v>333</v>
      </c>
      <c r="O6" s="2" t="s">
        <v>5372</v>
      </c>
      <c r="P6" s="12">
        <v>46059</v>
      </c>
    </row>
    <row r="7" spans="1:22" ht="90">
      <c r="A7" s="1">
        <v>6</v>
      </c>
      <c r="B7" s="5" t="s">
        <v>5394</v>
      </c>
      <c r="C7" s="5"/>
      <c r="D7" s="5"/>
      <c r="E7" s="5" t="s">
        <v>30</v>
      </c>
      <c r="F7" s="5" t="s">
        <v>22</v>
      </c>
      <c r="G7" s="5" t="s">
        <v>5367</v>
      </c>
      <c r="H7" s="127" t="s">
        <v>5395</v>
      </c>
      <c r="I7" s="5" t="s">
        <v>933</v>
      </c>
      <c r="J7" s="121" t="s">
        <v>5396</v>
      </c>
      <c r="K7" s="121" t="s">
        <v>5107</v>
      </c>
      <c r="L7" s="5" t="s">
        <v>5397</v>
      </c>
      <c r="M7" s="118" t="s">
        <v>5398</v>
      </c>
      <c r="N7" s="131" t="s">
        <v>333</v>
      </c>
      <c r="O7" s="2" t="s">
        <v>5372</v>
      </c>
      <c r="P7" s="12">
        <v>46059</v>
      </c>
    </row>
    <row r="8" spans="1:22" ht="195">
      <c r="A8" s="1">
        <v>7</v>
      </c>
      <c r="B8" s="5" t="s">
        <v>5399</v>
      </c>
      <c r="C8" s="5"/>
      <c r="D8" s="5"/>
      <c r="E8" s="5" t="s">
        <v>30</v>
      </c>
      <c r="F8" s="5" t="s">
        <v>22</v>
      </c>
      <c r="G8" s="5" t="s">
        <v>5367</v>
      </c>
      <c r="H8" s="127" t="s">
        <v>5400</v>
      </c>
      <c r="I8" s="5" t="s">
        <v>933</v>
      </c>
      <c r="J8" s="121" t="s">
        <v>5402</v>
      </c>
      <c r="K8" s="1" t="s">
        <v>5401</v>
      </c>
      <c r="L8" s="1" t="s">
        <v>5405</v>
      </c>
      <c r="M8" s="1" t="s">
        <v>5406</v>
      </c>
      <c r="N8" s="132" t="s">
        <v>5410</v>
      </c>
      <c r="O8" s="2" t="s">
        <v>5372</v>
      </c>
      <c r="P8" s="12">
        <v>46059</v>
      </c>
    </row>
    <row r="9" spans="1:22" ht="195">
      <c r="A9" s="1">
        <v>8</v>
      </c>
      <c r="B9" s="5" t="s">
        <v>5403</v>
      </c>
      <c r="C9" s="5"/>
      <c r="D9" s="5"/>
      <c r="E9" s="5" t="s">
        <v>30</v>
      </c>
      <c r="F9" s="5" t="s">
        <v>22</v>
      </c>
      <c r="G9" s="5" t="s">
        <v>5367</v>
      </c>
      <c r="H9" s="127" t="s">
        <v>5404</v>
      </c>
      <c r="I9" s="5" t="s">
        <v>933</v>
      </c>
      <c r="J9" s="121" t="s">
        <v>5407</v>
      </c>
      <c r="K9" s="1" t="s">
        <v>5408</v>
      </c>
      <c r="L9" s="1" t="s">
        <v>5409</v>
      </c>
      <c r="M9" s="1" t="s">
        <v>5411</v>
      </c>
      <c r="N9" s="132" t="s">
        <v>5410</v>
      </c>
      <c r="O9" s="2" t="s">
        <v>5372</v>
      </c>
      <c r="P9" s="12">
        <v>46059</v>
      </c>
    </row>
    <row r="10" spans="1:22" ht="90">
      <c r="A10" s="1">
        <v>9</v>
      </c>
      <c r="B10" s="5" t="s">
        <v>5412</v>
      </c>
      <c r="C10" s="5"/>
      <c r="D10" s="5"/>
      <c r="E10" s="5" t="s">
        <v>30</v>
      </c>
      <c r="F10" s="5" t="s">
        <v>22</v>
      </c>
      <c r="G10" s="5" t="s">
        <v>5367</v>
      </c>
      <c r="H10" s="127" t="s">
        <v>5413</v>
      </c>
      <c r="I10" s="5" t="s">
        <v>933</v>
      </c>
      <c r="J10" s="121" t="s">
        <v>5414</v>
      </c>
      <c r="K10" s="121" t="s">
        <v>5107</v>
      </c>
      <c r="L10" s="5" t="s">
        <v>5415</v>
      </c>
      <c r="M10" s="118" t="s">
        <v>5416</v>
      </c>
      <c r="N10" s="131" t="s">
        <v>333</v>
      </c>
      <c r="O10" s="2" t="s">
        <v>5372</v>
      </c>
      <c r="P10" s="12">
        <v>46059</v>
      </c>
    </row>
    <row r="11" spans="1:22" ht="105">
      <c r="A11" s="1">
        <v>10</v>
      </c>
      <c r="B11" s="5" t="s">
        <v>5417</v>
      </c>
      <c r="C11" s="5"/>
      <c r="D11" s="5"/>
      <c r="E11" s="5" t="s">
        <v>30</v>
      </c>
      <c r="F11" s="5" t="s">
        <v>22</v>
      </c>
      <c r="G11" s="5" t="s">
        <v>5367</v>
      </c>
      <c r="H11" s="127" t="s">
        <v>5418</v>
      </c>
      <c r="I11" s="5" t="s">
        <v>933</v>
      </c>
      <c r="J11" s="121" t="s">
        <v>5419</v>
      </c>
      <c r="K11" s="121" t="s">
        <v>5107</v>
      </c>
      <c r="L11" s="5" t="s">
        <v>5420</v>
      </c>
      <c r="M11" s="118" t="s">
        <v>5421</v>
      </c>
      <c r="N11" s="131" t="s">
        <v>333</v>
      </c>
      <c r="O11" s="2" t="s">
        <v>5372</v>
      </c>
      <c r="P11" s="12">
        <v>46059</v>
      </c>
    </row>
    <row r="12" spans="1:22" ht="105">
      <c r="A12" s="1">
        <v>11</v>
      </c>
      <c r="B12" s="5" t="s">
        <v>5422</v>
      </c>
      <c r="C12" s="5"/>
      <c r="D12" s="5"/>
      <c r="E12" s="5" t="s">
        <v>30</v>
      </c>
      <c r="F12" s="5" t="s">
        <v>22</v>
      </c>
      <c r="G12" s="5" t="s">
        <v>5367</v>
      </c>
      <c r="H12" s="127" t="s">
        <v>5423</v>
      </c>
      <c r="I12" s="5" t="s">
        <v>933</v>
      </c>
      <c r="J12" s="121" t="s">
        <v>5424</v>
      </c>
      <c r="K12" s="121" t="s">
        <v>5107</v>
      </c>
      <c r="L12" s="5" t="s">
        <v>5425</v>
      </c>
      <c r="M12" s="118" t="s">
        <v>5426</v>
      </c>
      <c r="N12" s="131" t="s">
        <v>333</v>
      </c>
      <c r="O12" s="2" t="s">
        <v>5372</v>
      </c>
      <c r="P12" s="12">
        <v>46059</v>
      </c>
    </row>
    <row r="13" spans="1:22" ht="105">
      <c r="A13" s="1">
        <v>12</v>
      </c>
      <c r="B13" s="5" t="s">
        <v>5427</v>
      </c>
      <c r="C13" s="5"/>
      <c r="D13" s="5"/>
      <c r="E13" s="5" t="s">
        <v>30</v>
      </c>
      <c r="F13" s="5" t="s">
        <v>22</v>
      </c>
      <c r="G13" s="5" t="s">
        <v>5367</v>
      </c>
      <c r="H13" s="127" t="s">
        <v>5428</v>
      </c>
      <c r="I13" s="5" t="s">
        <v>933</v>
      </c>
      <c r="J13" s="121" t="s">
        <v>5509</v>
      </c>
      <c r="K13" s="121" t="s">
        <v>5107</v>
      </c>
      <c r="L13" s="5" t="s">
        <v>5429</v>
      </c>
      <c r="M13" s="118" t="s">
        <v>5430</v>
      </c>
      <c r="N13" s="131" t="s">
        <v>333</v>
      </c>
      <c r="O13" s="2" t="s">
        <v>5372</v>
      </c>
      <c r="P13" s="12">
        <v>46059</v>
      </c>
    </row>
    <row r="14" spans="1:22" ht="90">
      <c r="A14" s="1">
        <v>13</v>
      </c>
      <c r="B14" s="5" t="s">
        <v>5431</v>
      </c>
      <c r="C14" s="5"/>
      <c r="D14" s="5"/>
      <c r="E14" s="5" t="s">
        <v>30</v>
      </c>
      <c r="F14" s="5" t="s">
        <v>22</v>
      </c>
      <c r="G14" s="5" t="s">
        <v>5367</v>
      </c>
      <c r="H14" s="127" t="s">
        <v>5432</v>
      </c>
      <c r="I14" s="5" t="s">
        <v>933</v>
      </c>
      <c r="J14" s="121" t="s">
        <v>5433</v>
      </c>
      <c r="K14" s="121" t="s">
        <v>5107</v>
      </c>
      <c r="L14" s="5" t="s">
        <v>5434</v>
      </c>
      <c r="M14" s="118" t="s">
        <v>5444</v>
      </c>
      <c r="N14" s="131" t="s">
        <v>333</v>
      </c>
      <c r="O14" s="2" t="s">
        <v>5372</v>
      </c>
      <c r="P14" s="12">
        <v>46059</v>
      </c>
    </row>
    <row r="15" spans="1:22" ht="105">
      <c r="A15" s="1">
        <v>14</v>
      </c>
      <c r="B15" s="5" t="s">
        <v>5435</v>
      </c>
      <c r="C15" s="5"/>
      <c r="D15" s="5"/>
      <c r="E15" s="5" t="s">
        <v>30</v>
      </c>
      <c r="F15" s="5" t="s">
        <v>22</v>
      </c>
      <c r="G15" s="5" t="s">
        <v>5367</v>
      </c>
      <c r="H15" s="127" t="s">
        <v>5436</v>
      </c>
      <c r="I15" s="5" t="s">
        <v>933</v>
      </c>
      <c r="J15" s="121" t="s">
        <v>5437</v>
      </c>
      <c r="K15" s="121" t="s">
        <v>5107</v>
      </c>
      <c r="L15" s="5" t="s">
        <v>5438</v>
      </c>
      <c r="M15" s="118" t="s">
        <v>5439</v>
      </c>
      <c r="N15" s="131" t="s">
        <v>333</v>
      </c>
      <c r="O15" s="2" t="s">
        <v>5372</v>
      </c>
      <c r="P15" s="12">
        <v>46059</v>
      </c>
    </row>
    <row r="16" spans="1:22" ht="90">
      <c r="A16" s="1">
        <v>15</v>
      </c>
      <c r="B16" s="5" t="s">
        <v>5440</v>
      </c>
      <c r="C16" s="5"/>
      <c r="D16" s="5"/>
      <c r="E16" s="5" t="s">
        <v>30</v>
      </c>
      <c r="F16" s="5" t="s">
        <v>22</v>
      </c>
      <c r="G16" s="5" t="s">
        <v>5367</v>
      </c>
      <c r="H16" s="127" t="s">
        <v>5441</v>
      </c>
      <c r="I16" s="5" t="s">
        <v>933</v>
      </c>
      <c r="J16" s="121" t="s">
        <v>5442</v>
      </c>
      <c r="K16" s="121" t="s">
        <v>5107</v>
      </c>
      <c r="L16" s="5" t="s">
        <v>5443</v>
      </c>
      <c r="M16" s="118" t="s">
        <v>5445</v>
      </c>
      <c r="N16" s="131" t="s">
        <v>333</v>
      </c>
      <c r="O16" s="2" t="s">
        <v>5372</v>
      </c>
      <c r="P16" s="12">
        <v>46059</v>
      </c>
    </row>
    <row r="17" spans="1:16" ht="90">
      <c r="A17" s="1">
        <v>16</v>
      </c>
      <c r="B17" s="5" t="s">
        <v>5448</v>
      </c>
      <c r="C17" s="5"/>
      <c r="D17" s="5"/>
      <c r="E17" s="5" t="s">
        <v>30</v>
      </c>
      <c r="F17" s="5" t="s">
        <v>22</v>
      </c>
      <c r="G17" s="5" t="s">
        <v>5367</v>
      </c>
      <c r="H17" s="16" t="s">
        <v>5446</v>
      </c>
      <c r="I17" s="5" t="s">
        <v>933</v>
      </c>
      <c r="J17" s="16" t="s">
        <v>5447</v>
      </c>
      <c r="K17" s="16" t="s">
        <v>5146</v>
      </c>
      <c r="L17" s="16" t="s">
        <v>5018</v>
      </c>
      <c r="M17" s="16" t="s">
        <v>4953</v>
      </c>
      <c r="N17" s="6" t="s">
        <v>24</v>
      </c>
      <c r="O17" s="2" t="s">
        <v>5372</v>
      </c>
      <c r="P17" s="12">
        <v>46060</v>
      </c>
    </row>
    <row r="18" spans="1:16" ht="135">
      <c r="A18" s="1">
        <v>17</v>
      </c>
      <c r="B18" s="5" t="s">
        <v>5452</v>
      </c>
      <c r="C18" s="5"/>
      <c r="D18" s="5"/>
      <c r="E18" s="5" t="s">
        <v>30</v>
      </c>
      <c r="F18" s="5" t="s">
        <v>22</v>
      </c>
      <c r="G18" s="5" t="s">
        <v>5367</v>
      </c>
      <c r="H18" s="9" t="s">
        <v>5453</v>
      </c>
      <c r="I18" s="5" t="s">
        <v>933</v>
      </c>
      <c r="J18" s="121" t="s">
        <v>5449</v>
      </c>
      <c r="K18" s="1" t="s">
        <v>5450</v>
      </c>
      <c r="L18" s="5" t="s">
        <v>5333</v>
      </c>
      <c r="M18" s="1" t="s">
        <v>5451</v>
      </c>
      <c r="N18" s="6" t="s">
        <v>24</v>
      </c>
      <c r="O18" s="2" t="s">
        <v>5372</v>
      </c>
      <c r="P18" s="12">
        <v>46060</v>
      </c>
    </row>
    <row r="19" spans="1:16" ht="150">
      <c r="A19" s="1">
        <v>18</v>
      </c>
      <c r="B19" s="5" t="s">
        <v>5457</v>
      </c>
      <c r="C19" s="5"/>
      <c r="D19" s="5"/>
      <c r="E19" s="5" t="s">
        <v>30</v>
      </c>
      <c r="F19" s="5" t="s">
        <v>22</v>
      </c>
      <c r="G19" s="5" t="s">
        <v>5367</v>
      </c>
      <c r="H19" s="9" t="s">
        <v>5454</v>
      </c>
      <c r="I19" s="5" t="s">
        <v>933</v>
      </c>
      <c r="J19" s="121" t="s">
        <v>5455</v>
      </c>
      <c r="K19" s="126" t="s">
        <v>255</v>
      </c>
      <c r="L19" s="118" t="s">
        <v>5238</v>
      </c>
      <c r="M19" s="118" t="s">
        <v>5456</v>
      </c>
      <c r="N19" s="6" t="s">
        <v>24</v>
      </c>
      <c r="O19" s="2" t="s">
        <v>5372</v>
      </c>
      <c r="P19" s="12">
        <v>46060</v>
      </c>
    </row>
    <row r="20" spans="1:16" ht="240">
      <c r="A20" s="1">
        <v>19</v>
      </c>
      <c r="B20" s="5" t="s">
        <v>5462</v>
      </c>
      <c r="C20" s="5"/>
      <c r="D20" s="5"/>
      <c r="E20" s="5" t="s">
        <v>30</v>
      </c>
      <c r="F20" s="5" t="s">
        <v>22</v>
      </c>
      <c r="G20" s="5" t="s">
        <v>5367</v>
      </c>
      <c r="H20" s="5" t="s">
        <v>5458</v>
      </c>
      <c r="I20" s="5" t="s">
        <v>933</v>
      </c>
      <c r="J20" s="5" t="s">
        <v>5459</v>
      </c>
      <c r="K20" s="118" t="s">
        <v>4967</v>
      </c>
      <c r="L20" s="118" t="s">
        <v>5460</v>
      </c>
      <c r="M20" s="118" t="s">
        <v>5461</v>
      </c>
      <c r="N20" s="129" t="s">
        <v>47</v>
      </c>
      <c r="O20" s="2" t="s">
        <v>5372</v>
      </c>
      <c r="P20" s="12">
        <v>46060</v>
      </c>
    </row>
    <row r="21" spans="1:16" ht="255">
      <c r="A21" s="1">
        <v>20</v>
      </c>
      <c r="B21" s="5" t="s">
        <v>5466</v>
      </c>
      <c r="C21" s="5"/>
      <c r="D21" s="5"/>
      <c r="E21" s="5" t="s">
        <v>30</v>
      </c>
      <c r="F21" s="5" t="s">
        <v>22</v>
      </c>
      <c r="G21" s="5" t="s">
        <v>5367</v>
      </c>
      <c r="H21" s="5" t="s">
        <v>5463</v>
      </c>
      <c r="I21" s="5" t="s">
        <v>933</v>
      </c>
      <c r="J21" s="5" t="s">
        <v>5464</v>
      </c>
      <c r="K21" s="118" t="s">
        <v>4967</v>
      </c>
      <c r="L21" s="5" t="s">
        <v>5168</v>
      </c>
      <c r="M21" s="1" t="s">
        <v>5465</v>
      </c>
      <c r="N21" s="129" t="s">
        <v>47</v>
      </c>
      <c r="O21" s="2" t="s">
        <v>5372</v>
      </c>
      <c r="P21" s="12">
        <v>46060</v>
      </c>
    </row>
    <row r="22" spans="1:16" ht="90">
      <c r="A22" s="1">
        <v>21</v>
      </c>
      <c r="B22" s="5" t="s">
        <v>5467</v>
      </c>
      <c r="C22" s="5"/>
      <c r="D22" s="5"/>
      <c r="E22" s="5" t="s">
        <v>30</v>
      </c>
      <c r="F22" s="5" t="s">
        <v>22</v>
      </c>
      <c r="G22" s="5" t="s">
        <v>5367</v>
      </c>
      <c r="H22" s="5" t="s">
        <v>5468</v>
      </c>
      <c r="I22" s="5" t="s">
        <v>933</v>
      </c>
      <c r="J22" s="5" t="s">
        <v>5469</v>
      </c>
      <c r="K22" s="5" t="s">
        <v>890</v>
      </c>
      <c r="L22" s="5" t="s">
        <v>5042</v>
      </c>
      <c r="M22" s="5" t="s">
        <v>1773</v>
      </c>
      <c r="N22" s="6" t="s">
        <v>24</v>
      </c>
      <c r="O22" s="2" t="s">
        <v>5372</v>
      </c>
      <c r="P22" s="12">
        <v>46060</v>
      </c>
    </row>
    <row r="23" spans="1:16" ht="105">
      <c r="A23" s="1">
        <v>22</v>
      </c>
      <c r="B23" s="5" t="s">
        <v>5470</v>
      </c>
      <c r="C23" s="5"/>
      <c r="D23" s="5"/>
      <c r="E23" s="5" t="s">
        <v>30</v>
      </c>
      <c r="F23" s="5" t="s">
        <v>22</v>
      </c>
      <c r="G23" s="5" t="s">
        <v>5367</v>
      </c>
      <c r="H23" s="5" t="s">
        <v>5471</v>
      </c>
      <c r="I23" s="5" t="s">
        <v>933</v>
      </c>
      <c r="J23" s="1" t="s">
        <v>5472</v>
      </c>
      <c r="K23" s="1" t="s">
        <v>5180</v>
      </c>
      <c r="L23" s="1" t="s">
        <v>5173</v>
      </c>
      <c r="M23" s="1" t="s">
        <v>5174</v>
      </c>
      <c r="N23" s="6" t="s">
        <v>24</v>
      </c>
      <c r="O23" s="2" t="s">
        <v>5372</v>
      </c>
      <c r="P23" s="12">
        <v>46060</v>
      </c>
    </row>
    <row r="24" spans="1:16" ht="105">
      <c r="A24" s="1">
        <v>23</v>
      </c>
      <c r="B24" s="5" t="s">
        <v>5479</v>
      </c>
      <c r="C24" s="5"/>
      <c r="D24" s="5"/>
      <c r="E24" s="5" t="s">
        <v>30</v>
      </c>
      <c r="F24" s="5" t="s">
        <v>22</v>
      </c>
      <c r="G24" s="5" t="s">
        <v>5367</v>
      </c>
      <c r="H24" s="5" t="s">
        <v>5473</v>
      </c>
      <c r="I24" s="5" t="s">
        <v>933</v>
      </c>
      <c r="J24" s="1" t="s">
        <v>5474</v>
      </c>
      <c r="K24" s="1" t="s">
        <v>5180</v>
      </c>
      <c r="L24" s="1" t="s">
        <v>5181</v>
      </c>
      <c r="M24" s="1" t="s">
        <v>5182</v>
      </c>
      <c r="N24" s="6" t="s">
        <v>24</v>
      </c>
      <c r="O24" s="2" t="s">
        <v>5372</v>
      </c>
      <c r="P24" s="12">
        <v>46060</v>
      </c>
    </row>
    <row r="25" spans="1:16" ht="105">
      <c r="A25" s="1">
        <v>24</v>
      </c>
      <c r="B25" s="5" t="s">
        <v>5480</v>
      </c>
      <c r="C25" s="5"/>
      <c r="D25" s="5"/>
      <c r="E25" s="5" t="s">
        <v>30</v>
      </c>
      <c r="F25" s="5" t="s">
        <v>22</v>
      </c>
      <c r="G25" s="5" t="s">
        <v>5367</v>
      </c>
      <c r="H25" s="5" t="s">
        <v>5475</v>
      </c>
      <c r="I25" s="5" t="s">
        <v>933</v>
      </c>
      <c r="J25" s="1" t="s">
        <v>5476</v>
      </c>
      <c r="K25" s="1" t="s">
        <v>255</v>
      </c>
      <c r="L25" s="1" t="s">
        <v>5187</v>
      </c>
      <c r="M25" s="1" t="s">
        <v>5188</v>
      </c>
      <c r="N25" s="6" t="s">
        <v>24</v>
      </c>
      <c r="O25" s="2" t="s">
        <v>5372</v>
      </c>
      <c r="P25" s="12">
        <v>46060</v>
      </c>
    </row>
    <row r="26" spans="1:16" ht="105">
      <c r="A26" s="1">
        <v>25</v>
      </c>
      <c r="B26" s="5" t="s">
        <v>5481</v>
      </c>
      <c r="C26" s="5"/>
      <c r="D26" s="5"/>
      <c r="E26" s="5" t="s">
        <v>30</v>
      </c>
      <c r="F26" s="5" t="s">
        <v>22</v>
      </c>
      <c r="G26" s="5" t="s">
        <v>5367</v>
      </c>
      <c r="H26" s="5" t="s">
        <v>5477</v>
      </c>
      <c r="I26" s="5" t="s">
        <v>933</v>
      </c>
      <c r="J26" s="1" t="s">
        <v>5478</v>
      </c>
      <c r="K26" s="1" t="s">
        <v>255</v>
      </c>
      <c r="L26" s="1" t="s">
        <v>5192</v>
      </c>
      <c r="M26" s="1" t="s">
        <v>5193</v>
      </c>
      <c r="N26" s="6" t="s">
        <v>24</v>
      </c>
      <c r="O26" s="2" t="s">
        <v>5372</v>
      </c>
      <c r="P26" s="12">
        <v>46060</v>
      </c>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dimension ref="A1:V20"/>
  <sheetViews>
    <sheetView topLeftCell="I1" workbookViewId="0">
      <selection activeCell="J3" sqref="J3:M3"/>
    </sheetView>
  </sheetViews>
  <sheetFormatPr defaultRowHeight="15"/>
  <cols>
    <col min="1" max="1" width="7.28515625" customWidth="1"/>
    <col min="2" max="2" width="19.140625" customWidth="1"/>
    <col min="3" max="3" width="10.85546875" customWidth="1"/>
    <col min="4" max="4" width="20.5703125" customWidth="1"/>
    <col min="5" max="5" width="13.140625" customWidth="1"/>
    <col min="6" max="6" width="10.5703125" customWidth="1"/>
    <col min="7" max="7" width="26.42578125" customWidth="1"/>
    <col min="8" max="8" width="54.42578125" customWidth="1"/>
    <col min="9" max="9" width="43.140625" customWidth="1"/>
    <col min="10" max="10" width="50.5703125" customWidth="1"/>
    <col min="11" max="11" width="37.42578125" customWidth="1"/>
    <col min="12" max="12" width="60.85546875" customWidth="1"/>
    <col min="13" max="13" width="52.85546875" customWidth="1"/>
    <col min="14" max="14" width="12.5703125" customWidth="1"/>
    <col min="15" max="15" width="35.28515625" customWidth="1"/>
    <col min="16" max="16" width="19" customWidth="1"/>
    <col min="17" max="17" width="13.85546875" customWidth="1"/>
    <col min="18" max="18" width="14.85546875" customWidth="1"/>
    <col min="19" max="19" width="17" customWidth="1"/>
    <col min="20" max="20" width="22" customWidth="1"/>
    <col min="21" max="21" width="24.5703125" customWidth="1"/>
    <col min="22" max="22" width="15.42578125" customWidth="1"/>
  </cols>
  <sheetData>
    <row r="1" spans="1:22" s="92"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5483</v>
      </c>
      <c r="C2" s="5"/>
      <c r="D2" s="5"/>
      <c r="E2" s="5" t="s">
        <v>30</v>
      </c>
      <c r="F2" s="5" t="s">
        <v>22</v>
      </c>
      <c r="G2" s="5" t="s">
        <v>5484</v>
      </c>
      <c r="H2" s="5" t="s">
        <v>5485</v>
      </c>
      <c r="I2" s="5" t="s">
        <v>933</v>
      </c>
      <c r="J2" s="5" t="s">
        <v>5486</v>
      </c>
      <c r="K2" s="5" t="s">
        <v>5198</v>
      </c>
      <c r="L2" s="5" t="s">
        <v>5487</v>
      </c>
      <c r="M2" s="5" t="s">
        <v>5488</v>
      </c>
      <c r="N2" s="6" t="s">
        <v>24</v>
      </c>
      <c r="O2" s="2" t="s">
        <v>5372</v>
      </c>
      <c r="P2" s="12">
        <v>46060</v>
      </c>
      <c r="Q2" s="5"/>
      <c r="R2" s="5"/>
      <c r="S2" s="5"/>
      <c r="T2" s="5"/>
      <c r="U2" s="5"/>
      <c r="V2" s="5"/>
    </row>
    <row r="3" spans="1:22" ht="150">
      <c r="A3" s="1">
        <v>2</v>
      </c>
      <c r="B3" s="5" t="s">
        <v>5489</v>
      </c>
      <c r="C3" s="5"/>
      <c r="D3" s="5"/>
      <c r="E3" s="5" t="s">
        <v>30</v>
      </c>
      <c r="F3" s="5" t="s">
        <v>22</v>
      </c>
      <c r="G3" s="5" t="s">
        <v>5484</v>
      </c>
      <c r="H3" s="121" t="s">
        <v>5490</v>
      </c>
      <c r="I3" s="5" t="s">
        <v>933</v>
      </c>
      <c r="J3" s="121" t="s">
        <v>5492</v>
      </c>
      <c r="K3" s="121" t="s">
        <v>5491</v>
      </c>
      <c r="L3" s="5" t="s">
        <v>5493</v>
      </c>
      <c r="M3" s="5" t="s">
        <v>5494</v>
      </c>
      <c r="N3" s="6" t="s">
        <v>24</v>
      </c>
      <c r="O3" s="2" t="s">
        <v>5372</v>
      </c>
      <c r="P3" s="12">
        <v>46060</v>
      </c>
    </row>
    <row r="4" spans="1:22" ht="105">
      <c r="A4" s="1">
        <v>3</v>
      </c>
      <c r="B4" s="5" t="s">
        <v>5495</v>
      </c>
      <c r="C4" s="5"/>
      <c r="D4" s="5"/>
      <c r="E4" s="5" t="s">
        <v>30</v>
      </c>
      <c r="F4" s="5" t="s">
        <v>22</v>
      </c>
      <c r="G4" s="5" t="s">
        <v>5484</v>
      </c>
      <c r="H4" s="5" t="s">
        <v>5496</v>
      </c>
      <c r="I4" s="5" t="s">
        <v>933</v>
      </c>
      <c r="J4" s="5" t="s">
        <v>5497</v>
      </c>
      <c r="K4" s="5" t="s">
        <v>255</v>
      </c>
      <c r="L4" s="5" t="s">
        <v>5300</v>
      </c>
      <c r="M4" s="5" t="s">
        <v>5301</v>
      </c>
      <c r="N4" s="6" t="s">
        <v>24</v>
      </c>
      <c r="O4" s="2" t="s">
        <v>5372</v>
      </c>
      <c r="P4" s="12">
        <v>46060</v>
      </c>
    </row>
    <row r="5" spans="1:22" ht="90">
      <c r="A5" s="1">
        <v>4</v>
      </c>
      <c r="B5" s="5" t="s">
        <v>5498</v>
      </c>
      <c r="C5" s="5"/>
      <c r="D5" s="5"/>
      <c r="E5" s="5" t="s">
        <v>30</v>
      </c>
      <c r="F5" s="5" t="s">
        <v>22</v>
      </c>
      <c r="G5" s="5" t="s">
        <v>5484</v>
      </c>
      <c r="H5" s="5" t="s">
        <v>5499</v>
      </c>
      <c r="I5" s="1" t="s">
        <v>933</v>
      </c>
      <c r="J5" s="1" t="s">
        <v>5500</v>
      </c>
      <c r="K5" s="1" t="s">
        <v>255</v>
      </c>
      <c r="L5" s="1" t="s">
        <v>5501</v>
      </c>
      <c r="M5" s="1" t="s">
        <v>4918</v>
      </c>
      <c r="N5" s="6" t="s">
        <v>24</v>
      </c>
      <c r="O5" s="2" t="s">
        <v>5372</v>
      </c>
      <c r="P5" s="12">
        <v>46060</v>
      </c>
    </row>
    <row r="6" spans="1:22" ht="90">
      <c r="A6" s="1">
        <v>5</v>
      </c>
      <c r="B6" s="5" t="s">
        <v>5502</v>
      </c>
      <c r="C6" s="5"/>
      <c r="D6" s="5"/>
      <c r="E6" s="5" t="s">
        <v>30</v>
      </c>
      <c r="F6" s="5" t="s">
        <v>22</v>
      </c>
      <c r="G6" s="5" t="s">
        <v>5484</v>
      </c>
      <c r="H6" s="127" t="s">
        <v>5503</v>
      </c>
      <c r="I6" s="5" t="s">
        <v>933</v>
      </c>
      <c r="J6" s="121" t="s">
        <v>5504</v>
      </c>
      <c r="K6" s="121" t="s">
        <v>5107</v>
      </c>
      <c r="L6" s="5" t="s">
        <v>5392</v>
      </c>
      <c r="M6" s="118" t="s">
        <v>5505</v>
      </c>
      <c r="N6" s="6" t="s">
        <v>24</v>
      </c>
      <c r="O6" s="2" t="s">
        <v>5372</v>
      </c>
      <c r="P6" s="12">
        <v>46060</v>
      </c>
    </row>
    <row r="7" spans="1:22" ht="105">
      <c r="A7" s="1">
        <v>6</v>
      </c>
      <c r="B7" s="5" t="s">
        <v>5506</v>
      </c>
      <c r="C7" s="5"/>
      <c r="D7" s="5"/>
      <c r="E7" s="5" t="s">
        <v>30</v>
      </c>
      <c r="F7" s="5" t="s">
        <v>22</v>
      </c>
      <c r="G7" s="5" t="s">
        <v>5484</v>
      </c>
      <c r="H7" s="127" t="s">
        <v>5507</v>
      </c>
      <c r="I7" s="5" t="s">
        <v>933</v>
      </c>
      <c r="J7" s="121" t="s">
        <v>5508</v>
      </c>
      <c r="K7" s="121" t="s">
        <v>5107</v>
      </c>
      <c r="L7" s="5" t="s">
        <v>5510</v>
      </c>
      <c r="M7" s="118" t="s">
        <v>5511</v>
      </c>
      <c r="N7" s="6" t="s">
        <v>24</v>
      </c>
      <c r="O7" s="2" t="s">
        <v>5372</v>
      </c>
      <c r="P7" s="12">
        <v>46060</v>
      </c>
    </row>
    <row r="8" spans="1:22" ht="105">
      <c r="A8" s="1">
        <v>7</v>
      </c>
      <c r="B8" s="5" t="s">
        <v>5512</v>
      </c>
      <c r="C8" s="5"/>
      <c r="D8" s="5"/>
      <c r="E8" s="5" t="s">
        <v>30</v>
      </c>
      <c r="F8" s="5" t="s">
        <v>22</v>
      </c>
      <c r="G8" s="5" t="s">
        <v>5484</v>
      </c>
      <c r="H8" s="127" t="s">
        <v>5513</v>
      </c>
      <c r="I8" s="5" t="s">
        <v>933</v>
      </c>
      <c r="J8" s="121" t="s">
        <v>5514</v>
      </c>
      <c r="K8" s="121" t="s">
        <v>5107</v>
      </c>
      <c r="L8" s="5" t="s">
        <v>5515</v>
      </c>
      <c r="M8" s="118" t="s">
        <v>5516</v>
      </c>
      <c r="N8" s="6" t="s">
        <v>24</v>
      </c>
      <c r="O8" s="2" t="s">
        <v>5372</v>
      </c>
      <c r="P8" s="12">
        <v>46060</v>
      </c>
    </row>
    <row r="9" spans="1:22" ht="165">
      <c r="A9" s="1">
        <v>8</v>
      </c>
      <c r="B9" s="5" t="s">
        <v>5517</v>
      </c>
      <c r="C9" s="5"/>
      <c r="D9" s="5"/>
      <c r="E9" s="5" t="s">
        <v>30</v>
      </c>
      <c r="F9" s="5" t="s">
        <v>22</v>
      </c>
      <c r="G9" s="5" t="s">
        <v>5484</v>
      </c>
      <c r="H9" s="127" t="s">
        <v>5518</v>
      </c>
      <c r="I9" s="5" t="s">
        <v>933</v>
      </c>
      <c r="J9" s="121" t="s">
        <v>5519</v>
      </c>
      <c r="K9" s="121" t="s">
        <v>5107</v>
      </c>
      <c r="L9" s="5" t="s">
        <v>5520</v>
      </c>
      <c r="M9" s="118" t="s">
        <v>5521</v>
      </c>
      <c r="N9" s="129" t="s">
        <v>47</v>
      </c>
      <c r="O9" s="2" t="s">
        <v>5372</v>
      </c>
      <c r="P9" s="12">
        <v>46060</v>
      </c>
    </row>
    <row r="10" spans="1:22" ht="90">
      <c r="A10" s="1">
        <v>9</v>
      </c>
      <c r="B10" s="5" t="s">
        <v>5522</v>
      </c>
      <c r="C10" s="5"/>
      <c r="D10" s="5"/>
      <c r="E10" s="5" t="s">
        <v>30</v>
      </c>
      <c r="F10" s="5" t="s">
        <v>22</v>
      </c>
      <c r="G10" s="5" t="s">
        <v>5484</v>
      </c>
      <c r="H10" s="127" t="s">
        <v>5523</v>
      </c>
      <c r="I10" s="5" t="s">
        <v>933</v>
      </c>
      <c r="J10" s="121" t="s">
        <v>5524</v>
      </c>
      <c r="K10" s="121" t="s">
        <v>5107</v>
      </c>
      <c r="L10" s="5" t="s">
        <v>5525</v>
      </c>
      <c r="M10" s="118" t="s">
        <v>5526</v>
      </c>
      <c r="N10" s="119" t="s">
        <v>333</v>
      </c>
      <c r="O10" s="2" t="s">
        <v>5372</v>
      </c>
      <c r="P10" s="12">
        <v>46060</v>
      </c>
    </row>
    <row r="11" spans="1:22" ht="90">
      <c r="A11" s="1">
        <v>10</v>
      </c>
      <c r="B11" s="5" t="s">
        <v>5527</v>
      </c>
      <c r="C11" s="5"/>
      <c r="D11" s="5"/>
      <c r="E11" s="5" t="s">
        <v>30</v>
      </c>
      <c r="F11" s="5" t="s">
        <v>22</v>
      </c>
      <c r="G11" s="5" t="s">
        <v>5484</v>
      </c>
      <c r="H11" s="16" t="s">
        <v>5528</v>
      </c>
      <c r="I11" s="5" t="s">
        <v>933</v>
      </c>
      <c r="J11" s="16" t="s">
        <v>5529</v>
      </c>
      <c r="K11" s="16" t="s">
        <v>5146</v>
      </c>
      <c r="L11" s="16" t="s">
        <v>5018</v>
      </c>
      <c r="M11" s="16" t="s">
        <v>4953</v>
      </c>
      <c r="N11" s="6" t="s">
        <v>24</v>
      </c>
      <c r="O11" s="2" t="s">
        <v>5372</v>
      </c>
      <c r="P11" s="12">
        <v>46060</v>
      </c>
    </row>
    <row r="12" spans="1:22" ht="120">
      <c r="A12" s="1">
        <v>11</v>
      </c>
      <c r="B12" s="5" t="s">
        <v>5530</v>
      </c>
      <c r="C12" s="5"/>
      <c r="D12" s="5"/>
      <c r="E12" s="5" t="s">
        <v>30</v>
      </c>
      <c r="F12" s="5" t="s">
        <v>22</v>
      </c>
      <c r="G12" s="5" t="s">
        <v>5484</v>
      </c>
      <c r="H12" s="9" t="s">
        <v>5531</v>
      </c>
      <c r="I12" s="5" t="s">
        <v>933</v>
      </c>
      <c r="J12" s="121" t="s">
        <v>5532</v>
      </c>
      <c r="K12" s="1" t="s">
        <v>5450</v>
      </c>
      <c r="L12" s="5" t="s">
        <v>5533</v>
      </c>
      <c r="M12" s="16" t="s">
        <v>4953</v>
      </c>
      <c r="N12" s="6" t="s">
        <v>24</v>
      </c>
      <c r="O12" s="2" t="s">
        <v>5372</v>
      </c>
      <c r="P12" s="12">
        <v>46060</v>
      </c>
    </row>
    <row r="13" spans="1:22" ht="165">
      <c r="A13" s="1">
        <v>12</v>
      </c>
      <c r="B13" s="5" t="s">
        <v>5534</v>
      </c>
      <c r="C13" s="5"/>
      <c r="D13" s="5"/>
      <c r="E13" s="5" t="s">
        <v>30</v>
      </c>
      <c r="F13" s="5" t="s">
        <v>22</v>
      </c>
      <c r="G13" s="5" t="s">
        <v>5484</v>
      </c>
      <c r="H13" s="9" t="s">
        <v>5535</v>
      </c>
      <c r="I13" s="5" t="s">
        <v>933</v>
      </c>
      <c r="J13" s="121" t="s">
        <v>5536</v>
      </c>
      <c r="K13" s="126" t="s">
        <v>255</v>
      </c>
      <c r="L13" s="118" t="s">
        <v>5238</v>
      </c>
      <c r="M13" s="118" t="s">
        <v>5456</v>
      </c>
      <c r="N13" s="6" t="s">
        <v>24</v>
      </c>
      <c r="O13" s="2" t="s">
        <v>5372</v>
      </c>
      <c r="P13" s="12">
        <v>46060</v>
      </c>
    </row>
    <row r="14" spans="1:22" ht="210">
      <c r="A14" s="1">
        <v>13</v>
      </c>
      <c r="B14" s="5" t="s">
        <v>5537</v>
      </c>
      <c r="C14" s="5"/>
      <c r="D14" s="5"/>
      <c r="E14" s="5" t="s">
        <v>30</v>
      </c>
      <c r="F14" s="5" t="s">
        <v>22</v>
      </c>
      <c r="G14" s="5" t="s">
        <v>5484</v>
      </c>
      <c r="H14" s="5" t="s">
        <v>5538</v>
      </c>
      <c r="I14" s="5" t="s">
        <v>933</v>
      </c>
      <c r="J14" s="5" t="s">
        <v>5539</v>
      </c>
      <c r="K14" s="118" t="s">
        <v>4967</v>
      </c>
      <c r="L14" s="118" t="s">
        <v>5540</v>
      </c>
      <c r="M14" s="118" t="s">
        <v>5541</v>
      </c>
      <c r="N14" s="6" t="s">
        <v>24</v>
      </c>
      <c r="O14" s="2" t="s">
        <v>5372</v>
      </c>
      <c r="P14" s="12">
        <v>46060</v>
      </c>
    </row>
    <row r="15" spans="1:22" ht="255">
      <c r="A15" s="1">
        <v>14</v>
      </c>
      <c r="B15" s="5" t="s">
        <v>5542</v>
      </c>
      <c r="C15" s="5"/>
      <c r="D15" s="5"/>
      <c r="E15" s="5" t="s">
        <v>30</v>
      </c>
      <c r="F15" s="5" t="s">
        <v>22</v>
      </c>
      <c r="G15" s="5" t="s">
        <v>5484</v>
      </c>
      <c r="H15" s="5" t="s">
        <v>5543</v>
      </c>
      <c r="I15" s="5" t="s">
        <v>933</v>
      </c>
      <c r="J15" s="5" t="s">
        <v>5544</v>
      </c>
      <c r="K15" s="118" t="s">
        <v>4967</v>
      </c>
      <c r="L15" s="5" t="s">
        <v>5168</v>
      </c>
      <c r="M15" s="1" t="s">
        <v>5545</v>
      </c>
      <c r="N15" s="6" t="s">
        <v>24</v>
      </c>
      <c r="O15" s="2" t="s">
        <v>5372</v>
      </c>
      <c r="P15" s="12">
        <v>46060</v>
      </c>
    </row>
    <row r="16" spans="1:22" ht="90">
      <c r="A16" s="1">
        <v>15</v>
      </c>
      <c r="B16" s="5" t="s">
        <v>5546</v>
      </c>
      <c r="C16" s="5"/>
      <c r="D16" s="5"/>
      <c r="E16" s="5" t="s">
        <v>30</v>
      </c>
      <c r="F16" s="5" t="s">
        <v>22</v>
      </c>
      <c r="G16" s="5" t="s">
        <v>5484</v>
      </c>
      <c r="H16" s="5" t="s">
        <v>5547</v>
      </c>
      <c r="I16" s="5" t="s">
        <v>933</v>
      </c>
      <c r="J16" s="5" t="s">
        <v>5548</v>
      </c>
      <c r="K16" s="5" t="s">
        <v>890</v>
      </c>
      <c r="L16" s="5" t="s">
        <v>5042</v>
      </c>
      <c r="M16" s="5" t="s">
        <v>1773</v>
      </c>
      <c r="N16" s="6" t="s">
        <v>24</v>
      </c>
      <c r="O16" s="2" t="s">
        <v>5372</v>
      </c>
      <c r="P16" s="12">
        <v>46060</v>
      </c>
    </row>
    <row r="17" spans="1:16" ht="105">
      <c r="A17" s="1">
        <v>16</v>
      </c>
      <c r="B17" s="5" t="s">
        <v>5549</v>
      </c>
      <c r="C17" s="5"/>
      <c r="D17" s="5"/>
      <c r="E17" s="5" t="s">
        <v>30</v>
      </c>
      <c r="F17" s="5" t="s">
        <v>22</v>
      </c>
      <c r="G17" s="5" t="s">
        <v>5484</v>
      </c>
      <c r="H17" s="5" t="s">
        <v>5550</v>
      </c>
      <c r="I17" s="5" t="s">
        <v>933</v>
      </c>
      <c r="J17" s="1" t="s">
        <v>5551</v>
      </c>
      <c r="K17" s="1" t="s">
        <v>5180</v>
      </c>
      <c r="L17" s="1" t="s">
        <v>5173</v>
      </c>
      <c r="M17" s="1" t="s">
        <v>5174</v>
      </c>
      <c r="N17" s="6" t="s">
        <v>24</v>
      </c>
      <c r="O17" s="2" t="s">
        <v>5372</v>
      </c>
      <c r="P17" s="12">
        <v>46062</v>
      </c>
    </row>
    <row r="18" spans="1:16" ht="105">
      <c r="A18" s="1">
        <v>17</v>
      </c>
      <c r="B18" s="5" t="s">
        <v>5557</v>
      </c>
      <c r="C18" s="5"/>
      <c r="D18" s="5"/>
      <c r="E18" s="5" t="s">
        <v>30</v>
      </c>
      <c r="F18" s="5" t="s">
        <v>22</v>
      </c>
      <c r="G18" s="5" t="s">
        <v>5484</v>
      </c>
      <c r="H18" s="5" t="s">
        <v>5552</v>
      </c>
      <c r="I18" s="5" t="s">
        <v>933</v>
      </c>
      <c r="J18" s="1" t="s">
        <v>5553</v>
      </c>
      <c r="K18" s="1" t="s">
        <v>5180</v>
      </c>
      <c r="L18" s="1" t="s">
        <v>5181</v>
      </c>
      <c r="M18" s="1" t="s">
        <v>5182</v>
      </c>
      <c r="N18" s="6" t="s">
        <v>24</v>
      </c>
      <c r="O18" s="2" t="s">
        <v>5372</v>
      </c>
      <c r="P18" s="12">
        <v>46062</v>
      </c>
    </row>
    <row r="19" spans="1:16" ht="90">
      <c r="A19" s="1">
        <v>18</v>
      </c>
      <c r="B19" s="5" t="s">
        <v>5558</v>
      </c>
      <c r="C19" s="5"/>
      <c r="D19" s="5"/>
      <c r="E19" s="5" t="s">
        <v>30</v>
      </c>
      <c r="F19" s="5" t="s">
        <v>22</v>
      </c>
      <c r="G19" s="5" t="s">
        <v>5484</v>
      </c>
      <c r="H19" s="5" t="s">
        <v>5554</v>
      </c>
      <c r="I19" s="5" t="s">
        <v>933</v>
      </c>
      <c r="J19" s="1" t="s">
        <v>5555</v>
      </c>
      <c r="K19" s="1" t="s">
        <v>255</v>
      </c>
      <c r="L19" s="1" t="s">
        <v>5187</v>
      </c>
      <c r="M19" s="1" t="s">
        <v>5188</v>
      </c>
      <c r="N19" s="6" t="s">
        <v>24</v>
      </c>
      <c r="O19" s="2" t="s">
        <v>5372</v>
      </c>
      <c r="P19" s="12">
        <v>46062</v>
      </c>
    </row>
    <row r="20" spans="1:16" ht="105">
      <c r="A20" s="1">
        <v>19</v>
      </c>
      <c r="B20" s="5" t="s">
        <v>5559</v>
      </c>
      <c r="C20" s="5"/>
      <c r="D20" s="5"/>
      <c r="E20" s="5" t="s">
        <v>30</v>
      </c>
      <c r="F20" s="5" t="s">
        <v>22</v>
      </c>
      <c r="G20" s="5" t="s">
        <v>5484</v>
      </c>
      <c r="H20" s="5" t="s">
        <v>5556</v>
      </c>
      <c r="I20" s="5" t="s">
        <v>933</v>
      </c>
      <c r="J20" s="1" t="s">
        <v>5478</v>
      </c>
      <c r="K20" s="1" t="s">
        <v>255</v>
      </c>
      <c r="L20" s="1" t="s">
        <v>5192</v>
      </c>
      <c r="M20" s="1" t="s">
        <v>5193</v>
      </c>
      <c r="N20" s="6" t="s">
        <v>24</v>
      </c>
      <c r="O20" s="2" t="s">
        <v>5372</v>
      </c>
      <c r="P20" s="12">
        <v>46062</v>
      </c>
    </row>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dimension ref="A1:V21"/>
  <sheetViews>
    <sheetView topLeftCell="G1" workbookViewId="0">
      <pane ySplit="1" topLeftCell="A19" activePane="bottomLeft" state="frozen"/>
      <selection pane="bottomLeft" activeCell="H19" sqref="H19"/>
    </sheetView>
  </sheetViews>
  <sheetFormatPr defaultRowHeight="15"/>
  <cols>
    <col min="1" max="1" width="7.5703125" customWidth="1"/>
    <col min="2" max="2" width="27" customWidth="1"/>
    <col min="3" max="3" width="10.7109375" customWidth="1"/>
    <col min="4" max="4" width="19" customWidth="1"/>
    <col min="5" max="5" width="13.7109375" customWidth="1"/>
    <col min="6" max="6" width="11.7109375" customWidth="1"/>
    <col min="7" max="7" width="26.28515625" customWidth="1"/>
    <col min="8" max="8" width="61.7109375" customWidth="1"/>
    <col min="9" max="9" width="42.42578125" customWidth="1"/>
    <col min="10" max="10" width="52.5703125" customWidth="1"/>
    <col min="11" max="11" width="36.7109375" customWidth="1"/>
    <col min="12" max="12" width="59.5703125" customWidth="1"/>
    <col min="13" max="13" width="49" customWidth="1"/>
    <col min="14" max="14" width="13" customWidth="1"/>
    <col min="15" max="15" width="29.140625" customWidth="1"/>
    <col min="16" max="16" width="19.28515625" customWidth="1"/>
    <col min="17" max="17" width="12.140625" customWidth="1"/>
    <col min="18" max="18" width="16.42578125" customWidth="1"/>
    <col min="19" max="19" width="18.5703125" customWidth="1"/>
    <col min="20" max="20" width="21.42578125" customWidth="1"/>
    <col min="21" max="21" width="24.28515625" customWidth="1"/>
    <col min="22" max="22" width="15.42578125"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5561</v>
      </c>
      <c r="C2" s="5"/>
      <c r="D2" s="5"/>
      <c r="E2" s="5" t="s">
        <v>30</v>
      </c>
      <c r="F2" s="5" t="s">
        <v>22</v>
      </c>
      <c r="G2" s="5" t="s">
        <v>5562</v>
      </c>
      <c r="H2" s="5" t="s">
        <v>5563</v>
      </c>
      <c r="I2" s="5" t="s">
        <v>933</v>
      </c>
      <c r="J2" s="5" t="s">
        <v>5564</v>
      </c>
      <c r="K2" s="5" t="s">
        <v>5198</v>
      </c>
      <c r="L2" s="5" t="s">
        <v>5565</v>
      </c>
      <c r="M2" s="5" t="s">
        <v>5566</v>
      </c>
      <c r="N2" s="6" t="s">
        <v>24</v>
      </c>
      <c r="O2" s="2" t="s">
        <v>5372</v>
      </c>
      <c r="P2" s="12">
        <v>46062</v>
      </c>
      <c r="Q2" s="5"/>
      <c r="R2" s="5"/>
      <c r="S2" s="5"/>
      <c r="T2" s="5"/>
      <c r="U2" s="5"/>
      <c r="V2" s="5"/>
    </row>
    <row r="3" spans="1:22" ht="90">
      <c r="A3" s="1">
        <v>2</v>
      </c>
      <c r="B3" s="5" t="s">
        <v>5567</v>
      </c>
      <c r="C3" s="5"/>
      <c r="D3" s="5"/>
      <c r="E3" s="5" t="s">
        <v>30</v>
      </c>
      <c r="F3" s="5" t="s">
        <v>22</v>
      </c>
      <c r="G3" s="5" t="s">
        <v>5562</v>
      </c>
      <c r="H3" s="121" t="s">
        <v>5568</v>
      </c>
      <c r="I3" s="5" t="s">
        <v>933</v>
      </c>
      <c r="J3" s="121" t="s">
        <v>5569</v>
      </c>
      <c r="K3" s="122" t="s">
        <v>4985</v>
      </c>
      <c r="L3" s="5" t="s">
        <v>4986</v>
      </c>
      <c r="M3" s="130" t="s">
        <v>5570</v>
      </c>
      <c r="O3" s="2" t="s">
        <v>5372</v>
      </c>
      <c r="P3" s="12">
        <v>46062</v>
      </c>
    </row>
    <row r="4" spans="1:22" ht="105">
      <c r="A4" s="1">
        <v>3</v>
      </c>
      <c r="B4" s="5" t="s">
        <v>5571</v>
      </c>
      <c r="C4" s="5"/>
      <c r="D4" s="5"/>
      <c r="E4" s="5" t="s">
        <v>30</v>
      </c>
      <c r="F4" s="5" t="s">
        <v>22</v>
      </c>
      <c r="G4" s="5" t="s">
        <v>5562</v>
      </c>
      <c r="H4" s="1" t="s">
        <v>5572</v>
      </c>
      <c r="I4" s="5" t="s">
        <v>933</v>
      </c>
      <c r="J4" s="1" t="s">
        <v>5573</v>
      </c>
      <c r="K4" s="1" t="s">
        <v>255</v>
      </c>
      <c r="L4" s="1" t="s">
        <v>4993</v>
      </c>
      <c r="O4" s="2" t="s">
        <v>5372</v>
      </c>
      <c r="P4" s="12">
        <v>46062</v>
      </c>
    </row>
    <row r="5" spans="1:22" ht="90">
      <c r="A5" s="1">
        <v>4</v>
      </c>
      <c r="B5" s="5" t="s">
        <v>5574</v>
      </c>
      <c r="C5" s="5"/>
      <c r="D5" s="5"/>
      <c r="E5" s="5" t="s">
        <v>30</v>
      </c>
      <c r="F5" s="5" t="s">
        <v>22</v>
      </c>
      <c r="G5" s="5" t="s">
        <v>5562</v>
      </c>
      <c r="H5" s="5" t="s">
        <v>5575</v>
      </c>
      <c r="I5" s="1" t="s">
        <v>933</v>
      </c>
      <c r="J5" s="1" t="s">
        <v>5595</v>
      </c>
      <c r="K5" s="1" t="s">
        <v>255</v>
      </c>
      <c r="L5" s="1" t="s">
        <v>5576</v>
      </c>
      <c r="O5" s="2" t="s">
        <v>5372</v>
      </c>
      <c r="P5" s="12">
        <v>46062</v>
      </c>
    </row>
    <row r="6" spans="1:22" ht="150">
      <c r="A6" s="1">
        <v>5</v>
      </c>
      <c r="B6" s="5" t="s">
        <v>5577</v>
      </c>
      <c r="C6" s="5"/>
      <c r="D6" s="5"/>
      <c r="E6" s="5" t="s">
        <v>30</v>
      </c>
      <c r="F6" s="5" t="s">
        <v>22</v>
      </c>
      <c r="G6" s="5" t="s">
        <v>5562</v>
      </c>
      <c r="H6" s="121" t="s">
        <v>5583</v>
      </c>
      <c r="I6" s="121" t="s">
        <v>4529</v>
      </c>
      <c r="J6" s="121" t="s">
        <v>5596</v>
      </c>
      <c r="K6" s="121" t="s">
        <v>5578</v>
      </c>
      <c r="L6" s="121" t="s">
        <v>5579</v>
      </c>
      <c r="M6" s="121" t="s">
        <v>5580</v>
      </c>
      <c r="N6" s="33" t="s">
        <v>47</v>
      </c>
      <c r="O6" s="2" t="s">
        <v>5372</v>
      </c>
      <c r="P6" s="12">
        <v>46062</v>
      </c>
    </row>
    <row r="7" spans="1:22" ht="180">
      <c r="A7" s="1">
        <v>6</v>
      </c>
      <c r="B7" s="5" t="s">
        <v>5581</v>
      </c>
      <c r="C7" s="5"/>
      <c r="D7" s="5"/>
      <c r="E7" s="5" t="s">
        <v>30</v>
      </c>
      <c r="F7" s="5" t="s">
        <v>22</v>
      </c>
      <c r="G7" s="5" t="s">
        <v>5562</v>
      </c>
      <c r="H7" s="121" t="s">
        <v>5582</v>
      </c>
      <c r="I7" s="121" t="s">
        <v>4529</v>
      </c>
      <c r="J7" s="121" t="s">
        <v>5594</v>
      </c>
      <c r="K7" s="121" t="s">
        <v>5584</v>
      </c>
      <c r="L7" s="121" t="s">
        <v>5589</v>
      </c>
      <c r="M7" s="121" t="s">
        <v>5590</v>
      </c>
      <c r="N7" s="133" t="s">
        <v>333</v>
      </c>
      <c r="O7" s="2" t="s">
        <v>5372</v>
      </c>
      <c r="P7" s="12">
        <v>46062</v>
      </c>
    </row>
    <row r="8" spans="1:22" ht="150">
      <c r="A8" s="1">
        <v>7</v>
      </c>
      <c r="B8" s="5" t="s">
        <v>5585</v>
      </c>
      <c r="C8" s="5"/>
      <c r="D8" s="5"/>
      <c r="E8" s="5" t="s">
        <v>30</v>
      </c>
      <c r="F8" s="5" t="s">
        <v>22</v>
      </c>
      <c r="G8" s="5" t="s">
        <v>5562</v>
      </c>
      <c r="H8" s="121" t="s">
        <v>5586</v>
      </c>
      <c r="I8" s="121" t="s">
        <v>4529</v>
      </c>
      <c r="J8" s="121" t="s">
        <v>5597</v>
      </c>
      <c r="K8" s="121" t="s">
        <v>5587</v>
      </c>
      <c r="L8" s="121" t="s">
        <v>5613</v>
      </c>
      <c r="M8" s="121" t="s">
        <v>5588</v>
      </c>
      <c r="N8" s="33" t="s">
        <v>47</v>
      </c>
      <c r="O8" s="2" t="s">
        <v>5372</v>
      </c>
      <c r="P8" s="12">
        <v>46062</v>
      </c>
    </row>
    <row r="9" spans="1:22" ht="120">
      <c r="A9" s="1">
        <v>8</v>
      </c>
      <c r="B9" s="5" t="s">
        <v>5591</v>
      </c>
      <c r="C9" s="5"/>
      <c r="D9" s="5"/>
      <c r="E9" s="5" t="s">
        <v>30</v>
      </c>
      <c r="F9" s="5" t="s">
        <v>22</v>
      </c>
      <c r="G9" s="5" t="s">
        <v>5562</v>
      </c>
      <c r="H9" s="121" t="s">
        <v>5608</v>
      </c>
      <c r="I9" s="121" t="s">
        <v>4529</v>
      </c>
      <c r="J9" s="121" t="s">
        <v>5600</v>
      </c>
      <c r="K9" s="121" t="s">
        <v>5003</v>
      </c>
      <c r="L9" s="121" t="s">
        <v>5004</v>
      </c>
      <c r="M9" s="118" t="s">
        <v>5598</v>
      </c>
      <c r="N9" s="33" t="s">
        <v>47</v>
      </c>
      <c r="O9" s="2" t="s">
        <v>5372</v>
      </c>
      <c r="P9" s="12">
        <v>46062</v>
      </c>
    </row>
    <row r="10" spans="1:22" ht="120">
      <c r="A10" s="1">
        <v>9</v>
      </c>
      <c r="B10" s="5" t="s">
        <v>5599</v>
      </c>
      <c r="C10" s="5"/>
      <c r="D10" s="5"/>
      <c r="E10" s="5" t="s">
        <v>30</v>
      </c>
      <c r="F10" s="5" t="s">
        <v>22</v>
      </c>
      <c r="G10" s="5" t="s">
        <v>5562</v>
      </c>
      <c r="H10" s="121" t="s">
        <v>5609</v>
      </c>
      <c r="I10" s="121" t="s">
        <v>4529</v>
      </c>
      <c r="J10" s="121" t="s">
        <v>5601</v>
      </c>
      <c r="K10" s="121" t="s">
        <v>5003</v>
      </c>
      <c r="L10" s="121" t="s">
        <v>5008</v>
      </c>
      <c r="M10" s="118" t="s">
        <v>5602</v>
      </c>
      <c r="N10" s="33" t="s">
        <v>47</v>
      </c>
      <c r="O10" s="2" t="s">
        <v>5372</v>
      </c>
      <c r="P10" s="12">
        <v>46062</v>
      </c>
    </row>
    <row r="11" spans="1:22" ht="120">
      <c r="A11" s="1">
        <v>10</v>
      </c>
      <c r="B11" s="5" t="s">
        <v>5603</v>
      </c>
      <c r="C11" s="5"/>
      <c r="D11" s="5"/>
      <c r="E11" s="5" t="s">
        <v>30</v>
      </c>
      <c r="F11" s="5" t="s">
        <v>22</v>
      </c>
      <c r="G11" s="5" t="s">
        <v>5562</v>
      </c>
      <c r="H11" s="121" t="s">
        <v>5610</v>
      </c>
      <c r="I11" s="121" t="s">
        <v>4529</v>
      </c>
      <c r="J11" s="121" t="s">
        <v>5604</v>
      </c>
      <c r="K11" s="121" t="s">
        <v>5003</v>
      </c>
      <c r="L11" s="121" t="s">
        <v>5605</v>
      </c>
      <c r="M11" s="118" t="s">
        <v>5606</v>
      </c>
      <c r="N11" s="33" t="s">
        <v>47</v>
      </c>
      <c r="O11" s="2" t="s">
        <v>5372</v>
      </c>
      <c r="P11" s="12">
        <v>46063</v>
      </c>
    </row>
    <row r="12" spans="1:22" ht="105">
      <c r="A12" s="1">
        <v>11</v>
      </c>
      <c r="B12" s="5" t="s">
        <v>5607</v>
      </c>
      <c r="C12" s="5"/>
      <c r="D12" s="5"/>
      <c r="E12" s="5" t="s">
        <v>30</v>
      </c>
      <c r="F12" s="5" t="s">
        <v>22</v>
      </c>
      <c r="G12" s="5" t="s">
        <v>5562</v>
      </c>
      <c r="H12" s="121" t="s">
        <v>5611</v>
      </c>
      <c r="I12" s="121" t="s">
        <v>4529</v>
      </c>
      <c r="J12" s="121" t="s">
        <v>5612</v>
      </c>
      <c r="K12" s="121" t="s">
        <v>5003</v>
      </c>
      <c r="L12" s="121" t="s">
        <v>5614</v>
      </c>
      <c r="M12" s="118" t="s">
        <v>5615</v>
      </c>
      <c r="N12" s="33" t="s">
        <v>47</v>
      </c>
      <c r="O12" s="2" t="s">
        <v>5372</v>
      </c>
      <c r="P12" s="12">
        <v>46063</v>
      </c>
    </row>
    <row r="13" spans="1:22" ht="120">
      <c r="A13" s="1">
        <v>12</v>
      </c>
      <c r="B13" s="5" t="s">
        <v>5616</v>
      </c>
      <c r="C13" s="5"/>
      <c r="D13" s="5"/>
      <c r="E13" s="5" t="s">
        <v>30</v>
      </c>
      <c r="F13" s="5" t="s">
        <v>22</v>
      </c>
      <c r="G13" s="5" t="s">
        <v>5562</v>
      </c>
      <c r="H13" s="121" t="s">
        <v>5617</v>
      </c>
      <c r="I13" s="121" t="s">
        <v>4529</v>
      </c>
      <c r="J13" s="121" t="s">
        <v>5618</v>
      </c>
      <c r="K13" s="121" t="s">
        <v>5003</v>
      </c>
      <c r="L13" s="121" t="s">
        <v>5619</v>
      </c>
      <c r="M13" s="118" t="s">
        <v>5620</v>
      </c>
      <c r="N13" s="33" t="s">
        <v>47</v>
      </c>
      <c r="O13" s="2" t="s">
        <v>5372</v>
      </c>
      <c r="P13" s="12">
        <v>46063</v>
      </c>
    </row>
    <row r="14" spans="1:22" ht="90">
      <c r="A14" s="1">
        <v>13</v>
      </c>
      <c r="B14" s="5" t="s">
        <v>5621</v>
      </c>
      <c r="C14" s="5"/>
      <c r="D14" s="5"/>
      <c r="E14" s="5" t="s">
        <v>30</v>
      </c>
      <c r="F14" s="5" t="s">
        <v>22</v>
      </c>
      <c r="G14" s="5" t="s">
        <v>5562</v>
      </c>
      <c r="H14" s="5" t="s">
        <v>5622</v>
      </c>
      <c r="I14" s="121" t="s">
        <v>4529</v>
      </c>
      <c r="J14" s="5" t="s">
        <v>5623</v>
      </c>
      <c r="K14" s="5" t="s">
        <v>255</v>
      </c>
      <c r="L14" s="5" t="s">
        <v>5018</v>
      </c>
      <c r="M14" s="5" t="s">
        <v>5630</v>
      </c>
      <c r="N14" s="33" t="s">
        <v>47</v>
      </c>
      <c r="O14" s="2" t="s">
        <v>5372</v>
      </c>
      <c r="P14" s="12">
        <v>46063</v>
      </c>
    </row>
    <row r="15" spans="1:22" ht="105">
      <c r="A15" s="1">
        <v>14</v>
      </c>
      <c r="B15" s="5" t="s">
        <v>5624</v>
      </c>
      <c r="C15" s="5"/>
      <c r="D15" s="5"/>
      <c r="E15" s="5" t="s">
        <v>30</v>
      </c>
      <c r="F15" s="5" t="s">
        <v>22</v>
      </c>
      <c r="G15" s="5" t="s">
        <v>5562</v>
      </c>
      <c r="H15" s="9" t="s">
        <v>5625</v>
      </c>
      <c r="I15" s="5" t="s">
        <v>933</v>
      </c>
      <c r="J15" s="121" t="s">
        <v>5626</v>
      </c>
      <c r="K15" s="1" t="s">
        <v>5627</v>
      </c>
      <c r="L15" s="5" t="s">
        <v>5628</v>
      </c>
      <c r="M15" s="5" t="s">
        <v>5629</v>
      </c>
      <c r="N15" s="133" t="s">
        <v>333</v>
      </c>
      <c r="O15" s="2" t="s">
        <v>5372</v>
      </c>
      <c r="P15" s="12">
        <v>46063</v>
      </c>
    </row>
    <row r="16" spans="1:22" ht="180">
      <c r="A16" s="1">
        <v>15</v>
      </c>
      <c r="B16" s="5" t="s">
        <v>5631</v>
      </c>
      <c r="C16" s="5"/>
      <c r="D16" s="5"/>
      <c r="E16" s="5" t="s">
        <v>30</v>
      </c>
      <c r="F16" s="5" t="s">
        <v>22</v>
      </c>
      <c r="G16" s="5" t="s">
        <v>5562</v>
      </c>
      <c r="H16" s="5" t="s">
        <v>5632</v>
      </c>
      <c r="I16" s="5" t="s">
        <v>933</v>
      </c>
      <c r="J16" s="5" t="s">
        <v>5633</v>
      </c>
      <c r="K16" s="123" t="s">
        <v>255</v>
      </c>
      <c r="L16" s="118" t="s">
        <v>5238</v>
      </c>
      <c r="M16" s="118" t="s">
        <v>5634</v>
      </c>
      <c r="N16" s="133" t="s">
        <v>333</v>
      </c>
      <c r="O16" s="2" t="s">
        <v>5372</v>
      </c>
      <c r="P16" s="12">
        <v>46063</v>
      </c>
    </row>
    <row r="17" spans="1:16" ht="165">
      <c r="A17" s="1">
        <v>16</v>
      </c>
      <c r="B17" s="5" t="s">
        <v>5638</v>
      </c>
      <c r="C17" s="5"/>
      <c r="D17" s="5"/>
      <c r="E17" s="5" t="s">
        <v>30</v>
      </c>
      <c r="F17" s="5" t="s">
        <v>22</v>
      </c>
      <c r="G17" s="5" t="s">
        <v>5562</v>
      </c>
      <c r="H17" s="5" t="s">
        <v>5635</v>
      </c>
      <c r="I17" s="5" t="s">
        <v>933</v>
      </c>
      <c r="J17" s="5" t="s">
        <v>5636</v>
      </c>
      <c r="K17" s="118" t="s">
        <v>4967</v>
      </c>
      <c r="L17" s="118" t="s">
        <v>5032</v>
      </c>
      <c r="M17" s="118" t="s">
        <v>5637</v>
      </c>
      <c r="N17" s="133" t="s">
        <v>333</v>
      </c>
      <c r="O17" s="2" t="s">
        <v>5372</v>
      </c>
      <c r="P17" s="12">
        <v>46063</v>
      </c>
    </row>
    <row r="18" spans="1:16" ht="255">
      <c r="A18" s="1">
        <v>17</v>
      </c>
      <c r="B18" s="5" t="s">
        <v>5642</v>
      </c>
      <c r="C18" s="5"/>
      <c r="D18" s="5"/>
      <c r="E18" s="5" t="s">
        <v>30</v>
      </c>
      <c r="F18" s="5" t="s">
        <v>22</v>
      </c>
      <c r="G18" s="5" t="s">
        <v>5562</v>
      </c>
      <c r="H18" s="5" t="s">
        <v>5639</v>
      </c>
      <c r="I18" s="5" t="s">
        <v>933</v>
      </c>
      <c r="J18" s="5" t="s">
        <v>5640</v>
      </c>
      <c r="K18" s="118" t="s">
        <v>4967</v>
      </c>
      <c r="L18" s="5" t="s">
        <v>5168</v>
      </c>
      <c r="M18" s="1" t="s">
        <v>5641</v>
      </c>
      <c r="N18" s="133" t="s">
        <v>333</v>
      </c>
      <c r="O18" s="2" t="s">
        <v>5372</v>
      </c>
      <c r="P18" s="12">
        <v>46063</v>
      </c>
    </row>
    <row r="19" spans="1:16" ht="90">
      <c r="A19" s="1">
        <v>18</v>
      </c>
      <c r="B19" s="5" t="s">
        <v>5645</v>
      </c>
      <c r="C19" s="5"/>
      <c r="D19" s="5"/>
      <c r="E19" s="5" t="s">
        <v>30</v>
      </c>
      <c r="F19" s="5" t="s">
        <v>22</v>
      </c>
      <c r="G19" s="5" t="s">
        <v>5562</v>
      </c>
      <c r="H19" s="5" t="s">
        <v>5643</v>
      </c>
      <c r="I19" s="5" t="s">
        <v>933</v>
      </c>
      <c r="J19" s="5" t="s">
        <v>5644</v>
      </c>
      <c r="K19" s="5" t="s">
        <v>890</v>
      </c>
      <c r="L19" s="5" t="s">
        <v>5042</v>
      </c>
      <c r="M19" s="5" t="s">
        <v>1773</v>
      </c>
      <c r="N19" s="6" t="s">
        <v>24</v>
      </c>
      <c r="O19" s="2" t="s">
        <v>5372</v>
      </c>
      <c r="P19" s="12">
        <v>46063</v>
      </c>
    </row>
    <row r="20" spans="1:16" ht="120">
      <c r="A20" s="1">
        <v>19</v>
      </c>
      <c r="B20" s="5" t="s">
        <v>5646</v>
      </c>
      <c r="C20" s="5"/>
      <c r="D20" s="5"/>
      <c r="E20" s="5" t="s">
        <v>30</v>
      </c>
      <c r="F20" s="5" t="s">
        <v>22</v>
      </c>
      <c r="G20" s="5" t="s">
        <v>5562</v>
      </c>
      <c r="H20" s="5" t="s">
        <v>5647</v>
      </c>
      <c r="I20" s="5" t="s">
        <v>933</v>
      </c>
      <c r="J20" s="1" t="s">
        <v>5648</v>
      </c>
      <c r="K20" s="1" t="s">
        <v>5180</v>
      </c>
      <c r="L20" s="1" t="s">
        <v>5173</v>
      </c>
      <c r="M20" s="1" t="s">
        <v>5649</v>
      </c>
      <c r="N20" s="133" t="s">
        <v>333</v>
      </c>
      <c r="O20" s="2" t="s">
        <v>5372</v>
      </c>
      <c r="P20" s="12">
        <v>46063</v>
      </c>
    </row>
    <row r="21" spans="1:16" ht="120">
      <c r="A21" s="1">
        <v>20</v>
      </c>
      <c r="B21" s="5" t="s">
        <v>5650</v>
      </c>
      <c r="C21" s="5"/>
      <c r="D21" s="5"/>
      <c r="E21" s="5" t="s">
        <v>30</v>
      </c>
      <c r="F21" s="5" t="s">
        <v>22</v>
      </c>
      <c r="G21" s="5" t="s">
        <v>5562</v>
      </c>
      <c r="H21" s="5" t="s">
        <v>5651</v>
      </c>
      <c r="I21" s="5" t="s">
        <v>933</v>
      </c>
      <c r="J21" s="1" t="s">
        <v>5652</v>
      </c>
      <c r="K21" s="1" t="s">
        <v>5180</v>
      </c>
      <c r="L21" s="1" t="s">
        <v>5181</v>
      </c>
      <c r="M21" s="1" t="s">
        <v>5653</v>
      </c>
      <c r="N21" s="133" t="s">
        <v>333</v>
      </c>
      <c r="O21" s="2" t="s">
        <v>5372</v>
      </c>
      <c r="P21" s="12">
        <v>46063</v>
      </c>
    </row>
  </sheetData>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dimension ref="A1:V27"/>
  <sheetViews>
    <sheetView topLeftCell="H1" workbookViewId="0">
      <pane ySplit="1" topLeftCell="A19" activePane="bottomLeft" state="frozen"/>
      <selection pane="bottomLeft" activeCell="J21" sqref="J21"/>
    </sheetView>
  </sheetViews>
  <sheetFormatPr defaultRowHeight="15"/>
  <cols>
    <col min="2" max="2" width="21" customWidth="1"/>
    <col min="3" max="3" width="11.140625" customWidth="1"/>
    <col min="4" max="4" width="20.28515625" customWidth="1"/>
    <col min="5" max="5" width="14.5703125" customWidth="1"/>
    <col min="6" max="6" width="10.85546875" customWidth="1"/>
    <col min="7" max="7" width="21.5703125" customWidth="1"/>
    <col min="8" max="8" width="63.5703125" customWidth="1"/>
    <col min="9" max="9" width="43" customWidth="1"/>
    <col min="10" max="10" width="58.85546875" customWidth="1"/>
    <col min="11" max="11" width="37.28515625" customWidth="1"/>
    <col min="12" max="12" width="58.28515625" customWidth="1"/>
    <col min="13" max="13" width="51.28515625" customWidth="1"/>
    <col min="14" max="14" width="11" customWidth="1"/>
    <col min="15" max="15" width="37.140625" customWidth="1"/>
    <col min="16" max="16" width="18.85546875" customWidth="1"/>
    <col min="17" max="17" width="13.85546875" customWidth="1"/>
    <col min="18" max="18" width="14.5703125" customWidth="1"/>
    <col min="19" max="19" width="17.28515625" customWidth="1"/>
    <col min="20" max="20" width="21" customWidth="1"/>
    <col min="21" max="21" width="25" customWidth="1"/>
    <col min="22" max="22" width="12.85546875" customWidth="1"/>
  </cols>
  <sheetData>
    <row r="1" spans="1:22" s="92"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5655</v>
      </c>
      <c r="C2" s="5"/>
      <c r="D2" s="5"/>
      <c r="E2" s="5" t="s">
        <v>30</v>
      </c>
      <c r="F2" s="5" t="s">
        <v>22</v>
      </c>
      <c r="G2" s="5" t="s">
        <v>5656</v>
      </c>
      <c r="H2" s="5" t="s">
        <v>5657</v>
      </c>
      <c r="I2" s="5" t="s">
        <v>933</v>
      </c>
      <c r="J2" s="5" t="s">
        <v>5658</v>
      </c>
      <c r="K2" s="5" t="s">
        <v>5198</v>
      </c>
      <c r="L2" s="5" t="s">
        <v>5659</v>
      </c>
      <c r="M2" s="5" t="s">
        <v>5660</v>
      </c>
      <c r="N2" s="6" t="s">
        <v>24</v>
      </c>
      <c r="O2" s="2" t="s">
        <v>5372</v>
      </c>
      <c r="P2" s="12">
        <v>46063</v>
      </c>
      <c r="Q2" s="5"/>
      <c r="R2" s="5"/>
      <c r="S2" s="5"/>
      <c r="T2" s="5"/>
      <c r="U2" s="5"/>
      <c r="V2" s="5"/>
    </row>
    <row r="3" spans="1:22" ht="90">
      <c r="A3" s="1">
        <v>2</v>
      </c>
      <c r="B3" s="5" t="s">
        <v>5664</v>
      </c>
      <c r="C3" s="5"/>
      <c r="D3" s="5"/>
      <c r="E3" s="5" t="s">
        <v>30</v>
      </c>
      <c r="F3" s="5" t="s">
        <v>22</v>
      </c>
      <c r="G3" s="5" t="s">
        <v>5656</v>
      </c>
      <c r="H3" s="127" t="s">
        <v>5661</v>
      </c>
      <c r="I3" s="5" t="s">
        <v>933</v>
      </c>
      <c r="J3" s="127" t="s">
        <v>5662</v>
      </c>
      <c r="K3" s="127" t="s">
        <v>255</v>
      </c>
      <c r="L3" s="118" t="s">
        <v>5663</v>
      </c>
      <c r="M3" s="128" t="s">
        <v>258</v>
      </c>
      <c r="N3" s="6" t="s">
        <v>24</v>
      </c>
      <c r="O3" s="2" t="s">
        <v>5372</v>
      </c>
      <c r="P3" s="12">
        <v>46063</v>
      </c>
    </row>
    <row r="4" spans="1:22" ht="120">
      <c r="A4" s="1">
        <v>3</v>
      </c>
      <c r="B4" s="5" t="s">
        <v>5665</v>
      </c>
      <c r="C4" s="5"/>
      <c r="D4" s="5"/>
      <c r="E4" s="5" t="s">
        <v>30</v>
      </c>
      <c r="F4" s="5" t="s">
        <v>22</v>
      </c>
      <c r="G4" s="5" t="s">
        <v>5656</v>
      </c>
      <c r="H4" s="127" t="s">
        <v>5673</v>
      </c>
      <c r="I4" s="5" t="s">
        <v>933</v>
      </c>
      <c r="J4" s="121" t="s">
        <v>5674</v>
      </c>
      <c r="K4" s="121" t="s">
        <v>5675</v>
      </c>
      <c r="L4" s="5" t="s">
        <v>5676</v>
      </c>
      <c r="M4" s="130" t="s">
        <v>5677</v>
      </c>
      <c r="N4" s="6" t="s">
        <v>24</v>
      </c>
      <c r="O4" s="2" t="s">
        <v>5372</v>
      </c>
      <c r="P4" s="12">
        <v>46064</v>
      </c>
    </row>
    <row r="5" spans="1:22" ht="120">
      <c r="A5" s="1">
        <v>4</v>
      </c>
      <c r="B5" s="5" t="s">
        <v>5678</v>
      </c>
      <c r="C5" s="5"/>
      <c r="D5" s="5"/>
      <c r="E5" s="5" t="s">
        <v>30</v>
      </c>
      <c r="F5" s="5" t="s">
        <v>22</v>
      </c>
      <c r="G5" s="5" t="s">
        <v>5656</v>
      </c>
      <c r="H5" s="127" t="s">
        <v>5679</v>
      </c>
      <c r="I5" s="5" t="s">
        <v>933</v>
      </c>
      <c r="J5" s="121" t="s">
        <v>5682</v>
      </c>
      <c r="K5" s="127" t="s">
        <v>5680</v>
      </c>
      <c r="L5" s="5" t="s">
        <v>5681</v>
      </c>
      <c r="M5" s="130" t="s">
        <v>5677</v>
      </c>
      <c r="N5" s="6" t="s">
        <v>24</v>
      </c>
      <c r="O5" s="2" t="s">
        <v>5372</v>
      </c>
      <c r="P5" s="12">
        <v>46064</v>
      </c>
    </row>
    <row r="6" spans="1:22" ht="150">
      <c r="A6" s="1">
        <v>5</v>
      </c>
      <c r="B6" s="5" t="s">
        <v>5683</v>
      </c>
      <c r="C6" s="5"/>
      <c r="D6" s="5"/>
      <c r="E6" s="5" t="s">
        <v>30</v>
      </c>
      <c r="F6" s="5" t="s">
        <v>22</v>
      </c>
      <c r="G6" s="5" t="s">
        <v>5656</v>
      </c>
      <c r="H6" s="127" t="s">
        <v>5684</v>
      </c>
      <c r="I6" s="5" t="s">
        <v>933</v>
      </c>
      <c r="J6" s="121" t="s">
        <v>5685</v>
      </c>
      <c r="K6" s="127" t="s">
        <v>5686</v>
      </c>
      <c r="L6" s="5" t="s">
        <v>5687</v>
      </c>
      <c r="M6" s="130" t="s">
        <v>5677</v>
      </c>
      <c r="N6" s="6" t="s">
        <v>24</v>
      </c>
      <c r="O6" s="2" t="s">
        <v>5372</v>
      </c>
      <c r="P6" s="12">
        <v>46064</v>
      </c>
    </row>
    <row r="7" spans="1:22" ht="105">
      <c r="A7" s="1">
        <v>6</v>
      </c>
      <c r="B7" s="5" t="s">
        <v>5691</v>
      </c>
      <c r="C7" s="5"/>
      <c r="D7" s="5"/>
      <c r="E7" s="5" t="s">
        <v>30</v>
      </c>
      <c r="F7" s="5" t="s">
        <v>22</v>
      </c>
      <c r="G7" s="5" t="s">
        <v>5656</v>
      </c>
      <c r="H7" s="5" t="s">
        <v>5688</v>
      </c>
      <c r="I7" s="5" t="s">
        <v>933</v>
      </c>
      <c r="J7" s="1" t="s">
        <v>5689</v>
      </c>
      <c r="K7" s="1" t="s">
        <v>255</v>
      </c>
      <c r="L7" s="1" t="s">
        <v>5690</v>
      </c>
      <c r="M7" s="1" t="s">
        <v>4918</v>
      </c>
      <c r="N7" s="6" t="s">
        <v>24</v>
      </c>
      <c r="O7" s="2" t="s">
        <v>5372</v>
      </c>
      <c r="P7" s="12">
        <v>46064</v>
      </c>
    </row>
    <row r="8" spans="1:22" ht="90">
      <c r="A8" s="1">
        <v>7</v>
      </c>
      <c r="B8" s="5" t="s">
        <v>5697</v>
      </c>
      <c r="C8" s="5"/>
      <c r="D8" s="5"/>
      <c r="E8" s="5" t="s">
        <v>30</v>
      </c>
      <c r="F8" s="5" t="s">
        <v>22</v>
      </c>
      <c r="G8" s="5" t="s">
        <v>5656</v>
      </c>
      <c r="H8" s="9" t="s">
        <v>5692</v>
      </c>
      <c r="I8" s="5" t="s">
        <v>933</v>
      </c>
      <c r="J8" s="5" t="s">
        <v>5694</v>
      </c>
      <c r="K8" s="5" t="s">
        <v>5693</v>
      </c>
      <c r="L8" s="5" t="s">
        <v>5695</v>
      </c>
      <c r="M8" s="148" t="s">
        <v>5696</v>
      </c>
      <c r="N8" s="6" t="s">
        <v>24</v>
      </c>
      <c r="O8" s="2" t="s">
        <v>5372</v>
      </c>
      <c r="P8" s="12">
        <v>46064</v>
      </c>
    </row>
    <row r="9" spans="1:22" ht="90">
      <c r="A9" s="1">
        <v>8</v>
      </c>
      <c r="B9" s="5" t="s">
        <v>5703</v>
      </c>
      <c r="C9" s="5"/>
      <c r="D9" s="5"/>
      <c r="E9" s="5" t="s">
        <v>30</v>
      </c>
      <c r="F9" s="5" t="s">
        <v>22</v>
      </c>
      <c r="G9" s="5" t="s">
        <v>5656</v>
      </c>
      <c r="H9" s="9" t="s">
        <v>5698</v>
      </c>
      <c r="I9" s="5" t="s">
        <v>933</v>
      </c>
      <c r="J9" s="5" t="s">
        <v>5699</v>
      </c>
      <c r="K9" s="5" t="s">
        <v>5700</v>
      </c>
      <c r="L9" s="5" t="s">
        <v>5701</v>
      </c>
      <c r="M9" s="148" t="s">
        <v>5702</v>
      </c>
      <c r="N9" s="6" t="s">
        <v>24</v>
      </c>
      <c r="O9" s="2" t="s">
        <v>5372</v>
      </c>
      <c r="P9" s="12">
        <v>46064</v>
      </c>
    </row>
    <row r="10" spans="1:22" ht="120">
      <c r="A10" s="1">
        <v>9</v>
      </c>
      <c r="B10" s="5" t="s">
        <v>5707</v>
      </c>
      <c r="C10" s="5"/>
      <c r="D10" s="5"/>
      <c r="E10" s="5" t="s">
        <v>30</v>
      </c>
      <c r="F10" s="5" t="s">
        <v>22</v>
      </c>
      <c r="G10" s="5" t="s">
        <v>5656</v>
      </c>
      <c r="H10" s="9" t="s">
        <v>5704</v>
      </c>
      <c r="I10" s="5" t="s">
        <v>933</v>
      </c>
      <c r="J10" s="5" t="s">
        <v>5705</v>
      </c>
      <c r="K10" s="127" t="s">
        <v>5712</v>
      </c>
      <c r="L10" s="118" t="s">
        <v>5706</v>
      </c>
      <c r="M10" s="118" t="s">
        <v>2903</v>
      </c>
      <c r="N10" s="6" t="s">
        <v>24</v>
      </c>
      <c r="O10" s="2" t="s">
        <v>5372</v>
      </c>
      <c r="P10" s="12">
        <v>46064</v>
      </c>
    </row>
    <row r="11" spans="1:22" ht="90">
      <c r="A11" s="1">
        <v>10</v>
      </c>
      <c r="B11" s="5" t="s">
        <v>5708</v>
      </c>
      <c r="C11" s="5"/>
      <c r="D11" s="5"/>
      <c r="E11" s="5" t="s">
        <v>30</v>
      </c>
      <c r="F11" s="5" t="s">
        <v>22</v>
      </c>
      <c r="G11" s="5" t="s">
        <v>5656</v>
      </c>
      <c r="H11" s="5" t="s">
        <v>5709</v>
      </c>
      <c r="I11" s="5" t="s">
        <v>933</v>
      </c>
      <c r="J11" s="5" t="s">
        <v>5710</v>
      </c>
      <c r="K11" s="5" t="s">
        <v>5711</v>
      </c>
      <c r="L11" s="5" t="s">
        <v>5713</v>
      </c>
      <c r="M11" s="5" t="s">
        <v>258</v>
      </c>
      <c r="N11" s="6" t="s">
        <v>24</v>
      </c>
      <c r="O11" s="2" t="s">
        <v>5372</v>
      </c>
      <c r="P11" s="12">
        <v>46064</v>
      </c>
    </row>
    <row r="12" spans="1:22" ht="90">
      <c r="A12" s="1">
        <v>11</v>
      </c>
      <c r="B12" s="5" t="s">
        <v>5714</v>
      </c>
      <c r="C12" s="5"/>
      <c r="D12" s="5"/>
      <c r="E12" s="5" t="s">
        <v>30</v>
      </c>
      <c r="F12" s="5" t="s">
        <v>22</v>
      </c>
      <c r="G12" s="5" t="s">
        <v>5656</v>
      </c>
      <c r="H12" s="5" t="s">
        <v>5715</v>
      </c>
      <c r="I12" s="5" t="s">
        <v>933</v>
      </c>
      <c r="J12" s="5" t="s">
        <v>5716</v>
      </c>
      <c r="K12" s="127" t="s">
        <v>5722</v>
      </c>
      <c r="L12" s="118" t="s">
        <v>5717</v>
      </c>
      <c r="M12" s="5" t="s">
        <v>258</v>
      </c>
      <c r="N12" s="6" t="s">
        <v>24</v>
      </c>
      <c r="O12" s="2" t="s">
        <v>5372</v>
      </c>
      <c r="P12" s="12">
        <v>46064</v>
      </c>
    </row>
    <row r="13" spans="1:22" ht="90">
      <c r="A13" s="1">
        <v>12</v>
      </c>
      <c r="B13" s="5" t="s">
        <v>5718</v>
      </c>
      <c r="C13" s="5"/>
      <c r="D13" s="5"/>
      <c r="E13" s="5" t="s">
        <v>30</v>
      </c>
      <c r="F13" s="5" t="s">
        <v>22</v>
      </c>
      <c r="G13" s="5" t="s">
        <v>5656</v>
      </c>
      <c r="H13" s="5" t="s">
        <v>5719</v>
      </c>
      <c r="I13" s="5" t="s">
        <v>933</v>
      </c>
      <c r="J13" s="5" t="s">
        <v>5720</v>
      </c>
      <c r="K13" s="127" t="s">
        <v>5721</v>
      </c>
      <c r="L13" s="118" t="s">
        <v>5723</v>
      </c>
      <c r="M13" s="5" t="s">
        <v>258</v>
      </c>
      <c r="N13" s="6" t="s">
        <v>24</v>
      </c>
      <c r="O13" s="2" t="s">
        <v>5372</v>
      </c>
      <c r="P13" s="12">
        <v>46064</v>
      </c>
    </row>
    <row r="14" spans="1:22" ht="90">
      <c r="A14" s="1">
        <v>13</v>
      </c>
      <c r="B14" s="5" t="s">
        <v>5724</v>
      </c>
      <c r="C14" s="5"/>
      <c r="D14" s="5"/>
      <c r="E14" s="5" t="s">
        <v>30</v>
      </c>
      <c r="F14" s="5" t="s">
        <v>22</v>
      </c>
      <c r="G14" s="5" t="s">
        <v>5656</v>
      </c>
      <c r="H14" s="5" t="s">
        <v>5725</v>
      </c>
      <c r="I14" s="5" t="s">
        <v>933</v>
      </c>
      <c r="J14" s="5" t="s">
        <v>5726</v>
      </c>
      <c r="K14" s="127" t="s">
        <v>5727</v>
      </c>
      <c r="L14" s="118" t="s">
        <v>5728</v>
      </c>
      <c r="M14" s="5" t="s">
        <v>258</v>
      </c>
      <c r="N14" s="6" t="s">
        <v>24</v>
      </c>
      <c r="O14" s="2" t="s">
        <v>5372</v>
      </c>
      <c r="P14" s="12">
        <v>46064</v>
      </c>
    </row>
    <row r="15" spans="1:22" ht="90">
      <c r="A15" s="1">
        <v>14</v>
      </c>
      <c r="B15" s="5" t="s">
        <v>5729</v>
      </c>
      <c r="C15" s="5"/>
      <c r="D15" s="5"/>
      <c r="E15" s="5" t="s">
        <v>30</v>
      </c>
      <c r="F15" s="5" t="s">
        <v>22</v>
      </c>
      <c r="G15" s="5" t="s">
        <v>5656</v>
      </c>
      <c r="H15" s="5" t="s">
        <v>5730</v>
      </c>
      <c r="I15" s="5" t="s">
        <v>933</v>
      </c>
      <c r="J15" s="5" t="s">
        <v>5731</v>
      </c>
      <c r="K15" s="127" t="s">
        <v>5732</v>
      </c>
      <c r="L15" s="118" t="s">
        <v>5733</v>
      </c>
      <c r="M15" s="5" t="s">
        <v>258</v>
      </c>
      <c r="N15" s="6" t="s">
        <v>24</v>
      </c>
      <c r="O15" s="2" t="s">
        <v>5372</v>
      </c>
      <c r="P15" s="12">
        <v>46064</v>
      </c>
    </row>
    <row r="16" spans="1:22" ht="90">
      <c r="A16" s="1">
        <v>15</v>
      </c>
      <c r="B16" s="5" t="s">
        <v>5738</v>
      </c>
      <c r="C16" s="5"/>
      <c r="D16" s="5"/>
      <c r="E16" s="5" t="s">
        <v>30</v>
      </c>
      <c r="F16" s="5" t="s">
        <v>22</v>
      </c>
      <c r="G16" s="5" t="s">
        <v>5656</v>
      </c>
      <c r="H16" s="5" t="s">
        <v>5734</v>
      </c>
      <c r="I16" s="5" t="s">
        <v>933</v>
      </c>
      <c r="J16" s="5" t="s">
        <v>5735</v>
      </c>
      <c r="K16" s="127" t="s">
        <v>5736</v>
      </c>
      <c r="L16" s="118" t="s">
        <v>5737</v>
      </c>
      <c r="M16" s="5" t="s">
        <v>258</v>
      </c>
      <c r="N16" s="6" t="s">
        <v>24</v>
      </c>
      <c r="O16" s="2" t="s">
        <v>5372</v>
      </c>
      <c r="P16" s="12">
        <v>46064</v>
      </c>
    </row>
    <row r="17" spans="1:16" ht="90">
      <c r="A17" s="1">
        <v>16</v>
      </c>
      <c r="B17" s="5" t="s">
        <v>5739</v>
      </c>
      <c r="C17" s="5"/>
      <c r="D17" s="5"/>
      <c r="E17" s="5" t="s">
        <v>30</v>
      </c>
      <c r="F17" s="5" t="s">
        <v>22</v>
      </c>
      <c r="G17" s="5" t="s">
        <v>5656</v>
      </c>
      <c r="H17" s="5" t="s">
        <v>5740</v>
      </c>
      <c r="I17" s="5" t="s">
        <v>933</v>
      </c>
      <c r="J17" s="5" t="s">
        <v>5741</v>
      </c>
      <c r="K17" s="127" t="s">
        <v>5742</v>
      </c>
      <c r="L17" s="118" t="s">
        <v>5743</v>
      </c>
      <c r="M17" s="5" t="s">
        <v>258</v>
      </c>
      <c r="N17" s="6" t="s">
        <v>24</v>
      </c>
      <c r="O17" s="2" t="s">
        <v>5372</v>
      </c>
      <c r="P17" s="12">
        <v>46064</v>
      </c>
    </row>
    <row r="18" spans="1:16" ht="105">
      <c r="A18" s="1">
        <v>17</v>
      </c>
      <c r="B18" s="5" t="s">
        <v>5744</v>
      </c>
      <c r="C18" s="5"/>
      <c r="D18" s="5"/>
      <c r="E18" s="5" t="s">
        <v>30</v>
      </c>
      <c r="F18" s="5" t="s">
        <v>22</v>
      </c>
      <c r="G18" s="5" t="s">
        <v>5656</v>
      </c>
      <c r="H18" s="5" t="s">
        <v>5745</v>
      </c>
      <c r="I18" s="5" t="s">
        <v>933</v>
      </c>
      <c r="J18" s="5" t="s">
        <v>5746</v>
      </c>
      <c r="K18" s="5" t="s">
        <v>5747</v>
      </c>
      <c r="L18" s="5" t="s">
        <v>5748</v>
      </c>
      <c r="M18" s="5" t="s">
        <v>5755</v>
      </c>
      <c r="N18" s="32" t="s">
        <v>333</v>
      </c>
      <c r="O18" s="2" t="s">
        <v>5372</v>
      </c>
      <c r="P18" s="12">
        <v>46064</v>
      </c>
    </row>
    <row r="19" spans="1:16" ht="180">
      <c r="A19" s="1">
        <v>18</v>
      </c>
      <c r="B19" s="5" t="s">
        <v>5749</v>
      </c>
      <c r="C19" s="5"/>
      <c r="D19" s="5"/>
      <c r="E19" s="5" t="s">
        <v>30</v>
      </c>
      <c r="F19" s="5" t="s">
        <v>22</v>
      </c>
      <c r="G19" s="5" t="s">
        <v>5656</v>
      </c>
      <c r="H19" s="9" t="s">
        <v>5752</v>
      </c>
      <c r="I19" s="5" t="s">
        <v>933</v>
      </c>
      <c r="J19" s="121" t="s">
        <v>5753</v>
      </c>
      <c r="K19" s="1" t="s">
        <v>5754</v>
      </c>
      <c r="L19" s="1" t="s">
        <v>5756</v>
      </c>
      <c r="M19" s="118" t="s">
        <v>5757</v>
      </c>
      <c r="N19" s="32" t="s">
        <v>333</v>
      </c>
      <c r="O19" s="2" t="s">
        <v>5372</v>
      </c>
      <c r="P19" s="12">
        <v>46064</v>
      </c>
    </row>
    <row r="20" spans="1:16" ht="180">
      <c r="A20" s="1">
        <v>19</v>
      </c>
      <c r="B20" s="5" t="s">
        <v>5758</v>
      </c>
      <c r="C20" s="5"/>
      <c r="D20" s="5"/>
      <c r="E20" s="5" t="s">
        <v>30</v>
      </c>
      <c r="F20" s="5" t="s">
        <v>22</v>
      </c>
      <c r="G20" s="5" t="s">
        <v>5656</v>
      </c>
      <c r="H20" s="5" t="s">
        <v>5750</v>
      </c>
      <c r="I20" s="5" t="s">
        <v>933</v>
      </c>
      <c r="J20" s="5" t="s">
        <v>5751</v>
      </c>
      <c r="K20" s="123" t="s">
        <v>255</v>
      </c>
      <c r="L20" s="118" t="s">
        <v>5759</v>
      </c>
      <c r="M20" s="5" t="s">
        <v>5755</v>
      </c>
      <c r="N20" s="32" t="s">
        <v>333</v>
      </c>
      <c r="O20" s="2" t="s">
        <v>5372</v>
      </c>
      <c r="P20" s="12">
        <v>46064</v>
      </c>
    </row>
    <row r="21" spans="1:16" ht="165">
      <c r="A21" s="1">
        <v>20</v>
      </c>
      <c r="B21" s="5" t="s">
        <v>5760</v>
      </c>
      <c r="C21" s="5"/>
      <c r="D21" s="5"/>
      <c r="E21" s="5" t="s">
        <v>30</v>
      </c>
      <c r="F21" s="5" t="s">
        <v>22</v>
      </c>
      <c r="G21" s="5" t="s">
        <v>5656</v>
      </c>
      <c r="H21" s="5" t="s">
        <v>5761</v>
      </c>
      <c r="I21" s="5" t="s">
        <v>933</v>
      </c>
      <c r="J21" s="5" t="s">
        <v>5762</v>
      </c>
      <c r="K21" s="118" t="s">
        <v>5763</v>
      </c>
      <c r="L21" s="118" t="s">
        <v>5764</v>
      </c>
      <c r="M21" s="118" t="s">
        <v>258</v>
      </c>
      <c r="N21" s="6" t="s">
        <v>24</v>
      </c>
      <c r="O21" s="2" t="s">
        <v>5372</v>
      </c>
      <c r="P21" s="12">
        <v>46064</v>
      </c>
    </row>
    <row r="22" spans="1:16" ht="255">
      <c r="A22" s="1">
        <v>21</v>
      </c>
      <c r="B22" s="5" t="s">
        <v>5765</v>
      </c>
      <c r="C22" s="5"/>
      <c r="D22" s="5"/>
      <c r="E22" s="5" t="s">
        <v>30</v>
      </c>
      <c r="F22" s="5" t="s">
        <v>22</v>
      </c>
      <c r="G22" s="5" t="s">
        <v>5656</v>
      </c>
      <c r="H22" s="5" t="s">
        <v>5766</v>
      </c>
      <c r="I22" s="5" t="s">
        <v>933</v>
      </c>
      <c r="J22" s="5" t="s">
        <v>5767</v>
      </c>
      <c r="K22" s="118" t="s">
        <v>5763</v>
      </c>
      <c r="L22" s="5" t="s">
        <v>5768</v>
      </c>
      <c r="M22" s="118" t="s">
        <v>5769</v>
      </c>
      <c r="N22" s="33" t="s">
        <v>47</v>
      </c>
      <c r="O22" s="2" t="s">
        <v>5372</v>
      </c>
      <c r="P22" s="12">
        <v>46064</v>
      </c>
    </row>
    <row r="23" spans="1:16" ht="90">
      <c r="A23" s="1">
        <v>22</v>
      </c>
      <c r="B23" s="5" t="s">
        <v>5770</v>
      </c>
      <c r="C23" s="5"/>
      <c r="D23" s="5"/>
      <c r="E23" s="5" t="s">
        <v>30</v>
      </c>
      <c r="F23" s="5" t="s">
        <v>22</v>
      </c>
      <c r="G23" s="5" t="s">
        <v>5656</v>
      </c>
      <c r="H23" s="5" t="s">
        <v>5771</v>
      </c>
      <c r="I23" s="5" t="s">
        <v>933</v>
      </c>
      <c r="J23" s="5" t="s">
        <v>5772</v>
      </c>
      <c r="K23" s="5" t="s">
        <v>890</v>
      </c>
      <c r="L23" s="5" t="s">
        <v>5042</v>
      </c>
      <c r="M23" s="5" t="s">
        <v>1773</v>
      </c>
      <c r="N23" s="6" t="s">
        <v>24</v>
      </c>
      <c r="O23" s="2" t="s">
        <v>5372</v>
      </c>
      <c r="P23" s="12">
        <v>46064</v>
      </c>
    </row>
    <row r="24" spans="1:16" ht="90">
      <c r="A24" s="1">
        <v>23</v>
      </c>
      <c r="B24" s="5" t="s">
        <v>5773</v>
      </c>
      <c r="C24" s="5"/>
      <c r="D24" s="5"/>
      <c r="E24" s="5" t="s">
        <v>30</v>
      </c>
      <c r="F24" s="5" t="s">
        <v>22</v>
      </c>
      <c r="G24" s="5" t="s">
        <v>5656</v>
      </c>
      <c r="H24" s="5" t="s">
        <v>5774</v>
      </c>
      <c r="I24" s="5" t="s">
        <v>933</v>
      </c>
      <c r="J24" s="1" t="s">
        <v>5779</v>
      </c>
      <c r="K24" s="1" t="s">
        <v>5180</v>
      </c>
      <c r="L24" s="1" t="s">
        <v>5173</v>
      </c>
      <c r="M24" s="1" t="s">
        <v>5174</v>
      </c>
      <c r="N24" s="6" t="s">
        <v>24</v>
      </c>
      <c r="O24" s="2" t="s">
        <v>5372</v>
      </c>
      <c r="P24" s="12">
        <v>46064</v>
      </c>
    </row>
    <row r="25" spans="1:16" ht="90">
      <c r="A25" s="1">
        <v>24</v>
      </c>
      <c r="B25" s="5" t="s">
        <v>5782</v>
      </c>
      <c r="C25" s="5"/>
      <c r="D25" s="5"/>
      <c r="E25" s="5" t="s">
        <v>30</v>
      </c>
      <c r="F25" s="5" t="s">
        <v>22</v>
      </c>
      <c r="G25" s="5" t="s">
        <v>5656</v>
      </c>
      <c r="H25" s="5" t="s">
        <v>5775</v>
      </c>
      <c r="I25" s="5" t="s">
        <v>933</v>
      </c>
      <c r="J25" s="1" t="s">
        <v>5778</v>
      </c>
      <c r="K25" s="1" t="s">
        <v>5180</v>
      </c>
      <c r="L25" s="1" t="s">
        <v>5181</v>
      </c>
      <c r="M25" s="1" t="s">
        <v>5182</v>
      </c>
      <c r="N25" s="6" t="s">
        <v>24</v>
      </c>
      <c r="O25" s="2" t="s">
        <v>5372</v>
      </c>
      <c r="P25" s="12">
        <v>46064</v>
      </c>
    </row>
    <row r="26" spans="1:16" ht="90">
      <c r="A26" s="1">
        <v>25</v>
      </c>
      <c r="B26" s="5" t="s">
        <v>5783</v>
      </c>
      <c r="C26" s="5"/>
      <c r="D26" s="5"/>
      <c r="E26" s="5" t="s">
        <v>30</v>
      </c>
      <c r="F26" s="5" t="s">
        <v>22</v>
      </c>
      <c r="G26" s="5" t="s">
        <v>5656</v>
      </c>
      <c r="H26" s="5" t="s">
        <v>5776</v>
      </c>
      <c r="I26" s="5" t="s">
        <v>933</v>
      </c>
      <c r="J26" s="1" t="s">
        <v>5780</v>
      </c>
      <c r="K26" s="1" t="s">
        <v>255</v>
      </c>
      <c r="L26" s="1" t="s">
        <v>5187</v>
      </c>
      <c r="M26" s="1" t="s">
        <v>5188</v>
      </c>
      <c r="N26" s="6" t="s">
        <v>24</v>
      </c>
      <c r="O26" s="2" t="s">
        <v>5372</v>
      </c>
      <c r="P26" s="12">
        <v>46064</v>
      </c>
    </row>
    <row r="27" spans="1:16" ht="105">
      <c r="A27" s="1">
        <v>26</v>
      </c>
      <c r="B27" s="5" t="s">
        <v>5784</v>
      </c>
      <c r="C27" s="5"/>
      <c r="D27" s="5"/>
      <c r="E27" s="5" t="s">
        <v>30</v>
      </c>
      <c r="F27" s="5" t="s">
        <v>22</v>
      </c>
      <c r="G27" s="5" t="s">
        <v>5656</v>
      </c>
      <c r="H27" s="5" t="s">
        <v>5777</v>
      </c>
      <c r="I27" s="5" t="s">
        <v>933</v>
      </c>
      <c r="J27" s="1" t="s">
        <v>5781</v>
      </c>
      <c r="K27" s="1" t="s">
        <v>255</v>
      </c>
      <c r="L27" s="1" t="s">
        <v>5192</v>
      </c>
      <c r="M27" s="1" t="s">
        <v>5193</v>
      </c>
      <c r="N27" s="6" t="s">
        <v>24</v>
      </c>
      <c r="O27" s="2" t="s">
        <v>5372</v>
      </c>
      <c r="P27" s="12">
        <v>46064</v>
      </c>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dimension ref="A1:V27"/>
  <sheetViews>
    <sheetView topLeftCell="I1" workbookViewId="0">
      <pane ySplit="1" topLeftCell="A23" activePane="bottomLeft" state="frozen"/>
      <selection pane="bottomLeft" activeCell="H24" sqref="H24:M27"/>
    </sheetView>
  </sheetViews>
  <sheetFormatPr defaultRowHeight="15"/>
  <cols>
    <col min="1" max="1" width="7.28515625" customWidth="1"/>
    <col min="2" max="2" width="16.42578125" customWidth="1"/>
    <col min="3" max="3" width="9.42578125" customWidth="1"/>
    <col min="4" max="4" width="19.42578125" customWidth="1"/>
    <col min="5" max="5" width="14.28515625" customWidth="1"/>
    <col min="6" max="6" width="11" customWidth="1"/>
    <col min="7" max="7" width="22.7109375" customWidth="1"/>
    <col min="8" max="8" width="57" customWidth="1"/>
    <col min="9" max="9" width="42.85546875" customWidth="1"/>
    <col min="10" max="10" width="55.140625" customWidth="1"/>
    <col min="11" max="11" width="32.85546875" customWidth="1"/>
    <col min="12" max="12" width="56.28515625" customWidth="1"/>
    <col min="13" max="13" width="46" customWidth="1"/>
    <col min="14" max="14" width="12.140625" customWidth="1"/>
    <col min="15" max="15" width="33.140625" customWidth="1"/>
    <col min="16" max="16" width="19.140625" customWidth="1"/>
    <col min="17" max="17" width="12.28515625" customWidth="1"/>
    <col min="18" max="18" width="13.85546875" customWidth="1"/>
    <col min="19" max="19" width="16.28515625" customWidth="1"/>
    <col min="20" max="20" width="20.85546875" customWidth="1"/>
    <col min="21" max="21" width="24.28515625" customWidth="1"/>
    <col min="22" max="22" width="11.28515625" customWidth="1"/>
  </cols>
  <sheetData>
    <row r="1" spans="1:22" s="92"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92" customFormat="1" ht="90">
      <c r="A2" s="1">
        <v>1</v>
      </c>
      <c r="B2" s="5" t="s">
        <v>5786</v>
      </c>
      <c r="C2" s="5"/>
      <c r="D2" s="5"/>
      <c r="E2" s="5" t="s">
        <v>30</v>
      </c>
      <c r="F2" s="5" t="s">
        <v>22</v>
      </c>
      <c r="G2" s="5" t="s">
        <v>5787</v>
      </c>
      <c r="H2" s="5" t="s">
        <v>5788</v>
      </c>
      <c r="I2" s="5" t="s">
        <v>933</v>
      </c>
      <c r="J2" s="5" t="s">
        <v>5789</v>
      </c>
      <c r="K2" s="5" t="s">
        <v>5198</v>
      </c>
      <c r="L2" s="5" t="s">
        <v>5790</v>
      </c>
      <c r="M2" s="5" t="s">
        <v>5791</v>
      </c>
      <c r="N2" s="6" t="s">
        <v>24</v>
      </c>
      <c r="O2" s="2" t="s">
        <v>5372</v>
      </c>
      <c r="P2" s="12">
        <v>46064</v>
      </c>
      <c r="Q2" s="5"/>
      <c r="R2" s="5"/>
      <c r="S2" s="5"/>
      <c r="T2" s="5"/>
      <c r="U2" s="5"/>
      <c r="V2" s="5"/>
    </row>
    <row r="3" spans="1:22" ht="225">
      <c r="A3" s="1">
        <v>2</v>
      </c>
      <c r="B3" s="5" t="s">
        <v>5792</v>
      </c>
      <c r="C3" s="5"/>
      <c r="D3" s="5"/>
      <c r="E3" s="5" t="s">
        <v>30</v>
      </c>
      <c r="F3" s="5" t="s">
        <v>22</v>
      </c>
      <c r="G3" s="5" t="s">
        <v>5787</v>
      </c>
      <c r="H3" s="9" t="s">
        <v>5793</v>
      </c>
      <c r="I3" s="5" t="s">
        <v>933</v>
      </c>
      <c r="J3" s="9" t="s">
        <v>5794</v>
      </c>
      <c r="K3" s="9" t="s">
        <v>255</v>
      </c>
      <c r="L3" s="1" t="s">
        <v>5064</v>
      </c>
      <c r="M3" s="1" t="s">
        <v>5795</v>
      </c>
      <c r="N3" s="129" t="s">
        <v>47</v>
      </c>
      <c r="O3" s="2" t="s">
        <v>5372</v>
      </c>
      <c r="P3" s="12">
        <v>46064</v>
      </c>
    </row>
    <row r="4" spans="1:22" ht="270">
      <c r="A4" s="1">
        <v>3</v>
      </c>
      <c r="B4" s="5" t="s">
        <v>5796</v>
      </c>
      <c r="C4" s="5"/>
      <c r="D4" s="5"/>
      <c r="E4" s="5" t="s">
        <v>30</v>
      </c>
      <c r="F4" s="5" t="s">
        <v>22</v>
      </c>
      <c r="G4" s="5" t="s">
        <v>5787</v>
      </c>
      <c r="H4" s="9" t="s">
        <v>5797</v>
      </c>
      <c r="I4" s="5" t="s">
        <v>933</v>
      </c>
      <c r="J4" s="9" t="s">
        <v>5798</v>
      </c>
      <c r="K4" s="9" t="s">
        <v>255</v>
      </c>
      <c r="L4" s="1" t="s">
        <v>5069</v>
      </c>
      <c r="M4" s="1" t="s">
        <v>5799</v>
      </c>
      <c r="N4" s="129" t="s">
        <v>47</v>
      </c>
      <c r="O4" s="2" t="s">
        <v>5372</v>
      </c>
      <c r="P4" s="12">
        <v>46064</v>
      </c>
    </row>
    <row r="5" spans="1:22" ht="90">
      <c r="A5" s="1">
        <v>4</v>
      </c>
      <c r="B5" s="5" t="s">
        <v>5800</v>
      </c>
      <c r="C5" s="5"/>
      <c r="D5" s="5"/>
      <c r="E5" s="5" t="s">
        <v>30</v>
      </c>
      <c r="F5" s="5" t="s">
        <v>22</v>
      </c>
      <c r="G5" s="5" t="s">
        <v>5787</v>
      </c>
      <c r="H5" s="9" t="s">
        <v>5801</v>
      </c>
      <c r="I5" s="5" t="s">
        <v>933</v>
      </c>
      <c r="J5" s="121" t="s">
        <v>5802</v>
      </c>
      <c r="K5" s="121" t="s">
        <v>5003</v>
      </c>
      <c r="L5" s="121" t="s">
        <v>5084</v>
      </c>
      <c r="M5" s="1" t="s">
        <v>5803</v>
      </c>
      <c r="N5" s="129" t="s">
        <v>47</v>
      </c>
      <c r="O5" s="2" t="s">
        <v>5372</v>
      </c>
      <c r="P5" s="12">
        <v>46064</v>
      </c>
    </row>
    <row r="6" spans="1:22" ht="90">
      <c r="A6" s="1">
        <v>5</v>
      </c>
      <c r="B6" s="5" t="s">
        <v>5804</v>
      </c>
      <c r="C6" s="5"/>
      <c r="D6" s="5"/>
      <c r="E6" s="5" t="s">
        <v>30</v>
      </c>
      <c r="F6" s="5" t="s">
        <v>22</v>
      </c>
      <c r="G6" s="5" t="s">
        <v>5787</v>
      </c>
      <c r="H6" s="9" t="s">
        <v>5805</v>
      </c>
      <c r="I6" s="5" t="s">
        <v>933</v>
      </c>
      <c r="J6" s="121" t="s">
        <v>5806</v>
      </c>
      <c r="K6" s="121" t="s">
        <v>5003</v>
      </c>
      <c r="L6" s="121" t="s">
        <v>5089</v>
      </c>
      <c r="M6" s="1" t="s">
        <v>5807</v>
      </c>
      <c r="N6" s="129" t="s">
        <v>47</v>
      </c>
      <c r="O6" s="2" t="s">
        <v>5372</v>
      </c>
      <c r="P6" s="12">
        <v>46064</v>
      </c>
    </row>
    <row r="7" spans="1:22" ht="105">
      <c r="A7" s="1">
        <v>6</v>
      </c>
      <c r="B7" s="5" t="s">
        <v>5808</v>
      </c>
      <c r="C7" s="5"/>
      <c r="D7" s="5"/>
      <c r="E7" s="5" t="s">
        <v>30</v>
      </c>
      <c r="F7" s="5" t="s">
        <v>22</v>
      </c>
      <c r="G7" s="5" t="s">
        <v>5787</v>
      </c>
      <c r="H7" s="9" t="s">
        <v>5809</v>
      </c>
      <c r="I7" s="5" t="s">
        <v>933</v>
      </c>
      <c r="J7" s="121" t="s">
        <v>5810</v>
      </c>
      <c r="K7" s="121" t="s">
        <v>5107</v>
      </c>
      <c r="L7" s="121" t="s">
        <v>5811</v>
      </c>
      <c r="M7" s="1" t="s">
        <v>5812</v>
      </c>
      <c r="N7" s="129" t="s">
        <v>47</v>
      </c>
      <c r="O7" s="2" t="s">
        <v>5372</v>
      </c>
      <c r="P7" s="12">
        <v>46065</v>
      </c>
    </row>
    <row r="8" spans="1:22" ht="165">
      <c r="A8" s="1">
        <v>7</v>
      </c>
      <c r="B8" s="5" t="s">
        <v>5813</v>
      </c>
      <c r="C8" s="5"/>
      <c r="D8" s="5"/>
      <c r="E8" s="5" t="s">
        <v>30</v>
      </c>
      <c r="F8" s="5" t="s">
        <v>22</v>
      </c>
      <c r="G8" s="5" t="s">
        <v>5787</v>
      </c>
      <c r="H8" s="9" t="s">
        <v>5817</v>
      </c>
      <c r="I8" s="5" t="s">
        <v>933</v>
      </c>
      <c r="J8" s="1" t="s">
        <v>5818</v>
      </c>
      <c r="K8" s="1" t="s">
        <v>5827</v>
      </c>
      <c r="L8" s="1" t="s">
        <v>5819</v>
      </c>
      <c r="M8" s="1"/>
      <c r="O8" s="2" t="s">
        <v>5372</v>
      </c>
      <c r="P8" s="12">
        <v>46065</v>
      </c>
    </row>
    <row r="9" spans="1:22" ht="165">
      <c r="A9" s="1">
        <v>8</v>
      </c>
      <c r="B9" s="5" t="s">
        <v>5814</v>
      </c>
      <c r="C9" s="5"/>
      <c r="D9" s="5"/>
      <c r="E9" s="5" t="s">
        <v>30</v>
      </c>
      <c r="F9" s="5" t="s">
        <v>22</v>
      </c>
      <c r="G9" s="5" t="s">
        <v>5787</v>
      </c>
      <c r="H9" s="9" t="s">
        <v>5815</v>
      </c>
      <c r="I9" s="5" t="s">
        <v>933</v>
      </c>
      <c r="J9" s="121" t="s">
        <v>5816</v>
      </c>
      <c r="K9" s="121" t="s">
        <v>5116</v>
      </c>
      <c r="L9" s="5" t="s">
        <v>5820</v>
      </c>
      <c r="M9" s="1" t="s">
        <v>5821</v>
      </c>
      <c r="N9" s="129" t="s">
        <v>47</v>
      </c>
      <c r="O9" s="2" t="s">
        <v>5372</v>
      </c>
      <c r="P9" s="12">
        <v>46065</v>
      </c>
    </row>
    <row r="10" spans="1:22" ht="165">
      <c r="A10" s="1">
        <v>9</v>
      </c>
      <c r="B10" s="5" t="s">
        <v>5822</v>
      </c>
      <c r="C10" s="5"/>
      <c r="D10" s="5"/>
      <c r="E10" s="5" t="s">
        <v>30</v>
      </c>
      <c r="F10" s="5" t="s">
        <v>22</v>
      </c>
      <c r="G10" s="5" t="s">
        <v>5787</v>
      </c>
      <c r="H10" s="9" t="s">
        <v>5823</v>
      </c>
      <c r="I10" s="5" t="s">
        <v>933</v>
      </c>
      <c r="J10" s="121" t="s">
        <v>5824</v>
      </c>
      <c r="K10" s="121" t="s">
        <v>5116</v>
      </c>
      <c r="L10" s="5" t="s">
        <v>5825</v>
      </c>
      <c r="M10" s="1" t="s">
        <v>5826</v>
      </c>
      <c r="N10" s="129" t="s">
        <v>47</v>
      </c>
      <c r="O10" s="2" t="s">
        <v>5372</v>
      </c>
      <c r="P10" s="12">
        <v>46065</v>
      </c>
    </row>
    <row r="11" spans="1:22" ht="165">
      <c r="A11" s="1">
        <v>10</v>
      </c>
      <c r="B11" s="5" t="s">
        <v>5828</v>
      </c>
      <c r="C11" s="5"/>
      <c r="D11" s="5"/>
      <c r="E11" s="5" t="s">
        <v>30</v>
      </c>
      <c r="F11" s="5" t="s">
        <v>22</v>
      </c>
      <c r="G11" s="5" t="s">
        <v>5787</v>
      </c>
      <c r="H11" s="9" t="s">
        <v>5829</v>
      </c>
      <c r="I11" s="5" t="s">
        <v>933</v>
      </c>
      <c r="J11" s="1" t="s">
        <v>5830</v>
      </c>
      <c r="K11" s="1" t="s">
        <v>5831</v>
      </c>
      <c r="L11" s="1" t="s">
        <v>5832</v>
      </c>
      <c r="M11" s="1"/>
      <c r="O11" s="2" t="s">
        <v>5372</v>
      </c>
      <c r="P11" s="12">
        <v>46065</v>
      </c>
    </row>
    <row r="12" spans="1:22" ht="90">
      <c r="A12" s="1">
        <v>11</v>
      </c>
      <c r="B12" s="5" t="s">
        <v>5833</v>
      </c>
      <c r="C12" s="5"/>
      <c r="D12" s="5"/>
      <c r="E12" s="5" t="s">
        <v>30</v>
      </c>
      <c r="F12" s="5" t="s">
        <v>22</v>
      </c>
      <c r="G12" s="5" t="s">
        <v>5787</v>
      </c>
      <c r="H12" s="9" t="s">
        <v>5834</v>
      </c>
      <c r="I12" s="5" t="s">
        <v>933</v>
      </c>
      <c r="J12" s="5" t="s">
        <v>5835</v>
      </c>
      <c r="K12" s="5" t="s">
        <v>5836</v>
      </c>
      <c r="L12" s="5" t="s">
        <v>5837</v>
      </c>
      <c r="M12" s="118" t="s">
        <v>5838</v>
      </c>
      <c r="N12" s="6" t="s">
        <v>24</v>
      </c>
      <c r="O12" s="2" t="s">
        <v>5372</v>
      </c>
      <c r="P12" s="12">
        <v>46065</v>
      </c>
    </row>
    <row r="13" spans="1:22" ht="105">
      <c r="A13" s="1">
        <v>12</v>
      </c>
      <c r="B13" s="5" t="s">
        <v>5839</v>
      </c>
      <c r="C13" s="5"/>
      <c r="D13" s="5"/>
      <c r="E13" s="5" t="s">
        <v>30</v>
      </c>
      <c r="F13" s="5" t="s">
        <v>22</v>
      </c>
      <c r="G13" s="5" t="s">
        <v>5787</v>
      </c>
      <c r="H13" s="9" t="s">
        <v>5841</v>
      </c>
      <c r="I13" s="5" t="s">
        <v>933</v>
      </c>
      <c r="J13" s="121" t="s">
        <v>5842</v>
      </c>
      <c r="K13" s="121" t="s">
        <v>5116</v>
      </c>
      <c r="L13" s="5" t="s">
        <v>5843</v>
      </c>
      <c r="M13" s="1" t="s">
        <v>5844</v>
      </c>
      <c r="N13" s="6" t="s">
        <v>24</v>
      </c>
      <c r="O13" s="2" t="s">
        <v>5372</v>
      </c>
      <c r="P13" s="12">
        <v>46065</v>
      </c>
    </row>
    <row r="14" spans="1:22" ht="165">
      <c r="A14" s="1">
        <v>13</v>
      </c>
      <c r="B14" s="5" t="s">
        <v>5845</v>
      </c>
      <c r="C14" s="5"/>
      <c r="D14" s="5"/>
      <c r="E14" s="5" t="s">
        <v>30</v>
      </c>
      <c r="F14" s="5" t="s">
        <v>22</v>
      </c>
      <c r="G14" s="5" t="s">
        <v>5787</v>
      </c>
      <c r="H14" s="9" t="s">
        <v>5846</v>
      </c>
      <c r="I14" s="5" t="s">
        <v>933</v>
      </c>
      <c r="J14" s="121" t="s">
        <v>5847</v>
      </c>
      <c r="K14" s="121" t="s">
        <v>5116</v>
      </c>
      <c r="L14" s="5" t="s">
        <v>5848</v>
      </c>
      <c r="M14" s="1" t="s">
        <v>5849</v>
      </c>
      <c r="N14" s="129" t="s">
        <v>47</v>
      </c>
      <c r="O14" s="2" t="s">
        <v>5372</v>
      </c>
      <c r="P14" s="12">
        <v>46065</v>
      </c>
    </row>
    <row r="15" spans="1:22" ht="165">
      <c r="A15" s="1">
        <v>14</v>
      </c>
      <c r="B15" s="5" t="s">
        <v>5850</v>
      </c>
      <c r="C15" s="5"/>
      <c r="D15" s="5"/>
      <c r="E15" s="5" t="s">
        <v>30</v>
      </c>
      <c r="F15" s="5" t="s">
        <v>22</v>
      </c>
      <c r="G15" s="5" t="s">
        <v>5787</v>
      </c>
      <c r="H15" s="9" t="s">
        <v>5851</v>
      </c>
      <c r="I15" s="5" t="s">
        <v>933</v>
      </c>
      <c r="J15" s="121" t="s">
        <v>5852</v>
      </c>
      <c r="K15" s="121" t="s">
        <v>5116</v>
      </c>
      <c r="L15" s="5" t="s">
        <v>5853</v>
      </c>
      <c r="M15" s="1" t="s">
        <v>5854</v>
      </c>
      <c r="N15" s="129" t="s">
        <v>47</v>
      </c>
      <c r="O15" s="2" t="s">
        <v>5372</v>
      </c>
      <c r="P15" s="12">
        <v>46065</v>
      </c>
    </row>
    <row r="16" spans="1:22" ht="165">
      <c r="A16" s="1">
        <v>15</v>
      </c>
      <c r="B16" s="5" t="s">
        <v>5855</v>
      </c>
      <c r="C16" s="5"/>
      <c r="D16" s="5"/>
      <c r="E16" s="5" t="s">
        <v>30</v>
      </c>
      <c r="F16" s="5" t="s">
        <v>22</v>
      </c>
      <c r="G16" s="5" t="s">
        <v>5787</v>
      </c>
      <c r="H16" s="9" t="s">
        <v>5856</v>
      </c>
      <c r="I16" s="5" t="s">
        <v>933</v>
      </c>
      <c r="J16" s="121" t="s">
        <v>5857</v>
      </c>
      <c r="K16" s="121" t="s">
        <v>5116</v>
      </c>
      <c r="L16" s="5" t="s">
        <v>5858</v>
      </c>
      <c r="M16" s="1" t="s">
        <v>5859</v>
      </c>
      <c r="N16" s="129" t="s">
        <v>47</v>
      </c>
      <c r="O16" s="2" t="s">
        <v>5372</v>
      </c>
      <c r="P16" s="12">
        <v>46065</v>
      </c>
    </row>
    <row r="17" spans="1:16" ht="90">
      <c r="A17" s="1">
        <v>16</v>
      </c>
      <c r="B17" s="5" t="s">
        <v>5860</v>
      </c>
      <c r="C17" s="5"/>
      <c r="D17" s="5"/>
      <c r="E17" s="5" t="s">
        <v>30</v>
      </c>
      <c r="F17" s="5" t="s">
        <v>22</v>
      </c>
      <c r="G17" s="5" t="s">
        <v>5787</v>
      </c>
      <c r="H17" s="9" t="s">
        <v>5861</v>
      </c>
      <c r="I17" s="5" t="s">
        <v>933</v>
      </c>
      <c r="J17" s="121" t="s">
        <v>5862</v>
      </c>
      <c r="K17" s="121" t="s">
        <v>5107</v>
      </c>
      <c r="L17" s="121" t="s">
        <v>5142</v>
      </c>
      <c r="M17" s="1" t="s">
        <v>5143</v>
      </c>
      <c r="N17" s="6" t="s">
        <v>24</v>
      </c>
      <c r="O17" s="2" t="s">
        <v>5372</v>
      </c>
      <c r="P17" s="12">
        <v>46065</v>
      </c>
    </row>
    <row r="18" spans="1:16" ht="195">
      <c r="A18" s="1">
        <v>17</v>
      </c>
      <c r="B18" s="5" t="s">
        <v>5863</v>
      </c>
      <c r="C18" s="5"/>
      <c r="D18" s="5"/>
      <c r="E18" s="5" t="s">
        <v>30</v>
      </c>
      <c r="F18" s="5" t="s">
        <v>22</v>
      </c>
      <c r="G18" s="5" t="s">
        <v>5787</v>
      </c>
      <c r="H18" s="9" t="s">
        <v>5864</v>
      </c>
      <c r="I18" s="5" t="s">
        <v>933</v>
      </c>
      <c r="J18" s="121" t="s">
        <v>5865</v>
      </c>
      <c r="K18" s="121" t="s">
        <v>5146</v>
      </c>
      <c r="L18" s="5" t="s">
        <v>5148</v>
      </c>
      <c r="M18" s="5" t="s">
        <v>5866</v>
      </c>
      <c r="N18" s="129" t="s">
        <v>47</v>
      </c>
      <c r="O18" s="2" t="s">
        <v>5372</v>
      </c>
      <c r="P18" s="12">
        <v>46065</v>
      </c>
    </row>
    <row r="19" spans="1:16" ht="195">
      <c r="A19" s="1">
        <v>18</v>
      </c>
      <c r="B19" s="5" t="s">
        <v>5867</v>
      </c>
      <c r="C19" s="5"/>
      <c r="D19" s="5"/>
      <c r="E19" s="5" t="s">
        <v>30</v>
      </c>
      <c r="F19" s="5" t="s">
        <v>22</v>
      </c>
      <c r="G19" s="5" t="s">
        <v>5787</v>
      </c>
      <c r="H19" s="9" t="s">
        <v>5868</v>
      </c>
      <c r="I19" s="5" t="s">
        <v>933</v>
      </c>
      <c r="J19" s="121" t="s">
        <v>5869</v>
      </c>
      <c r="K19" s="1" t="s">
        <v>5152</v>
      </c>
      <c r="L19" s="5" t="s">
        <v>5153</v>
      </c>
      <c r="M19" s="1" t="s">
        <v>5870</v>
      </c>
      <c r="N19" s="129" t="s">
        <v>47</v>
      </c>
      <c r="O19" s="2" t="s">
        <v>5372</v>
      </c>
      <c r="P19" s="12">
        <v>46065</v>
      </c>
    </row>
    <row r="20" spans="1:16" ht="195">
      <c r="A20" s="1">
        <v>19</v>
      </c>
      <c r="B20" s="5" t="s">
        <v>5871</v>
      </c>
      <c r="C20" s="5"/>
      <c r="D20" s="5"/>
      <c r="E20" s="5" t="s">
        <v>30</v>
      </c>
      <c r="F20" s="5" t="s">
        <v>22</v>
      </c>
      <c r="G20" s="5" t="s">
        <v>5787</v>
      </c>
      <c r="H20" s="9" t="s">
        <v>5872</v>
      </c>
      <c r="I20" s="5" t="s">
        <v>933</v>
      </c>
      <c r="J20" s="121" t="s">
        <v>6024</v>
      </c>
      <c r="K20" s="1" t="s">
        <v>5873</v>
      </c>
      <c r="L20" s="5" t="s">
        <v>5159</v>
      </c>
      <c r="M20" s="1" t="s">
        <v>5874</v>
      </c>
      <c r="N20" s="129" t="s">
        <v>47</v>
      </c>
      <c r="O20" s="2" t="s">
        <v>5372</v>
      </c>
      <c r="P20" s="12">
        <v>46065</v>
      </c>
    </row>
    <row r="21" spans="1:16" ht="150">
      <c r="A21" s="1">
        <v>20</v>
      </c>
      <c r="B21" s="5" t="s">
        <v>5875</v>
      </c>
      <c r="C21" s="5"/>
      <c r="D21" s="5"/>
      <c r="E21" s="5" t="s">
        <v>30</v>
      </c>
      <c r="F21" s="5" t="s">
        <v>22</v>
      </c>
      <c r="G21" s="5" t="s">
        <v>5787</v>
      </c>
      <c r="H21" s="5" t="s">
        <v>5876</v>
      </c>
      <c r="I21" s="5" t="s">
        <v>933</v>
      </c>
      <c r="J21" s="5" t="s">
        <v>5877</v>
      </c>
      <c r="K21" s="118" t="s">
        <v>4967</v>
      </c>
      <c r="L21" s="118" t="s">
        <v>5878</v>
      </c>
      <c r="M21" s="118" t="s">
        <v>5879</v>
      </c>
      <c r="O21" s="2" t="s">
        <v>5372</v>
      </c>
      <c r="P21" s="12">
        <v>46065</v>
      </c>
    </row>
    <row r="22" spans="1:16" ht="270">
      <c r="A22" s="1">
        <v>21</v>
      </c>
      <c r="B22" s="5" t="s">
        <v>5880</v>
      </c>
      <c r="C22" s="5"/>
      <c r="D22" s="5"/>
      <c r="E22" s="5" t="s">
        <v>30</v>
      </c>
      <c r="F22" s="5" t="s">
        <v>22</v>
      </c>
      <c r="G22" s="5" t="s">
        <v>5787</v>
      </c>
      <c r="H22" s="5" t="s">
        <v>5881</v>
      </c>
      <c r="I22" s="5" t="s">
        <v>933</v>
      </c>
      <c r="J22" s="5" t="s">
        <v>5882</v>
      </c>
      <c r="K22" s="118" t="s">
        <v>4967</v>
      </c>
      <c r="L22" s="5" t="s">
        <v>5168</v>
      </c>
      <c r="M22" s="126" t="s">
        <v>5883</v>
      </c>
      <c r="O22" s="2" t="s">
        <v>5372</v>
      </c>
      <c r="P22" s="12">
        <v>46065</v>
      </c>
    </row>
    <row r="23" spans="1:16" ht="90">
      <c r="A23" s="1">
        <v>22</v>
      </c>
      <c r="B23" s="5" t="s">
        <v>5884</v>
      </c>
      <c r="C23" s="5"/>
      <c r="D23" s="5"/>
      <c r="E23" s="5" t="s">
        <v>30</v>
      </c>
      <c r="F23" s="5" t="s">
        <v>22</v>
      </c>
      <c r="G23" s="5" t="s">
        <v>5787</v>
      </c>
      <c r="H23" s="5" t="s">
        <v>5885</v>
      </c>
      <c r="I23" s="5" t="s">
        <v>933</v>
      </c>
      <c r="J23" s="5" t="s">
        <v>5886</v>
      </c>
      <c r="K23" s="5" t="s">
        <v>890</v>
      </c>
      <c r="L23" s="5" t="s">
        <v>5042</v>
      </c>
      <c r="M23" s="5" t="s">
        <v>1773</v>
      </c>
      <c r="N23" s="6" t="s">
        <v>24</v>
      </c>
      <c r="O23" s="2" t="s">
        <v>5372</v>
      </c>
      <c r="P23" s="12">
        <v>46065</v>
      </c>
    </row>
    <row r="24" spans="1:16" ht="90">
      <c r="A24" s="1">
        <v>23</v>
      </c>
      <c r="B24" s="5" t="s">
        <v>5887</v>
      </c>
      <c r="C24" s="5"/>
      <c r="D24" s="5"/>
      <c r="E24" s="5" t="s">
        <v>30</v>
      </c>
      <c r="F24" s="5" t="s">
        <v>22</v>
      </c>
      <c r="G24" s="5" t="s">
        <v>5787</v>
      </c>
      <c r="H24" s="5" t="s">
        <v>5888</v>
      </c>
      <c r="I24" s="5" t="s">
        <v>933</v>
      </c>
      <c r="J24" s="1" t="s">
        <v>5889</v>
      </c>
      <c r="K24" s="1" t="s">
        <v>5180</v>
      </c>
      <c r="L24" s="1" t="s">
        <v>5173</v>
      </c>
      <c r="M24" s="126" t="s">
        <v>5890</v>
      </c>
      <c r="O24" s="2" t="s">
        <v>5372</v>
      </c>
      <c r="P24" s="12">
        <v>46065</v>
      </c>
    </row>
    <row r="25" spans="1:16" ht="90">
      <c r="A25" s="1">
        <v>24</v>
      </c>
      <c r="B25" s="5" t="s">
        <v>5891</v>
      </c>
      <c r="C25" s="5"/>
      <c r="D25" s="5"/>
      <c r="E25" s="5" t="s">
        <v>30</v>
      </c>
      <c r="F25" s="5" t="s">
        <v>22</v>
      </c>
      <c r="G25" s="5" t="s">
        <v>5787</v>
      </c>
      <c r="H25" s="5" t="s">
        <v>5892</v>
      </c>
      <c r="I25" s="5" t="s">
        <v>933</v>
      </c>
      <c r="J25" s="1" t="s">
        <v>5893</v>
      </c>
      <c r="K25" s="1" t="s">
        <v>5180</v>
      </c>
      <c r="L25" s="1" t="s">
        <v>5181</v>
      </c>
      <c r="M25" s="126" t="s">
        <v>5894</v>
      </c>
      <c r="O25" s="2" t="s">
        <v>5372</v>
      </c>
      <c r="P25" s="12">
        <v>46065</v>
      </c>
    </row>
    <row r="26" spans="1:16" ht="105">
      <c r="A26" s="1">
        <v>25</v>
      </c>
      <c r="B26" s="5" t="s">
        <v>5895</v>
      </c>
      <c r="C26" s="5"/>
      <c r="D26" s="5"/>
      <c r="E26" s="5" t="s">
        <v>30</v>
      </c>
      <c r="F26" s="5" t="s">
        <v>22</v>
      </c>
      <c r="G26" s="5" t="s">
        <v>5787</v>
      </c>
      <c r="H26" s="5" t="s">
        <v>5896</v>
      </c>
      <c r="I26" s="5" t="s">
        <v>933</v>
      </c>
      <c r="J26" s="1" t="s">
        <v>5897</v>
      </c>
      <c r="K26" s="1" t="s">
        <v>255</v>
      </c>
      <c r="L26" s="1" t="s">
        <v>5187</v>
      </c>
      <c r="M26" s="126" t="s">
        <v>5898</v>
      </c>
      <c r="O26" s="2" t="s">
        <v>5372</v>
      </c>
      <c r="P26" s="12">
        <v>46065</v>
      </c>
    </row>
    <row r="27" spans="1:16" ht="105">
      <c r="A27" s="1">
        <v>26</v>
      </c>
      <c r="B27" s="5" t="s">
        <v>5902</v>
      </c>
      <c r="C27" s="5"/>
      <c r="D27" s="5"/>
      <c r="E27" s="5" t="s">
        <v>30</v>
      </c>
      <c r="F27" s="5" t="s">
        <v>22</v>
      </c>
      <c r="G27" s="5" t="s">
        <v>5787</v>
      </c>
      <c r="H27" s="5" t="s">
        <v>5900</v>
      </c>
      <c r="I27" s="5" t="s">
        <v>933</v>
      </c>
      <c r="J27" s="1" t="s">
        <v>5901</v>
      </c>
      <c r="K27" s="1" t="s">
        <v>255</v>
      </c>
      <c r="L27" s="1" t="s">
        <v>5192</v>
      </c>
      <c r="M27" s="126" t="s">
        <v>5899</v>
      </c>
      <c r="O27" s="2" t="s">
        <v>5372</v>
      </c>
      <c r="P27" s="12">
        <v>46065</v>
      </c>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dimension ref="A1:V31"/>
  <sheetViews>
    <sheetView topLeftCell="K1" workbookViewId="0">
      <pane ySplit="1" topLeftCell="A2" activePane="bottomLeft" state="frozen"/>
      <selection pane="bottomLeft" activeCell="O2" sqref="O2"/>
    </sheetView>
  </sheetViews>
  <sheetFormatPr defaultRowHeight="15"/>
  <cols>
    <col min="1" max="1" width="7.140625" style="45" customWidth="1"/>
    <col min="2" max="2" width="18.7109375" style="45" customWidth="1"/>
    <col min="3" max="3" width="9.140625" style="45" customWidth="1"/>
    <col min="4" max="4" width="19.42578125" style="45" customWidth="1"/>
    <col min="5" max="5" width="13.140625" style="45" customWidth="1"/>
    <col min="6" max="6" width="11.140625" style="45" customWidth="1"/>
    <col min="7" max="7" width="19.85546875" style="45" customWidth="1"/>
    <col min="8" max="8" width="52.42578125" style="45" customWidth="1"/>
    <col min="9" max="9" width="33.7109375" style="45" customWidth="1"/>
    <col min="10" max="10" width="50.140625" style="45" customWidth="1"/>
    <col min="11" max="11" width="32.5703125" style="45" customWidth="1"/>
    <col min="12" max="12" width="51.140625" style="45" customWidth="1"/>
    <col min="13" max="13" width="45.7109375" style="45" customWidth="1"/>
    <col min="14" max="14" width="13" style="45" customWidth="1"/>
    <col min="15" max="15" width="35.42578125" style="45" customWidth="1"/>
    <col min="16" max="16" width="19.5703125" style="45" customWidth="1"/>
    <col min="17" max="17" width="11.7109375" style="45" customWidth="1"/>
    <col min="18" max="18" width="13.140625" style="45" customWidth="1"/>
    <col min="19" max="19" width="16.85546875" style="45" customWidth="1"/>
    <col min="20" max="20" width="20.42578125" style="45" customWidth="1"/>
    <col min="21" max="21" width="24.42578125" style="45" customWidth="1"/>
    <col min="22" max="22" width="12.140625" style="45" customWidth="1"/>
    <col min="23" max="16384" width="9.140625" style="45"/>
  </cols>
  <sheetData>
    <row r="1" spans="1:22" s="44" customFormat="1" ht="37.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s="44" customFormat="1" ht="105">
      <c r="A2" s="1">
        <v>1</v>
      </c>
      <c r="B2" s="5" t="s">
        <v>5904</v>
      </c>
      <c r="C2" s="5"/>
      <c r="D2" s="5"/>
      <c r="E2" s="5" t="s">
        <v>30</v>
      </c>
      <c r="F2" s="5" t="s">
        <v>22</v>
      </c>
      <c r="G2" s="5" t="s">
        <v>5905</v>
      </c>
      <c r="H2" s="5" t="s">
        <v>5906</v>
      </c>
      <c r="I2" s="5" t="s">
        <v>933</v>
      </c>
      <c r="J2" s="5" t="s">
        <v>5907</v>
      </c>
      <c r="K2" s="5" t="s">
        <v>5198</v>
      </c>
      <c r="L2" s="5" t="s">
        <v>5908</v>
      </c>
      <c r="M2" s="5" t="s">
        <v>5909</v>
      </c>
      <c r="N2" s="6" t="s">
        <v>24</v>
      </c>
      <c r="O2" s="2" t="s">
        <v>5372</v>
      </c>
      <c r="P2" s="12">
        <v>46066</v>
      </c>
      <c r="Q2" s="5"/>
      <c r="R2" s="5"/>
      <c r="S2" s="5"/>
      <c r="T2" s="5"/>
      <c r="U2" s="5"/>
      <c r="V2" s="5"/>
    </row>
    <row r="3" spans="1:22" ht="255">
      <c r="A3" s="1">
        <v>2</v>
      </c>
      <c r="B3" s="5" t="s">
        <v>5910</v>
      </c>
      <c r="C3" s="5"/>
      <c r="D3" s="5"/>
      <c r="E3" s="5" t="s">
        <v>30</v>
      </c>
      <c r="F3" s="5" t="s">
        <v>22</v>
      </c>
      <c r="G3" s="5" t="s">
        <v>5905</v>
      </c>
      <c r="H3" s="9" t="s">
        <v>5911</v>
      </c>
      <c r="I3" s="5" t="s">
        <v>933</v>
      </c>
      <c r="J3" s="5" t="s">
        <v>5912</v>
      </c>
      <c r="K3" s="9" t="s">
        <v>5266</v>
      </c>
      <c r="L3" s="1" t="s">
        <v>5913</v>
      </c>
      <c r="M3" s="1" t="s">
        <v>5914</v>
      </c>
      <c r="N3" s="6" t="s">
        <v>24</v>
      </c>
      <c r="O3" s="2" t="s">
        <v>5372</v>
      </c>
      <c r="P3" s="12">
        <v>46066</v>
      </c>
    </row>
    <row r="4" spans="1:22" ht="135">
      <c r="A4" s="1">
        <v>3</v>
      </c>
      <c r="B4" s="5" t="s">
        <v>5915</v>
      </c>
      <c r="C4" s="5"/>
      <c r="D4" s="5"/>
      <c r="E4" s="5" t="s">
        <v>30</v>
      </c>
      <c r="F4" s="5" t="s">
        <v>22</v>
      </c>
      <c r="G4" s="5" t="s">
        <v>5905</v>
      </c>
      <c r="H4" s="9" t="s">
        <v>5918</v>
      </c>
      <c r="I4" s="5" t="s">
        <v>933</v>
      </c>
      <c r="J4" s="5" t="s">
        <v>5919</v>
      </c>
      <c r="K4" s="9" t="s">
        <v>255</v>
      </c>
      <c r="L4" s="1" t="s">
        <v>5920</v>
      </c>
      <c r="M4" s="9" t="s">
        <v>5921</v>
      </c>
      <c r="N4" s="6" t="s">
        <v>24</v>
      </c>
      <c r="O4" s="2" t="s">
        <v>5372</v>
      </c>
      <c r="P4" s="12">
        <v>46066</v>
      </c>
    </row>
    <row r="5" spans="1:22" s="5" customFormat="1" ht="315">
      <c r="A5" s="1">
        <v>4</v>
      </c>
      <c r="B5" s="5" t="s">
        <v>5917</v>
      </c>
      <c r="E5" s="5" t="s">
        <v>30</v>
      </c>
      <c r="F5" s="5" t="s">
        <v>22</v>
      </c>
      <c r="G5" s="5" t="s">
        <v>5905</v>
      </c>
      <c r="H5" s="1" t="s">
        <v>5922</v>
      </c>
      <c r="I5" s="5" t="s">
        <v>933</v>
      </c>
      <c r="J5" s="5" t="s">
        <v>5923</v>
      </c>
      <c r="K5" s="9" t="s">
        <v>255</v>
      </c>
      <c r="L5" s="1" t="s">
        <v>5928</v>
      </c>
      <c r="M5" s="1" t="s">
        <v>5924</v>
      </c>
      <c r="N5" s="33" t="s">
        <v>47</v>
      </c>
      <c r="O5" s="2" t="s">
        <v>5372</v>
      </c>
      <c r="P5" s="12">
        <v>46066</v>
      </c>
    </row>
    <row r="6" spans="1:22" s="5" customFormat="1" ht="135">
      <c r="A6" s="1">
        <v>5</v>
      </c>
      <c r="B6" s="5" t="s">
        <v>5916</v>
      </c>
      <c r="E6" s="5" t="s">
        <v>30</v>
      </c>
      <c r="F6" s="5" t="s">
        <v>22</v>
      </c>
      <c r="G6" s="5" t="s">
        <v>5905</v>
      </c>
      <c r="H6" s="9" t="s">
        <v>5925</v>
      </c>
      <c r="I6" s="5" t="s">
        <v>933</v>
      </c>
      <c r="J6" s="5" t="s">
        <v>5927</v>
      </c>
      <c r="K6" s="5" t="s">
        <v>5926</v>
      </c>
      <c r="L6" s="5" t="s">
        <v>5929</v>
      </c>
      <c r="M6" s="130" t="s">
        <v>5930</v>
      </c>
      <c r="N6" s="6" t="s">
        <v>24</v>
      </c>
      <c r="O6" s="2" t="s">
        <v>5372</v>
      </c>
      <c r="P6" s="12">
        <v>46066</v>
      </c>
    </row>
    <row r="7" spans="1:22" ht="105">
      <c r="A7" s="1">
        <v>6</v>
      </c>
      <c r="B7" s="5" t="s">
        <v>5931</v>
      </c>
      <c r="C7" s="5"/>
      <c r="D7" s="5"/>
      <c r="E7" s="5" t="s">
        <v>30</v>
      </c>
      <c r="F7" s="5" t="s">
        <v>22</v>
      </c>
      <c r="G7" s="5" t="s">
        <v>5905</v>
      </c>
      <c r="H7" s="9" t="s">
        <v>5932</v>
      </c>
      <c r="I7" s="5" t="s">
        <v>933</v>
      </c>
      <c r="J7" s="121" t="s">
        <v>5933</v>
      </c>
      <c r="K7" s="121" t="s">
        <v>5107</v>
      </c>
      <c r="L7" s="121" t="s">
        <v>5934</v>
      </c>
      <c r="M7" s="1" t="s">
        <v>5935</v>
      </c>
      <c r="N7" s="33" t="s">
        <v>47</v>
      </c>
      <c r="O7" s="2" t="s">
        <v>5372</v>
      </c>
      <c r="P7" s="12">
        <v>46066</v>
      </c>
    </row>
    <row r="8" spans="1:22" ht="105">
      <c r="A8" s="1">
        <v>7</v>
      </c>
      <c r="B8" s="5" t="s">
        <v>5936</v>
      </c>
      <c r="C8" s="5"/>
      <c r="D8" s="5"/>
      <c r="E8" s="5" t="s">
        <v>30</v>
      </c>
      <c r="F8" s="5" t="s">
        <v>22</v>
      </c>
      <c r="G8" s="5" t="s">
        <v>5905</v>
      </c>
      <c r="H8" s="9" t="s">
        <v>5937</v>
      </c>
      <c r="I8" s="5" t="s">
        <v>933</v>
      </c>
      <c r="J8" s="121" t="s">
        <v>5938</v>
      </c>
      <c r="K8" s="121" t="s">
        <v>5107</v>
      </c>
      <c r="L8" s="121" t="s">
        <v>5939</v>
      </c>
      <c r="M8" s="1" t="s">
        <v>5940</v>
      </c>
      <c r="N8" s="33" t="s">
        <v>47</v>
      </c>
      <c r="O8" s="2" t="s">
        <v>5372</v>
      </c>
      <c r="P8" s="12">
        <v>46066</v>
      </c>
    </row>
    <row r="9" spans="1:22" ht="165">
      <c r="A9" s="1">
        <v>8</v>
      </c>
      <c r="B9" s="5" t="s">
        <v>5941</v>
      </c>
      <c r="C9" s="5"/>
      <c r="D9" s="5"/>
      <c r="E9" s="5" t="s">
        <v>30</v>
      </c>
      <c r="F9" s="5" t="s">
        <v>22</v>
      </c>
      <c r="G9" s="5" t="s">
        <v>5905</v>
      </c>
      <c r="H9" s="9" t="s">
        <v>5942</v>
      </c>
      <c r="I9" s="5" t="s">
        <v>933</v>
      </c>
      <c r="J9" s="1" t="s">
        <v>5943</v>
      </c>
      <c r="K9" s="1" t="s">
        <v>5944</v>
      </c>
      <c r="L9" s="1" t="s">
        <v>5945</v>
      </c>
      <c r="M9" s="1" t="s">
        <v>5947</v>
      </c>
      <c r="N9" s="6" t="s">
        <v>24</v>
      </c>
      <c r="O9" s="2" t="s">
        <v>5372</v>
      </c>
      <c r="P9" s="12">
        <v>46066</v>
      </c>
    </row>
    <row r="10" spans="1:22" ht="105">
      <c r="A10" s="1">
        <v>9</v>
      </c>
      <c r="B10" s="5" t="s">
        <v>5946</v>
      </c>
      <c r="C10" s="5"/>
      <c r="D10" s="5"/>
      <c r="E10" s="5" t="s">
        <v>30</v>
      </c>
      <c r="F10" s="5" t="s">
        <v>22</v>
      </c>
      <c r="G10" s="5" t="s">
        <v>5905</v>
      </c>
      <c r="H10" s="9" t="s">
        <v>5948</v>
      </c>
      <c r="I10" s="5" t="s">
        <v>933</v>
      </c>
      <c r="J10" s="121" t="s">
        <v>5949</v>
      </c>
      <c r="K10" s="121" t="s">
        <v>5107</v>
      </c>
      <c r="L10" s="121" t="s">
        <v>5950</v>
      </c>
      <c r="M10" s="1" t="s">
        <v>5951</v>
      </c>
      <c r="N10" s="33" t="s">
        <v>47</v>
      </c>
      <c r="O10" s="2" t="s">
        <v>5372</v>
      </c>
      <c r="P10" s="12">
        <v>46066</v>
      </c>
    </row>
    <row r="11" spans="1:22" ht="210">
      <c r="A11" s="1">
        <v>10</v>
      </c>
      <c r="B11" s="5" t="s">
        <v>5952</v>
      </c>
      <c r="C11" s="5"/>
      <c r="D11" s="5"/>
      <c r="E11" s="5" t="s">
        <v>30</v>
      </c>
      <c r="F11" s="5" t="s">
        <v>22</v>
      </c>
      <c r="G11" s="5" t="s">
        <v>5905</v>
      </c>
      <c r="H11" s="9" t="s">
        <v>5953</v>
      </c>
      <c r="I11" s="5" t="s">
        <v>933</v>
      </c>
      <c r="J11" s="1" t="s">
        <v>5956</v>
      </c>
      <c r="K11" s="1" t="s">
        <v>5954</v>
      </c>
      <c r="L11" s="1" t="s">
        <v>5955</v>
      </c>
      <c r="M11" s="1" t="s">
        <v>5973</v>
      </c>
      <c r="N11" s="41" t="s">
        <v>333</v>
      </c>
      <c r="O11" s="2" t="s">
        <v>5372</v>
      </c>
      <c r="P11" s="12">
        <v>46066</v>
      </c>
    </row>
    <row r="12" spans="1:22" ht="180">
      <c r="A12" s="1">
        <v>11</v>
      </c>
      <c r="B12" s="5" t="s">
        <v>5957</v>
      </c>
      <c r="C12" s="5"/>
      <c r="D12" s="5"/>
      <c r="E12" s="5" t="s">
        <v>30</v>
      </c>
      <c r="F12" s="5" t="s">
        <v>22</v>
      </c>
      <c r="G12" s="5" t="s">
        <v>5905</v>
      </c>
      <c r="H12" s="9" t="s">
        <v>5958</v>
      </c>
      <c r="I12" s="5" t="s">
        <v>933</v>
      </c>
      <c r="J12" s="121" t="s">
        <v>5959</v>
      </c>
      <c r="K12" s="121" t="s">
        <v>5116</v>
      </c>
      <c r="L12" s="5" t="s">
        <v>5960</v>
      </c>
      <c r="M12" s="1" t="s">
        <v>6011</v>
      </c>
      <c r="N12" s="33" t="s">
        <v>47</v>
      </c>
      <c r="O12" s="2" t="s">
        <v>5372</v>
      </c>
      <c r="P12" s="12">
        <v>46066</v>
      </c>
    </row>
    <row r="13" spans="1:22" ht="135">
      <c r="A13" s="1">
        <v>12</v>
      </c>
      <c r="B13" s="5" t="s">
        <v>5961</v>
      </c>
      <c r="C13" s="5"/>
      <c r="D13" s="5"/>
      <c r="E13" s="5" t="s">
        <v>30</v>
      </c>
      <c r="F13" s="5" t="s">
        <v>22</v>
      </c>
      <c r="G13" s="5" t="s">
        <v>5905</v>
      </c>
      <c r="H13" s="9" t="s">
        <v>5962</v>
      </c>
      <c r="I13" s="5" t="s">
        <v>933</v>
      </c>
      <c r="J13" s="5" t="s">
        <v>5963</v>
      </c>
      <c r="K13" s="5" t="s">
        <v>5964</v>
      </c>
      <c r="L13" s="5" t="s">
        <v>5965</v>
      </c>
      <c r="M13" s="118" t="s">
        <v>5966</v>
      </c>
      <c r="N13" s="6" t="s">
        <v>24</v>
      </c>
      <c r="O13" s="2" t="s">
        <v>5372</v>
      </c>
      <c r="P13" s="12">
        <v>46066</v>
      </c>
    </row>
    <row r="14" spans="1:22" ht="105">
      <c r="A14" s="1">
        <v>13</v>
      </c>
      <c r="B14" s="5" t="s">
        <v>5967</v>
      </c>
      <c r="C14" s="5"/>
      <c r="D14" s="5"/>
      <c r="E14" s="5" t="s">
        <v>30</v>
      </c>
      <c r="F14" s="5" t="s">
        <v>22</v>
      </c>
      <c r="G14" s="5" t="s">
        <v>5905</v>
      </c>
      <c r="H14" s="9" t="s">
        <v>5968</v>
      </c>
      <c r="I14" s="5" t="s">
        <v>933</v>
      </c>
      <c r="J14" s="121" t="s">
        <v>5969</v>
      </c>
      <c r="K14" s="121" t="s">
        <v>5107</v>
      </c>
      <c r="L14" s="121" t="s">
        <v>5970</v>
      </c>
      <c r="M14" s="1" t="s">
        <v>5971</v>
      </c>
      <c r="N14" s="41" t="s">
        <v>333</v>
      </c>
      <c r="O14" s="2" t="s">
        <v>5372</v>
      </c>
      <c r="P14" s="12">
        <v>46066</v>
      </c>
    </row>
    <row r="15" spans="1:22" ht="165">
      <c r="A15" s="1">
        <v>14</v>
      </c>
      <c r="B15" s="5" t="s">
        <v>5972</v>
      </c>
      <c r="C15" s="5"/>
      <c r="D15" s="5"/>
      <c r="E15" s="5" t="s">
        <v>30</v>
      </c>
      <c r="F15" s="5" t="s">
        <v>22</v>
      </c>
      <c r="G15" s="5" t="s">
        <v>5905</v>
      </c>
      <c r="H15" s="9" t="s">
        <v>5974</v>
      </c>
      <c r="I15" s="5" t="s">
        <v>933</v>
      </c>
      <c r="J15" s="1" t="s">
        <v>5975</v>
      </c>
      <c r="K15" s="1" t="s">
        <v>5976</v>
      </c>
      <c r="L15" s="1" t="s">
        <v>5977</v>
      </c>
      <c r="M15" s="1" t="s">
        <v>5978</v>
      </c>
      <c r="N15" s="41" t="s">
        <v>333</v>
      </c>
      <c r="O15" s="2" t="s">
        <v>5372</v>
      </c>
      <c r="P15" s="12">
        <v>46066</v>
      </c>
    </row>
    <row r="16" spans="1:22" ht="135">
      <c r="A16" s="1">
        <v>15</v>
      </c>
      <c r="B16" s="5" t="s">
        <v>5979</v>
      </c>
      <c r="C16" s="5"/>
      <c r="D16" s="5"/>
      <c r="E16" s="5" t="s">
        <v>30</v>
      </c>
      <c r="F16" s="5" t="s">
        <v>22</v>
      </c>
      <c r="G16" s="5" t="s">
        <v>5905</v>
      </c>
      <c r="H16" s="9" t="s">
        <v>5980</v>
      </c>
      <c r="I16" s="5" t="s">
        <v>933</v>
      </c>
      <c r="J16" s="5" t="s">
        <v>5981</v>
      </c>
      <c r="K16" s="5" t="s">
        <v>5982</v>
      </c>
      <c r="L16" s="5" t="s">
        <v>5695</v>
      </c>
      <c r="M16" s="118" t="s">
        <v>5983</v>
      </c>
      <c r="N16" s="41" t="s">
        <v>333</v>
      </c>
      <c r="O16" s="2" t="s">
        <v>5372</v>
      </c>
      <c r="P16" s="12">
        <v>46066</v>
      </c>
    </row>
    <row r="17" spans="1:16" ht="105">
      <c r="A17" s="1">
        <v>16</v>
      </c>
      <c r="B17" s="5" t="s">
        <v>5984</v>
      </c>
      <c r="C17" s="5"/>
      <c r="D17" s="5"/>
      <c r="E17" s="5" t="s">
        <v>30</v>
      </c>
      <c r="F17" s="5" t="s">
        <v>22</v>
      </c>
      <c r="G17" s="5" t="s">
        <v>5905</v>
      </c>
      <c r="H17" s="5" t="s">
        <v>5985</v>
      </c>
      <c r="I17" s="5" t="s">
        <v>933</v>
      </c>
      <c r="J17" s="5" t="s">
        <v>5986</v>
      </c>
      <c r="K17" s="5" t="s">
        <v>5987</v>
      </c>
      <c r="L17" s="5" t="s">
        <v>5988</v>
      </c>
      <c r="M17" s="5" t="s">
        <v>6036</v>
      </c>
      <c r="N17" s="6" t="s">
        <v>24</v>
      </c>
      <c r="O17" s="2" t="s">
        <v>5372</v>
      </c>
      <c r="P17" s="12">
        <v>46066</v>
      </c>
    </row>
    <row r="18" spans="1:16" ht="105">
      <c r="A18" s="1">
        <v>17</v>
      </c>
      <c r="B18" s="5" t="s">
        <v>5989</v>
      </c>
      <c r="C18" s="5"/>
      <c r="D18" s="5"/>
      <c r="E18" s="5" t="s">
        <v>30</v>
      </c>
      <c r="F18" s="5" t="s">
        <v>22</v>
      </c>
      <c r="G18" s="5" t="s">
        <v>5905</v>
      </c>
      <c r="H18" s="9" t="s">
        <v>5990</v>
      </c>
      <c r="I18" s="5" t="s">
        <v>933</v>
      </c>
      <c r="J18" s="121" t="s">
        <v>5991</v>
      </c>
      <c r="K18" s="121" t="s">
        <v>5107</v>
      </c>
      <c r="L18" s="121" t="s">
        <v>5992</v>
      </c>
      <c r="M18" s="1" t="s">
        <v>5993</v>
      </c>
      <c r="N18" s="41" t="s">
        <v>333</v>
      </c>
      <c r="O18" s="2" t="s">
        <v>5372</v>
      </c>
      <c r="P18" s="12">
        <v>46066</v>
      </c>
    </row>
    <row r="19" spans="1:16" ht="105">
      <c r="A19" s="1">
        <v>18</v>
      </c>
      <c r="B19" s="5" t="s">
        <v>5994</v>
      </c>
      <c r="C19" s="5"/>
      <c r="D19" s="5"/>
      <c r="E19" s="5" t="s">
        <v>30</v>
      </c>
      <c r="F19" s="5" t="s">
        <v>22</v>
      </c>
      <c r="G19" s="5" t="s">
        <v>5905</v>
      </c>
      <c r="H19" s="9" t="s">
        <v>5995</v>
      </c>
      <c r="I19" s="5" t="s">
        <v>933</v>
      </c>
      <c r="J19" s="121" t="s">
        <v>5996</v>
      </c>
      <c r="K19" s="121" t="s">
        <v>5107</v>
      </c>
      <c r="L19" s="121" t="s">
        <v>5997</v>
      </c>
      <c r="M19" s="1" t="s">
        <v>5998</v>
      </c>
      <c r="N19" s="6" t="s">
        <v>24</v>
      </c>
      <c r="O19" s="2" t="s">
        <v>5372</v>
      </c>
      <c r="P19" s="12">
        <v>46066</v>
      </c>
    </row>
    <row r="20" spans="1:16" ht="165">
      <c r="A20" s="1">
        <v>19</v>
      </c>
      <c r="B20" s="5" t="s">
        <v>5999</v>
      </c>
      <c r="C20" s="5"/>
      <c r="D20" s="5"/>
      <c r="E20" s="5" t="s">
        <v>30</v>
      </c>
      <c r="F20" s="5" t="s">
        <v>22</v>
      </c>
      <c r="G20" s="5" t="s">
        <v>5905</v>
      </c>
      <c r="H20" s="9" t="s">
        <v>6000</v>
      </c>
      <c r="I20" s="5" t="s">
        <v>933</v>
      </c>
      <c r="J20" s="121" t="s">
        <v>6001</v>
      </c>
      <c r="K20" s="121" t="s">
        <v>5116</v>
      </c>
      <c r="L20" s="5" t="s">
        <v>6002</v>
      </c>
      <c r="M20" s="1" t="s">
        <v>6003</v>
      </c>
      <c r="N20" s="33" t="s">
        <v>47</v>
      </c>
      <c r="O20" s="2" t="s">
        <v>5372</v>
      </c>
      <c r="P20" s="12">
        <v>46066</v>
      </c>
    </row>
    <row r="21" spans="1:16" ht="120">
      <c r="A21" s="1">
        <v>20</v>
      </c>
      <c r="B21" s="5" t="s">
        <v>6005</v>
      </c>
      <c r="C21" s="5"/>
      <c r="D21" s="5"/>
      <c r="E21" s="5" t="s">
        <v>30</v>
      </c>
      <c r="F21" s="5" t="s">
        <v>22</v>
      </c>
      <c r="G21" s="5" t="s">
        <v>5905</v>
      </c>
      <c r="H21" s="9" t="s">
        <v>6004</v>
      </c>
      <c r="I21" s="5" t="s">
        <v>933</v>
      </c>
      <c r="J21" s="5" t="s">
        <v>6006</v>
      </c>
      <c r="K21" s="5" t="s">
        <v>6007</v>
      </c>
      <c r="L21" s="5" t="s">
        <v>6008</v>
      </c>
      <c r="M21" s="118" t="s">
        <v>6009</v>
      </c>
      <c r="N21" s="6" t="s">
        <v>24</v>
      </c>
      <c r="O21" s="2" t="s">
        <v>5372</v>
      </c>
      <c r="P21" s="12">
        <v>46066</v>
      </c>
    </row>
    <row r="22" spans="1:16" ht="150">
      <c r="A22" s="1">
        <v>21</v>
      </c>
      <c r="B22" s="5" t="s">
        <v>6010</v>
      </c>
      <c r="C22" s="5"/>
      <c r="D22" s="5"/>
      <c r="E22" s="5" t="s">
        <v>30</v>
      </c>
      <c r="F22" s="5" t="s">
        <v>22</v>
      </c>
      <c r="G22" s="5" t="s">
        <v>5905</v>
      </c>
      <c r="H22" s="9" t="s">
        <v>6012</v>
      </c>
      <c r="I22" s="5" t="s">
        <v>933</v>
      </c>
      <c r="J22" s="121" t="s">
        <v>6013</v>
      </c>
      <c r="K22" s="121" t="s">
        <v>5146</v>
      </c>
      <c r="L22" s="5" t="s">
        <v>6014</v>
      </c>
      <c r="M22" s="5" t="s">
        <v>6020</v>
      </c>
      <c r="N22" s="41" t="s">
        <v>333</v>
      </c>
      <c r="O22" s="2" t="s">
        <v>5372</v>
      </c>
      <c r="P22" s="12">
        <v>46066</v>
      </c>
    </row>
    <row r="23" spans="1:16" ht="165">
      <c r="A23" s="1">
        <v>22</v>
      </c>
      <c r="B23" s="5" t="s">
        <v>6015</v>
      </c>
      <c r="C23" s="5"/>
      <c r="D23" s="5"/>
      <c r="E23" s="5" t="s">
        <v>30</v>
      </c>
      <c r="F23" s="5" t="s">
        <v>22</v>
      </c>
      <c r="G23" s="5" t="s">
        <v>5905</v>
      </c>
      <c r="H23" s="9" t="s">
        <v>6016</v>
      </c>
      <c r="I23" s="5" t="s">
        <v>933</v>
      </c>
      <c r="J23" s="121" t="s">
        <v>6017</v>
      </c>
      <c r="K23" s="1" t="s">
        <v>6018</v>
      </c>
      <c r="L23" s="5" t="s">
        <v>6019</v>
      </c>
      <c r="M23" s="1" t="s">
        <v>6021</v>
      </c>
      <c r="N23" s="149" t="s">
        <v>333</v>
      </c>
      <c r="O23" s="2" t="s">
        <v>5372</v>
      </c>
      <c r="P23" s="12">
        <v>46066</v>
      </c>
    </row>
    <row r="24" spans="1:16" ht="135">
      <c r="A24" s="1">
        <v>23</v>
      </c>
      <c r="B24" s="5" t="s">
        <v>6022</v>
      </c>
      <c r="C24" s="5"/>
      <c r="D24" s="5"/>
      <c r="E24" s="5" t="s">
        <v>30</v>
      </c>
      <c r="F24" s="5" t="s">
        <v>22</v>
      </c>
      <c r="G24" s="5" t="s">
        <v>5905</v>
      </c>
      <c r="H24" s="9" t="s">
        <v>6023</v>
      </c>
      <c r="I24" s="5" t="s">
        <v>933</v>
      </c>
      <c r="J24" s="121" t="s">
        <v>6025</v>
      </c>
      <c r="K24" s="1" t="s">
        <v>6026</v>
      </c>
      <c r="L24" s="5" t="s">
        <v>6027</v>
      </c>
      <c r="M24" s="1" t="s">
        <v>6029</v>
      </c>
      <c r="N24" s="149" t="s">
        <v>333</v>
      </c>
      <c r="O24" s="2" t="s">
        <v>5372</v>
      </c>
      <c r="P24" s="12">
        <v>46066</v>
      </c>
    </row>
    <row r="25" spans="1:16" ht="180">
      <c r="A25" s="1">
        <v>24</v>
      </c>
      <c r="B25" s="5" t="s">
        <v>6028</v>
      </c>
      <c r="C25" s="5"/>
      <c r="D25" s="5"/>
      <c r="E25" s="5" t="s">
        <v>30</v>
      </c>
      <c r="F25" s="5" t="s">
        <v>22</v>
      </c>
      <c r="G25" s="5" t="s">
        <v>5905</v>
      </c>
      <c r="H25" s="5" t="s">
        <v>6030</v>
      </c>
      <c r="I25" s="5" t="s">
        <v>933</v>
      </c>
      <c r="J25" s="5" t="s">
        <v>6031</v>
      </c>
      <c r="K25" s="118" t="s">
        <v>4967</v>
      </c>
      <c r="L25" s="118" t="s">
        <v>5878</v>
      </c>
      <c r="M25" s="118" t="s">
        <v>6032</v>
      </c>
      <c r="N25" s="33" t="s">
        <v>47</v>
      </c>
      <c r="O25" s="2" t="s">
        <v>5372</v>
      </c>
      <c r="P25" s="12">
        <v>46066</v>
      </c>
    </row>
    <row r="26" spans="1:16" ht="105">
      <c r="A26" s="1">
        <v>25</v>
      </c>
      <c r="B26" s="5" t="s">
        <v>6033</v>
      </c>
      <c r="C26" s="5"/>
      <c r="D26" s="5"/>
      <c r="E26" s="5" t="s">
        <v>30</v>
      </c>
      <c r="F26" s="5" t="s">
        <v>22</v>
      </c>
      <c r="G26" s="5" t="s">
        <v>5905</v>
      </c>
      <c r="H26" s="5" t="s">
        <v>6034</v>
      </c>
      <c r="I26" s="5" t="s">
        <v>933</v>
      </c>
      <c r="J26" s="5" t="s">
        <v>6035</v>
      </c>
      <c r="K26" s="5" t="s">
        <v>890</v>
      </c>
      <c r="L26" s="5" t="s">
        <v>5042</v>
      </c>
      <c r="M26" s="5" t="s">
        <v>1773</v>
      </c>
      <c r="N26" s="6" t="s">
        <v>24</v>
      </c>
      <c r="O26" s="2" t="s">
        <v>5372</v>
      </c>
      <c r="P26" s="12">
        <v>46066</v>
      </c>
    </row>
    <row r="27" spans="1:16" ht="120">
      <c r="A27" s="1">
        <v>26</v>
      </c>
      <c r="B27" s="5" t="s">
        <v>6037</v>
      </c>
      <c r="C27" s="5"/>
      <c r="D27" s="5"/>
      <c r="E27" s="5" t="s">
        <v>30</v>
      </c>
      <c r="F27" s="5" t="s">
        <v>22</v>
      </c>
      <c r="G27" s="5" t="s">
        <v>5905</v>
      </c>
      <c r="H27" s="5" t="s">
        <v>6038</v>
      </c>
      <c r="I27" s="5" t="s">
        <v>933</v>
      </c>
      <c r="J27" s="1" t="s">
        <v>6039</v>
      </c>
      <c r="K27" s="1" t="s">
        <v>5180</v>
      </c>
      <c r="L27" s="1" t="s">
        <v>5173</v>
      </c>
      <c r="M27" s="5" t="s">
        <v>1773</v>
      </c>
      <c r="N27" s="6" t="s">
        <v>24</v>
      </c>
      <c r="O27" s="2" t="s">
        <v>5372</v>
      </c>
      <c r="P27" s="12">
        <v>46066</v>
      </c>
    </row>
    <row r="28" spans="1:16" ht="120">
      <c r="A28" s="1">
        <v>27</v>
      </c>
      <c r="B28" s="5" t="s">
        <v>6040</v>
      </c>
      <c r="C28" s="5"/>
      <c r="D28" s="5"/>
      <c r="E28" s="5" t="s">
        <v>30</v>
      </c>
      <c r="F28" s="5" t="s">
        <v>22</v>
      </c>
      <c r="G28" s="5" t="s">
        <v>5905</v>
      </c>
      <c r="H28" s="5" t="s">
        <v>6041</v>
      </c>
      <c r="I28" s="5" t="s">
        <v>933</v>
      </c>
      <c r="J28" s="1" t="s">
        <v>6042</v>
      </c>
      <c r="K28" s="1" t="s">
        <v>5180</v>
      </c>
      <c r="L28" s="1" t="s">
        <v>5181</v>
      </c>
      <c r="M28" s="5" t="s">
        <v>1773</v>
      </c>
      <c r="N28" s="6" t="s">
        <v>24</v>
      </c>
      <c r="O28" s="2" t="s">
        <v>5372</v>
      </c>
      <c r="P28" s="12">
        <v>46066</v>
      </c>
    </row>
    <row r="29" spans="1:16" ht="120">
      <c r="A29" s="1">
        <v>28</v>
      </c>
      <c r="B29" s="5" t="s">
        <v>6043</v>
      </c>
      <c r="C29" s="5"/>
      <c r="D29" s="5"/>
      <c r="E29" s="5" t="s">
        <v>30</v>
      </c>
      <c r="F29" s="5" t="s">
        <v>22</v>
      </c>
      <c r="G29" s="5" t="s">
        <v>5905</v>
      </c>
      <c r="H29" s="5" t="s">
        <v>6044</v>
      </c>
      <c r="I29" s="5" t="s">
        <v>933</v>
      </c>
      <c r="J29" s="1" t="s">
        <v>6045</v>
      </c>
      <c r="K29" s="1" t="s">
        <v>255</v>
      </c>
      <c r="L29" s="1" t="s">
        <v>5187</v>
      </c>
      <c r="M29" s="126" t="s">
        <v>6046</v>
      </c>
      <c r="N29" s="149" t="s">
        <v>333</v>
      </c>
      <c r="O29" s="2" t="s">
        <v>5372</v>
      </c>
      <c r="P29" s="12">
        <v>46066</v>
      </c>
    </row>
    <row r="30" spans="1:16" ht="120">
      <c r="A30" s="1">
        <v>29</v>
      </c>
      <c r="B30" s="5" t="s">
        <v>6048</v>
      </c>
      <c r="C30" s="5"/>
      <c r="D30" s="5"/>
      <c r="E30" s="5" t="s">
        <v>30</v>
      </c>
      <c r="F30" s="5" t="s">
        <v>22</v>
      </c>
      <c r="G30" s="5" t="s">
        <v>5905</v>
      </c>
      <c r="H30" s="5" t="s">
        <v>6049</v>
      </c>
      <c r="I30" s="5" t="s">
        <v>933</v>
      </c>
      <c r="J30" s="1" t="s">
        <v>6050</v>
      </c>
      <c r="K30" s="1" t="s">
        <v>255</v>
      </c>
      <c r="L30" s="1" t="s">
        <v>5192</v>
      </c>
      <c r="M30" s="126" t="s">
        <v>6047</v>
      </c>
      <c r="N30" s="149" t="s">
        <v>333</v>
      </c>
      <c r="O30" s="2" t="s">
        <v>5372</v>
      </c>
      <c r="P30" s="12">
        <v>46066</v>
      </c>
    </row>
    <row r="31" spans="1:16">
      <c r="A31" s="1"/>
      <c r="B31" s="5"/>
      <c r="C31" s="5"/>
      <c r="D31" s="5"/>
      <c r="E31" s="5"/>
      <c r="F31" s="5"/>
      <c r="G31" s="5"/>
      <c r="H31" s="44"/>
      <c r="I31" s="5"/>
      <c r="J31" s="1"/>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dimension ref="A1:W21"/>
  <sheetViews>
    <sheetView topLeftCell="J1" workbookViewId="0">
      <pane ySplit="1" topLeftCell="A17" activePane="bottomLeft" state="frozen"/>
      <selection activeCell="D1" sqref="D1"/>
      <selection pane="bottomLeft" activeCell="M18" sqref="M18"/>
    </sheetView>
  </sheetViews>
  <sheetFormatPr defaultRowHeight="15"/>
  <cols>
    <col min="1" max="1" width="9.140625" style="5" customWidth="1"/>
    <col min="2" max="2" width="17.85546875" style="5" customWidth="1"/>
    <col min="3" max="3" width="12.7109375" style="5" customWidth="1"/>
    <col min="4" max="4" width="19.28515625" style="5" customWidth="1"/>
    <col min="5" max="5" width="13.5703125" style="5" customWidth="1"/>
    <col min="6" max="6" width="14.85546875" style="5" customWidth="1"/>
    <col min="7" max="7" width="29.28515625" style="5" customWidth="1"/>
    <col min="8" max="8" width="53" style="5" customWidth="1"/>
    <col min="9" max="9" width="56.5703125" style="5" customWidth="1"/>
    <col min="10" max="10" width="53.5703125" style="5" customWidth="1"/>
    <col min="11" max="11" width="40.28515625" style="5" customWidth="1"/>
    <col min="12" max="12" width="64.140625" style="5" customWidth="1"/>
    <col min="13" max="13" width="58.28515625" style="5" customWidth="1"/>
    <col min="14" max="14" width="14.7109375" style="5" customWidth="1"/>
    <col min="15" max="15" width="35.28515625" style="5" customWidth="1"/>
    <col min="16" max="16" width="22.5703125" style="5" customWidth="1"/>
    <col min="17" max="17" width="17.140625" style="5" customWidth="1"/>
    <col min="18" max="18" width="19.42578125" style="5" customWidth="1"/>
    <col min="19" max="19" width="21.42578125" style="5" customWidth="1"/>
    <col min="20" max="20" width="25.7109375" style="5" customWidth="1"/>
    <col min="21" max="21" width="30.28515625" style="5" customWidth="1"/>
    <col min="22" max="22" width="16.28515625" style="5" customWidth="1"/>
    <col min="23" max="23" width="15.85546875" style="5" customWidth="1"/>
    <col min="24" max="16384" width="9.140625" style="5"/>
  </cols>
  <sheetData>
    <row r="1" spans="1:23"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3" ht="75">
      <c r="A2" s="1">
        <v>1</v>
      </c>
      <c r="B2" s="5" t="s">
        <v>1180</v>
      </c>
      <c r="E2" s="5" t="s">
        <v>30</v>
      </c>
      <c r="F2" s="5" t="s">
        <v>22</v>
      </c>
      <c r="G2" s="5" t="s">
        <v>1181</v>
      </c>
      <c r="H2" s="5" t="s">
        <v>1182</v>
      </c>
      <c r="I2" s="5" t="s">
        <v>933</v>
      </c>
      <c r="J2" s="5" t="s">
        <v>1183</v>
      </c>
      <c r="K2" s="5" t="s">
        <v>1074</v>
      </c>
      <c r="L2" s="5" t="s">
        <v>1184</v>
      </c>
      <c r="M2" s="5" t="s">
        <v>1185</v>
      </c>
      <c r="N2" s="6" t="s">
        <v>24</v>
      </c>
      <c r="O2" s="7" t="s">
        <v>935</v>
      </c>
      <c r="P2" s="8">
        <v>45992</v>
      </c>
    </row>
    <row r="3" spans="1:23" ht="105">
      <c r="A3" s="93">
        <v>2</v>
      </c>
      <c r="B3" s="107" t="s">
        <v>1187</v>
      </c>
      <c r="C3" s="108" t="s">
        <v>1484</v>
      </c>
      <c r="D3" s="109">
        <v>45994</v>
      </c>
      <c r="E3" s="107" t="s">
        <v>30</v>
      </c>
      <c r="F3" s="107" t="s">
        <v>22</v>
      </c>
      <c r="G3" s="107" t="s">
        <v>1181</v>
      </c>
      <c r="H3" s="107" t="s">
        <v>4545</v>
      </c>
      <c r="I3" s="107" t="s">
        <v>4529</v>
      </c>
      <c r="J3" s="107" t="s">
        <v>4546</v>
      </c>
      <c r="K3" s="110" t="s">
        <v>4547</v>
      </c>
      <c r="L3" s="107" t="s">
        <v>4548</v>
      </c>
      <c r="M3" s="107" t="s">
        <v>4549</v>
      </c>
      <c r="N3" s="6" t="s">
        <v>24</v>
      </c>
      <c r="O3" s="98" t="s">
        <v>935</v>
      </c>
      <c r="P3" s="99">
        <v>45992</v>
      </c>
      <c r="Q3" s="95" t="s">
        <v>3159</v>
      </c>
      <c r="R3" s="95" t="s">
        <v>1220</v>
      </c>
      <c r="S3" s="95" t="s">
        <v>4534</v>
      </c>
      <c r="T3" s="72" t="s">
        <v>4566</v>
      </c>
      <c r="U3" s="95"/>
      <c r="V3" s="95"/>
    </row>
    <row r="4" spans="1:23" ht="120">
      <c r="A4" s="1">
        <v>3</v>
      </c>
      <c r="B4" s="5" t="s">
        <v>1188</v>
      </c>
      <c r="E4" s="5" t="s">
        <v>30</v>
      </c>
      <c r="F4" s="5" t="s">
        <v>22</v>
      </c>
      <c r="G4" s="5" t="s">
        <v>1181</v>
      </c>
      <c r="H4" s="5" t="s">
        <v>1190</v>
      </c>
      <c r="I4" s="5" t="s">
        <v>933</v>
      </c>
      <c r="J4" s="5" t="s">
        <v>1189</v>
      </c>
      <c r="K4" s="5" t="s">
        <v>255</v>
      </c>
      <c r="L4" s="5" t="s">
        <v>1191</v>
      </c>
      <c r="M4" s="5" t="s">
        <v>1197</v>
      </c>
      <c r="N4" s="6" t="s">
        <v>274</v>
      </c>
      <c r="O4" s="7" t="s">
        <v>935</v>
      </c>
      <c r="P4" s="8">
        <v>45992</v>
      </c>
    </row>
    <row r="5" spans="1:23" ht="120">
      <c r="A5" s="1">
        <v>4</v>
      </c>
      <c r="B5" s="5" t="s">
        <v>1193</v>
      </c>
      <c r="E5" s="5" t="s">
        <v>30</v>
      </c>
      <c r="F5" s="5" t="s">
        <v>22</v>
      </c>
      <c r="G5" s="5" t="s">
        <v>1181</v>
      </c>
      <c r="H5" s="5" t="s">
        <v>1198</v>
      </c>
      <c r="I5" s="5" t="s">
        <v>933</v>
      </c>
      <c r="J5" s="5" t="s">
        <v>1199</v>
      </c>
      <c r="K5" s="10" t="s">
        <v>1194</v>
      </c>
      <c r="L5" s="5" t="s">
        <v>1200</v>
      </c>
      <c r="M5" s="9" t="s">
        <v>1201</v>
      </c>
      <c r="N5" s="6" t="s">
        <v>4883</v>
      </c>
      <c r="O5" s="7" t="s">
        <v>935</v>
      </c>
      <c r="P5" s="8">
        <v>45992</v>
      </c>
    </row>
    <row r="6" spans="1:23" ht="135">
      <c r="A6" s="93">
        <v>5</v>
      </c>
      <c r="B6" s="107" t="s">
        <v>1195</v>
      </c>
      <c r="C6" s="108" t="s">
        <v>1485</v>
      </c>
      <c r="D6" s="109">
        <v>45994</v>
      </c>
      <c r="E6" s="107" t="s">
        <v>30</v>
      </c>
      <c r="F6" s="107" t="s">
        <v>22</v>
      </c>
      <c r="G6" s="107" t="s">
        <v>1181</v>
      </c>
      <c r="H6" s="107" t="s">
        <v>4550</v>
      </c>
      <c r="I6" s="107" t="s">
        <v>4529</v>
      </c>
      <c r="J6" s="107" t="s">
        <v>4551</v>
      </c>
      <c r="K6" s="107" t="s">
        <v>1202</v>
      </c>
      <c r="L6" s="107" t="s">
        <v>4552</v>
      </c>
      <c r="M6" s="107" t="s">
        <v>3975</v>
      </c>
      <c r="N6" s="6" t="s">
        <v>24</v>
      </c>
      <c r="O6" s="98" t="s">
        <v>935</v>
      </c>
      <c r="P6" s="99">
        <v>45992</v>
      </c>
      <c r="Q6" s="95" t="s">
        <v>3159</v>
      </c>
      <c r="R6" s="95" t="s">
        <v>1220</v>
      </c>
      <c r="S6" s="95" t="s">
        <v>4534</v>
      </c>
      <c r="T6" s="72" t="s">
        <v>4566</v>
      </c>
      <c r="U6" s="95"/>
      <c r="V6" s="95"/>
    </row>
    <row r="7" spans="1:23" ht="90">
      <c r="A7" s="93">
        <v>6</v>
      </c>
      <c r="B7" s="107" t="s">
        <v>1196</v>
      </c>
      <c r="C7" s="108" t="s">
        <v>1486</v>
      </c>
      <c r="D7" s="109">
        <v>45994</v>
      </c>
      <c r="E7" s="107" t="s">
        <v>30</v>
      </c>
      <c r="F7" s="107" t="s">
        <v>22</v>
      </c>
      <c r="G7" s="107" t="s">
        <v>1181</v>
      </c>
      <c r="H7" s="107" t="s">
        <v>4553</v>
      </c>
      <c r="I7" s="107" t="s">
        <v>4529</v>
      </c>
      <c r="J7" s="107" t="s">
        <v>4554</v>
      </c>
      <c r="K7" s="107" t="s">
        <v>4555</v>
      </c>
      <c r="L7" s="107" t="s">
        <v>4556</v>
      </c>
      <c r="M7" s="107" t="s">
        <v>4557</v>
      </c>
      <c r="N7" s="6" t="s">
        <v>24</v>
      </c>
      <c r="O7" s="98" t="s">
        <v>935</v>
      </c>
      <c r="P7" s="99">
        <v>45992</v>
      </c>
      <c r="Q7" s="95" t="s">
        <v>3159</v>
      </c>
      <c r="R7" s="95" t="s">
        <v>1220</v>
      </c>
      <c r="S7" s="95" t="s">
        <v>4534</v>
      </c>
      <c r="T7" s="72" t="s">
        <v>4566</v>
      </c>
      <c r="U7" s="95"/>
      <c r="V7" s="95"/>
      <c r="W7" s="5" t="s">
        <v>4569</v>
      </c>
    </row>
    <row r="8" spans="1:23" ht="120">
      <c r="A8" s="93">
        <v>7</v>
      </c>
      <c r="B8" s="107" t="s">
        <v>1203</v>
      </c>
      <c r="C8" s="108" t="s">
        <v>1488</v>
      </c>
      <c r="D8" s="109">
        <v>45994</v>
      </c>
      <c r="E8" s="107" t="s">
        <v>30</v>
      </c>
      <c r="F8" s="107" t="s">
        <v>22</v>
      </c>
      <c r="G8" s="107" t="s">
        <v>1181</v>
      </c>
      <c r="H8" s="107" t="s">
        <v>4558</v>
      </c>
      <c r="I8" s="107" t="s">
        <v>4529</v>
      </c>
      <c r="J8" s="107" t="s">
        <v>4559</v>
      </c>
      <c r="K8" s="107" t="s">
        <v>4560</v>
      </c>
      <c r="L8" s="107" t="s">
        <v>4561</v>
      </c>
      <c r="M8" s="107" t="s">
        <v>4562</v>
      </c>
      <c r="N8" s="6" t="s">
        <v>24</v>
      </c>
      <c r="O8" s="98" t="s">
        <v>935</v>
      </c>
      <c r="P8" s="99">
        <v>45992</v>
      </c>
      <c r="Q8" s="95" t="s">
        <v>3159</v>
      </c>
      <c r="R8" s="95" t="s">
        <v>1220</v>
      </c>
      <c r="S8" s="95" t="s">
        <v>4534</v>
      </c>
      <c r="T8" s="72" t="s">
        <v>4566</v>
      </c>
      <c r="U8" s="95"/>
      <c r="V8" s="95"/>
    </row>
    <row r="9" spans="1:23" ht="90">
      <c r="A9" s="1">
        <v>8</v>
      </c>
      <c r="B9" s="5" t="s">
        <v>1204</v>
      </c>
      <c r="E9" s="5" t="s">
        <v>30</v>
      </c>
      <c r="F9" s="5" t="s">
        <v>22</v>
      </c>
      <c r="G9" s="5" t="s">
        <v>1181</v>
      </c>
      <c r="H9" s="5" t="s">
        <v>1205</v>
      </c>
      <c r="I9" s="5" t="s">
        <v>933</v>
      </c>
      <c r="J9" s="5" t="s">
        <v>1206</v>
      </c>
      <c r="K9" s="5" t="s">
        <v>1207</v>
      </c>
      <c r="L9" s="5" t="s">
        <v>1208</v>
      </c>
      <c r="M9" s="5" t="s">
        <v>258</v>
      </c>
      <c r="N9" s="6" t="s">
        <v>24</v>
      </c>
      <c r="O9" s="7" t="s">
        <v>935</v>
      </c>
      <c r="P9" s="8">
        <v>45992</v>
      </c>
    </row>
    <row r="10" spans="1:23" ht="90">
      <c r="A10" s="1">
        <v>9</v>
      </c>
      <c r="B10" s="5" t="s">
        <v>1214</v>
      </c>
      <c r="E10" s="5" t="s">
        <v>30</v>
      </c>
      <c r="F10" s="5" t="s">
        <v>22</v>
      </c>
      <c r="G10" s="5" t="s">
        <v>1181</v>
      </c>
      <c r="H10" s="5" t="s">
        <v>1209</v>
      </c>
      <c r="I10" s="5" t="s">
        <v>933</v>
      </c>
      <c r="J10" s="5" t="s">
        <v>1210</v>
      </c>
      <c r="K10" s="5" t="s">
        <v>1211</v>
      </c>
      <c r="L10" s="5" t="s">
        <v>1213</v>
      </c>
      <c r="M10" s="5" t="s">
        <v>258</v>
      </c>
      <c r="N10" s="6" t="s">
        <v>24</v>
      </c>
      <c r="O10" s="7" t="s">
        <v>935</v>
      </c>
      <c r="P10" s="8">
        <v>45992</v>
      </c>
    </row>
    <row r="11" spans="1:23" ht="90">
      <c r="A11" s="1">
        <v>10</v>
      </c>
      <c r="B11" s="5" t="s">
        <v>1215</v>
      </c>
      <c r="E11" s="5" t="s">
        <v>30</v>
      </c>
      <c r="F11" s="5" t="s">
        <v>22</v>
      </c>
      <c r="G11" s="5" t="s">
        <v>1181</v>
      </c>
      <c r="H11" s="5" t="s">
        <v>1216</v>
      </c>
      <c r="I11" s="5" t="s">
        <v>933</v>
      </c>
      <c r="J11" s="5" t="s">
        <v>1217</v>
      </c>
      <c r="K11" s="5" t="s">
        <v>1344</v>
      </c>
      <c r="L11" s="5" t="s">
        <v>1231</v>
      </c>
      <c r="M11" s="5" t="s">
        <v>258</v>
      </c>
      <c r="N11" s="6" t="s">
        <v>24</v>
      </c>
      <c r="O11" s="7" t="s">
        <v>935</v>
      </c>
      <c r="P11" s="8">
        <v>45993</v>
      </c>
    </row>
    <row r="12" spans="1:23" ht="105">
      <c r="A12" s="1">
        <v>11</v>
      </c>
      <c r="B12" s="5" t="s">
        <v>1232</v>
      </c>
      <c r="E12" s="5" t="s">
        <v>30</v>
      </c>
      <c r="F12" s="5" t="s">
        <v>22</v>
      </c>
      <c r="G12" s="5" t="s">
        <v>1181</v>
      </c>
      <c r="H12" s="5" t="s">
        <v>1234</v>
      </c>
      <c r="I12" s="5" t="s">
        <v>933</v>
      </c>
      <c r="J12" s="5" t="s">
        <v>1233</v>
      </c>
      <c r="K12" s="5" t="s">
        <v>1244</v>
      </c>
      <c r="L12" s="5" t="s">
        <v>1235</v>
      </c>
      <c r="M12" s="5" t="s">
        <v>1236</v>
      </c>
      <c r="N12" s="6" t="s">
        <v>24</v>
      </c>
      <c r="O12" s="7" t="s">
        <v>935</v>
      </c>
      <c r="P12" s="8">
        <v>45993</v>
      </c>
    </row>
    <row r="13" spans="1:23" ht="105">
      <c r="A13" s="1">
        <v>12</v>
      </c>
      <c r="B13" s="5" t="s">
        <v>1237</v>
      </c>
      <c r="E13" s="5" t="s">
        <v>30</v>
      </c>
      <c r="F13" s="5" t="s">
        <v>22</v>
      </c>
      <c r="G13" s="5" t="s">
        <v>1181</v>
      </c>
      <c r="H13" s="5" t="s">
        <v>1238</v>
      </c>
      <c r="I13" s="5" t="s">
        <v>933</v>
      </c>
      <c r="J13" s="5" t="s">
        <v>1239</v>
      </c>
      <c r="K13" s="5" t="s">
        <v>1240</v>
      </c>
      <c r="L13" s="5" t="s">
        <v>1241</v>
      </c>
      <c r="M13" s="5" t="s">
        <v>1242</v>
      </c>
      <c r="N13" s="6" t="s">
        <v>24</v>
      </c>
      <c r="O13" s="7" t="s">
        <v>935</v>
      </c>
      <c r="P13" s="8">
        <v>45993</v>
      </c>
    </row>
    <row r="14" spans="1:23" ht="105">
      <c r="A14" s="93">
        <v>13</v>
      </c>
      <c r="B14" s="107" t="s">
        <v>1243</v>
      </c>
      <c r="C14" s="108" t="s">
        <v>1487</v>
      </c>
      <c r="D14" s="109">
        <v>45994</v>
      </c>
      <c r="E14" s="107" t="s">
        <v>30</v>
      </c>
      <c r="F14" s="107" t="s">
        <v>22</v>
      </c>
      <c r="G14" s="107" t="s">
        <v>1181</v>
      </c>
      <c r="H14" s="107" t="s">
        <v>4563</v>
      </c>
      <c r="I14" s="107" t="s">
        <v>4529</v>
      </c>
      <c r="J14" s="107" t="s">
        <v>4564</v>
      </c>
      <c r="K14" s="107" t="s">
        <v>4565</v>
      </c>
      <c r="L14" s="107" t="s">
        <v>4567</v>
      </c>
      <c r="M14" s="107" t="s">
        <v>1245</v>
      </c>
      <c r="N14" s="6" t="s">
        <v>24</v>
      </c>
      <c r="O14" s="98" t="s">
        <v>935</v>
      </c>
      <c r="P14" s="99">
        <v>45993</v>
      </c>
      <c r="Q14" s="95" t="s">
        <v>3159</v>
      </c>
      <c r="R14" s="95" t="s">
        <v>1220</v>
      </c>
      <c r="S14" s="95" t="s">
        <v>4534</v>
      </c>
      <c r="T14" s="72" t="s">
        <v>4566</v>
      </c>
      <c r="U14" s="95"/>
      <c r="V14" s="95"/>
    </row>
    <row r="15" spans="1:23" ht="75">
      <c r="A15" s="1">
        <v>14</v>
      </c>
      <c r="B15" s="5" t="s">
        <v>1246</v>
      </c>
      <c r="E15" s="5" t="s">
        <v>30</v>
      </c>
      <c r="F15" s="5" t="s">
        <v>22</v>
      </c>
      <c r="G15" s="5" t="s">
        <v>1181</v>
      </c>
      <c r="H15" s="5" t="s">
        <v>1247</v>
      </c>
      <c r="I15" s="5" t="s">
        <v>933</v>
      </c>
      <c r="J15" s="5" t="s">
        <v>1248</v>
      </c>
      <c r="K15" s="5" t="s">
        <v>255</v>
      </c>
      <c r="L15" s="5" t="s">
        <v>1144</v>
      </c>
      <c r="M15" s="5" t="s">
        <v>1145</v>
      </c>
      <c r="N15" s="6" t="s">
        <v>24</v>
      </c>
      <c r="O15" s="7" t="s">
        <v>935</v>
      </c>
      <c r="P15" s="8">
        <v>45993</v>
      </c>
    </row>
    <row r="16" spans="1:23" ht="105">
      <c r="A16" s="1">
        <v>15</v>
      </c>
      <c r="B16" s="5" t="s">
        <v>1249</v>
      </c>
      <c r="E16" s="5" t="s">
        <v>30</v>
      </c>
      <c r="F16" s="5" t="s">
        <v>22</v>
      </c>
      <c r="G16" s="5" t="s">
        <v>1181</v>
      </c>
      <c r="H16" s="5" t="s">
        <v>1250</v>
      </c>
      <c r="I16" s="5" t="s">
        <v>933</v>
      </c>
      <c r="J16" s="5" t="s">
        <v>1251</v>
      </c>
      <c r="K16" s="5" t="s">
        <v>1024</v>
      </c>
      <c r="L16" s="5" t="s">
        <v>882</v>
      </c>
      <c r="M16" s="5" t="s">
        <v>854</v>
      </c>
      <c r="N16" s="6" t="s">
        <v>24</v>
      </c>
      <c r="O16" s="7" t="s">
        <v>935</v>
      </c>
      <c r="P16" s="8">
        <v>45993</v>
      </c>
    </row>
    <row r="17" spans="1:16" ht="120">
      <c r="A17" s="1">
        <v>16</v>
      </c>
      <c r="B17" s="5" t="s">
        <v>1252</v>
      </c>
      <c r="E17" s="5" t="s">
        <v>30</v>
      </c>
      <c r="F17" s="5" t="s">
        <v>22</v>
      </c>
      <c r="G17" s="5" t="s">
        <v>1181</v>
      </c>
      <c r="H17" s="5" t="s">
        <v>1253</v>
      </c>
      <c r="I17" s="5" t="s">
        <v>933</v>
      </c>
      <c r="J17" s="5" t="s">
        <v>1254</v>
      </c>
      <c r="K17" s="5" t="s">
        <v>890</v>
      </c>
      <c r="L17" s="5" t="s">
        <v>1152</v>
      </c>
      <c r="M17" s="5" t="s">
        <v>1035</v>
      </c>
      <c r="N17" s="3" t="s">
        <v>274</v>
      </c>
      <c r="O17" s="7" t="s">
        <v>935</v>
      </c>
      <c r="P17" s="8">
        <v>45993</v>
      </c>
    </row>
    <row r="18" spans="1:16" ht="90">
      <c r="A18" s="1">
        <v>17</v>
      </c>
      <c r="B18" s="5" t="s">
        <v>1255</v>
      </c>
      <c r="E18" s="5" t="s">
        <v>30</v>
      </c>
      <c r="F18" s="5" t="s">
        <v>22</v>
      </c>
      <c r="G18" s="5" t="s">
        <v>1181</v>
      </c>
      <c r="H18" s="5" t="s">
        <v>1256</v>
      </c>
      <c r="I18" s="5" t="s">
        <v>933</v>
      </c>
      <c r="J18" s="5" t="s">
        <v>1257</v>
      </c>
      <c r="K18" s="5" t="s">
        <v>255</v>
      </c>
      <c r="L18" s="5" t="s">
        <v>1258</v>
      </c>
      <c r="M18" s="5" t="s">
        <v>6061</v>
      </c>
      <c r="N18" s="6" t="s">
        <v>274</v>
      </c>
      <c r="O18" s="7" t="s">
        <v>935</v>
      </c>
      <c r="P18" s="8">
        <v>45993</v>
      </c>
    </row>
    <row r="19" spans="1:16" ht="90">
      <c r="A19" s="1">
        <v>18</v>
      </c>
      <c r="B19" s="5" t="s">
        <v>1259</v>
      </c>
      <c r="E19" s="5" t="s">
        <v>30</v>
      </c>
      <c r="F19" s="5" t="s">
        <v>22</v>
      </c>
      <c r="G19" s="5" t="s">
        <v>1181</v>
      </c>
      <c r="H19" s="5" t="s">
        <v>1260</v>
      </c>
      <c r="I19" s="5" t="s">
        <v>933</v>
      </c>
      <c r="J19" s="5" t="s">
        <v>1261</v>
      </c>
      <c r="K19" s="5" t="s">
        <v>255</v>
      </c>
      <c r="L19" s="5" t="s">
        <v>1262</v>
      </c>
      <c r="M19" s="5" t="s">
        <v>1263</v>
      </c>
      <c r="N19" s="6" t="s">
        <v>24</v>
      </c>
      <c r="O19" s="7" t="s">
        <v>935</v>
      </c>
      <c r="P19" s="8">
        <v>45993</v>
      </c>
    </row>
    <row r="20" spans="1:16" ht="90">
      <c r="A20" s="1">
        <v>19</v>
      </c>
      <c r="B20" s="5" t="s">
        <v>1264</v>
      </c>
      <c r="E20" s="5" t="s">
        <v>30</v>
      </c>
      <c r="F20" s="5" t="s">
        <v>22</v>
      </c>
      <c r="G20" s="5" t="s">
        <v>1181</v>
      </c>
      <c r="H20" s="5" t="s">
        <v>1265</v>
      </c>
      <c r="I20" s="5" t="s">
        <v>933</v>
      </c>
      <c r="J20" s="5" t="s">
        <v>1266</v>
      </c>
      <c r="K20" s="5" t="s">
        <v>255</v>
      </c>
      <c r="L20" s="5" t="s">
        <v>736</v>
      </c>
      <c r="M20" s="5" t="s">
        <v>258</v>
      </c>
      <c r="N20" s="6" t="s">
        <v>24</v>
      </c>
      <c r="O20" s="7" t="s">
        <v>935</v>
      </c>
      <c r="P20" s="8">
        <v>45993</v>
      </c>
    </row>
    <row r="21" spans="1:16" ht="90">
      <c r="A21" s="1">
        <v>20</v>
      </c>
      <c r="B21" s="5" t="s">
        <v>1267</v>
      </c>
      <c r="E21" s="5" t="s">
        <v>30</v>
      </c>
      <c r="F21" s="5" t="s">
        <v>22</v>
      </c>
      <c r="G21" s="5" t="s">
        <v>1181</v>
      </c>
      <c r="H21" s="5" t="s">
        <v>1268</v>
      </c>
      <c r="I21" s="5" t="s">
        <v>933</v>
      </c>
      <c r="J21" s="5" t="s">
        <v>1269</v>
      </c>
      <c r="K21" s="5" t="s">
        <v>255</v>
      </c>
      <c r="L21" s="5" t="s">
        <v>918</v>
      </c>
      <c r="M21" s="5" t="s">
        <v>6063</v>
      </c>
      <c r="N21" s="6" t="s">
        <v>274</v>
      </c>
      <c r="O21" s="7" t="s">
        <v>935</v>
      </c>
      <c r="P21" s="8">
        <v>45993</v>
      </c>
    </row>
  </sheetData>
  <autoFilter ref="A1:V21">
    <filterColumn colId="13"/>
  </autoFilter>
  <hyperlinks>
    <hyperlink ref="C3" r:id="rId1" display="https://hanssupport.atlassian.net/browse/BA-228"/>
    <hyperlink ref="C6" r:id="rId2" display="https://hanssupport.atlassian.net/browse/BA-229"/>
    <hyperlink ref="C7" r:id="rId3" display="https://hanssupport.atlassian.net/browse/BA-230"/>
    <hyperlink ref="C14" r:id="rId4" display="https://hanssupport.atlassian.net/browse/BA-231"/>
    <hyperlink ref="C8" r:id="rId5" display="https://hanssupport.atlassian.net/browse/BA-232"/>
  </hyperlinks>
  <pageMargins left="0.7" right="0.7" top="0.75" bottom="0.75" header="0.3" footer="0.3"/>
  <pageSetup paperSize="9" orientation="portrait" verticalDpi="0" r:id="rId6"/>
</worksheet>
</file>

<file path=xl/worksheets/sheet21.xml><?xml version="1.0" encoding="utf-8"?>
<worksheet xmlns="http://schemas.openxmlformats.org/spreadsheetml/2006/main" xmlns:r="http://schemas.openxmlformats.org/officeDocument/2006/relationships">
  <dimension ref="A1:V26"/>
  <sheetViews>
    <sheetView workbookViewId="0">
      <pane ySplit="1" topLeftCell="A2" activePane="bottomLeft" state="frozen"/>
      <selection activeCell="H1" sqref="H1"/>
      <selection pane="bottomLeft"/>
    </sheetView>
  </sheetViews>
  <sheetFormatPr defaultRowHeight="15"/>
  <cols>
    <col min="1" max="1" width="7.7109375" style="1" customWidth="1"/>
    <col min="2" max="2" width="19.5703125" style="1" customWidth="1"/>
    <col min="3" max="3" width="10.42578125" style="1" customWidth="1"/>
    <col min="4" max="4" width="21.5703125" style="1" customWidth="1"/>
    <col min="5" max="5" width="14" style="1" customWidth="1"/>
    <col min="6" max="6" width="11.42578125" style="1" customWidth="1"/>
    <col min="7" max="7" width="33" style="1" customWidth="1"/>
    <col min="8" max="8" width="48.42578125" style="1" customWidth="1"/>
    <col min="9" max="9" width="46.28515625" style="1" customWidth="1"/>
    <col min="10" max="10" width="56.140625" style="1" customWidth="1"/>
    <col min="11" max="11" width="33.85546875" style="1" customWidth="1"/>
    <col min="12" max="12" width="54" style="1" customWidth="1"/>
    <col min="13" max="13" width="45.85546875" style="1" customWidth="1"/>
    <col min="14" max="14" width="14.7109375" style="1" customWidth="1"/>
    <col min="15" max="15" width="33" style="1" customWidth="1"/>
    <col min="16" max="16" width="19.42578125" style="1" customWidth="1"/>
    <col min="17" max="17" width="16.28515625" style="1" customWidth="1"/>
    <col min="18" max="18" width="19.42578125" style="1" customWidth="1"/>
    <col min="19" max="19" width="33.5703125" style="1" customWidth="1"/>
    <col min="20" max="20" width="22.42578125" style="1" customWidth="1"/>
    <col min="21" max="21" width="26.85546875" style="1" customWidth="1"/>
    <col min="22" max="22" width="14.7109375" style="1" customWidth="1"/>
    <col min="23" max="16384" width="9.140625" style="1"/>
  </cols>
  <sheetData>
    <row r="1" spans="1:22" ht="31.5">
      <c r="A1" s="13" t="s">
        <v>0</v>
      </c>
      <c r="B1" s="13" t="s">
        <v>1</v>
      </c>
      <c r="C1" s="4"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1271</v>
      </c>
      <c r="E2" s="1" t="s">
        <v>30</v>
      </c>
      <c r="F2" s="1" t="s">
        <v>22</v>
      </c>
      <c r="G2" s="1" t="s">
        <v>1272</v>
      </c>
      <c r="H2" s="1" t="s">
        <v>1273</v>
      </c>
      <c r="I2" s="1" t="s">
        <v>933</v>
      </c>
      <c r="J2" s="1" t="s">
        <v>1274</v>
      </c>
      <c r="K2" s="1" t="s">
        <v>1074</v>
      </c>
      <c r="L2" s="1" t="s">
        <v>1275</v>
      </c>
      <c r="M2" s="1" t="s">
        <v>1276</v>
      </c>
      <c r="N2" s="3" t="s">
        <v>24</v>
      </c>
      <c r="O2" s="2" t="s">
        <v>935</v>
      </c>
      <c r="P2" s="12">
        <v>45992</v>
      </c>
    </row>
    <row r="3" spans="1:22" ht="105">
      <c r="A3" s="68">
        <v>2</v>
      </c>
      <c r="B3" s="68" t="s">
        <v>1277</v>
      </c>
      <c r="C3" s="69" t="s">
        <v>4573</v>
      </c>
      <c r="D3" s="70">
        <v>45994</v>
      </c>
      <c r="E3" s="68" t="s">
        <v>30</v>
      </c>
      <c r="F3" s="68" t="s">
        <v>22</v>
      </c>
      <c r="G3" s="68" t="s">
        <v>1272</v>
      </c>
      <c r="H3" s="68" t="s">
        <v>1278</v>
      </c>
      <c r="I3" s="68" t="s">
        <v>933</v>
      </c>
      <c r="J3" s="68" t="s">
        <v>1279</v>
      </c>
      <c r="K3" s="104" t="s">
        <v>1280</v>
      </c>
      <c r="L3" s="68" t="s">
        <v>1186</v>
      </c>
      <c r="M3" s="68" t="s">
        <v>1281</v>
      </c>
      <c r="N3" s="68" t="s">
        <v>24</v>
      </c>
      <c r="O3" s="71" t="s">
        <v>935</v>
      </c>
      <c r="P3" s="72">
        <v>45992</v>
      </c>
      <c r="Q3" s="68" t="s">
        <v>3159</v>
      </c>
      <c r="R3" s="68" t="s">
        <v>1220</v>
      </c>
      <c r="S3" s="68" t="s">
        <v>3974</v>
      </c>
      <c r="T3" s="72">
        <v>46079</v>
      </c>
      <c r="U3" s="68"/>
      <c r="V3" s="68"/>
    </row>
    <row r="4" spans="1:22" ht="135">
      <c r="A4" s="1">
        <v>3</v>
      </c>
      <c r="B4" s="1" t="s">
        <v>1282</v>
      </c>
      <c r="E4" s="1" t="s">
        <v>30</v>
      </c>
      <c r="F4" s="1" t="s">
        <v>22</v>
      </c>
      <c r="G4" s="1" t="s">
        <v>1272</v>
      </c>
      <c r="H4" s="1" t="s">
        <v>1283</v>
      </c>
      <c r="I4" s="1" t="s">
        <v>933</v>
      </c>
      <c r="J4" s="1" t="s">
        <v>1284</v>
      </c>
      <c r="K4" s="1" t="s">
        <v>255</v>
      </c>
      <c r="L4" s="1" t="s">
        <v>1285</v>
      </c>
      <c r="M4" s="1" t="s">
        <v>1286</v>
      </c>
      <c r="N4" s="3" t="s">
        <v>274</v>
      </c>
      <c r="O4" s="2" t="s">
        <v>935</v>
      </c>
      <c r="P4" s="12">
        <v>45992</v>
      </c>
    </row>
    <row r="5" spans="1:22" ht="135">
      <c r="A5" s="1">
        <v>4</v>
      </c>
      <c r="B5" s="1" t="s">
        <v>1287</v>
      </c>
      <c r="E5" s="1" t="s">
        <v>30</v>
      </c>
      <c r="F5" s="1" t="s">
        <v>22</v>
      </c>
      <c r="G5" s="1" t="s">
        <v>1272</v>
      </c>
      <c r="H5" s="1" t="s">
        <v>1288</v>
      </c>
      <c r="I5" s="1" t="s">
        <v>933</v>
      </c>
      <c r="J5" s="1" t="s">
        <v>1289</v>
      </c>
      <c r="K5" s="1" t="s">
        <v>1290</v>
      </c>
      <c r="L5" s="1" t="s">
        <v>1291</v>
      </c>
      <c r="M5" s="14" t="s">
        <v>1292</v>
      </c>
      <c r="N5" s="3" t="s">
        <v>274</v>
      </c>
      <c r="O5" s="2" t="s">
        <v>935</v>
      </c>
      <c r="P5" s="12">
        <v>45992</v>
      </c>
    </row>
    <row r="6" spans="1:22" ht="165">
      <c r="A6" s="68">
        <v>5</v>
      </c>
      <c r="B6" s="68" t="s">
        <v>1293</v>
      </c>
      <c r="C6" s="69" t="s">
        <v>4574</v>
      </c>
      <c r="D6" s="70">
        <v>45994</v>
      </c>
      <c r="E6" s="68" t="s">
        <v>30</v>
      </c>
      <c r="F6" s="68" t="s">
        <v>22</v>
      </c>
      <c r="G6" s="68" t="s">
        <v>1272</v>
      </c>
      <c r="H6" s="68" t="s">
        <v>1294</v>
      </c>
      <c r="I6" s="68" t="s">
        <v>933</v>
      </c>
      <c r="J6" s="68" t="s">
        <v>1295</v>
      </c>
      <c r="K6" s="68" t="s">
        <v>1296</v>
      </c>
      <c r="L6" s="68" t="s">
        <v>1297</v>
      </c>
      <c r="M6" s="68" t="s">
        <v>1298</v>
      </c>
      <c r="N6" s="68" t="s">
        <v>24</v>
      </c>
      <c r="O6" s="71" t="s">
        <v>935</v>
      </c>
      <c r="P6" s="72">
        <v>45992</v>
      </c>
      <c r="Q6" s="68" t="s">
        <v>3159</v>
      </c>
      <c r="R6" s="68" t="s">
        <v>1220</v>
      </c>
      <c r="S6" s="68" t="s">
        <v>3974</v>
      </c>
      <c r="T6" s="72">
        <v>46079</v>
      </c>
      <c r="U6" s="68"/>
      <c r="V6" s="68"/>
    </row>
    <row r="7" spans="1:22" ht="120">
      <c r="A7" s="1">
        <v>6</v>
      </c>
      <c r="B7" s="1" t="s">
        <v>1299</v>
      </c>
      <c r="E7" s="1" t="s">
        <v>30</v>
      </c>
      <c r="F7" s="1" t="s">
        <v>22</v>
      </c>
      <c r="G7" s="1" t="s">
        <v>1272</v>
      </c>
      <c r="H7" s="1" t="s">
        <v>1301</v>
      </c>
      <c r="I7" s="1" t="s">
        <v>933</v>
      </c>
      <c r="J7" s="1" t="s">
        <v>1302</v>
      </c>
      <c r="K7" s="1" t="s">
        <v>1303</v>
      </c>
      <c r="L7" s="1" t="s">
        <v>1304</v>
      </c>
      <c r="M7" s="1" t="s">
        <v>1300</v>
      </c>
      <c r="N7" s="3" t="s">
        <v>24</v>
      </c>
      <c r="O7" s="2" t="s">
        <v>935</v>
      </c>
      <c r="P7" s="12">
        <v>45992</v>
      </c>
    </row>
    <row r="8" spans="1:22" ht="90">
      <c r="A8" s="1">
        <v>7</v>
      </c>
      <c r="B8" s="1" t="s">
        <v>1305</v>
      </c>
      <c r="E8" s="1" t="s">
        <v>30</v>
      </c>
      <c r="F8" s="1" t="s">
        <v>22</v>
      </c>
      <c r="G8" s="1" t="s">
        <v>1272</v>
      </c>
      <c r="H8" s="1" t="s">
        <v>1311</v>
      </c>
      <c r="I8" s="1" t="s">
        <v>933</v>
      </c>
      <c r="J8" s="1" t="s">
        <v>1306</v>
      </c>
      <c r="K8" s="1" t="s">
        <v>1308</v>
      </c>
      <c r="L8" s="1" t="s">
        <v>1309</v>
      </c>
      <c r="M8" s="1" t="s">
        <v>1307</v>
      </c>
      <c r="N8" s="3" t="s">
        <v>24</v>
      </c>
      <c r="O8" s="2" t="s">
        <v>935</v>
      </c>
      <c r="P8" s="12">
        <v>45992</v>
      </c>
    </row>
    <row r="9" spans="1:22" ht="90">
      <c r="A9" s="68">
        <v>8</v>
      </c>
      <c r="B9" s="68" t="s">
        <v>1310</v>
      </c>
      <c r="C9" s="69" t="s">
        <v>1489</v>
      </c>
      <c r="D9" s="70">
        <v>45994</v>
      </c>
      <c r="E9" s="68" t="s">
        <v>30</v>
      </c>
      <c r="F9" s="68" t="s">
        <v>22</v>
      </c>
      <c r="G9" s="68" t="s">
        <v>1272</v>
      </c>
      <c r="H9" s="68" t="s">
        <v>1312</v>
      </c>
      <c r="I9" s="68" t="s">
        <v>933</v>
      </c>
      <c r="J9" s="68" t="s">
        <v>1313</v>
      </c>
      <c r="K9" s="68" t="s">
        <v>1318</v>
      </c>
      <c r="L9" s="68" t="s">
        <v>1314</v>
      </c>
      <c r="M9" s="68" t="s">
        <v>1321</v>
      </c>
      <c r="N9" s="68" t="s">
        <v>24</v>
      </c>
      <c r="O9" s="71" t="s">
        <v>935</v>
      </c>
      <c r="P9" s="72">
        <v>45992</v>
      </c>
      <c r="Q9" s="68" t="s">
        <v>3159</v>
      </c>
      <c r="R9" s="68" t="s">
        <v>1220</v>
      </c>
      <c r="S9" s="68" t="s">
        <v>3974</v>
      </c>
      <c r="T9" s="72">
        <v>46079</v>
      </c>
      <c r="U9" s="68"/>
      <c r="V9" s="68"/>
    </row>
    <row r="10" spans="1:22" ht="135">
      <c r="A10" s="68">
        <v>9</v>
      </c>
      <c r="B10" s="68" t="s">
        <v>1315</v>
      </c>
      <c r="C10" s="69" t="s">
        <v>1490</v>
      </c>
      <c r="D10" s="70">
        <v>45994</v>
      </c>
      <c r="E10" s="68" t="s">
        <v>30</v>
      </c>
      <c r="F10" s="68" t="s">
        <v>22</v>
      </c>
      <c r="G10" s="68" t="s">
        <v>1272</v>
      </c>
      <c r="H10" s="68" t="s">
        <v>1316</v>
      </c>
      <c r="I10" s="68" t="s">
        <v>933</v>
      </c>
      <c r="J10" s="68" t="s">
        <v>1317</v>
      </c>
      <c r="K10" s="68" t="s">
        <v>1319</v>
      </c>
      <c r="L10" s="68" t="s">
        <v>1320</v>
      </c>
      <c r="M10" s="68" t="s">
        <v>1491</v>
      </c>
      <c r="N10" s="68" t="s">
        <v>24</v>
      </c>
      <c r="O10" s="71" t="s">
        <v>935</v>
      </c>
      <c r="P10" s="72">
        <v>45992</v>
      </c>
      <c r="Q10" s="68" t="s">
        <v>3159</v>
      </c>
      <c r="R10" s="97" t="s">
        <v>1220</v>
      </c>
      <c r="S10" s="97" t="s">
        <v>3974</v>
      </c>
      <c r="T10" s="72">
        <v>46079</v>
      </c>
      <c r="U10" s="68"/>
      <c r="V10" s="68"/>
    </row>
    <row r="11" spans="1:22" ht="90">
      <c r="A11" s="1">
        <v>10</v>
      </c>
      <c r="B11" s="1" t="s">
        <v>1322</v>
      </c>
      <c r="E11" s="1" t="s">
        <v>30</v>
      </c>
      <c r="F11" s="1" t="s">
        <v>22</v>
      </c>
      <c r="G11" s="1" t="s">
        <v>1272</v>
      </c>
      <c r="H11" s="1" t="s">
        <v>1323</v>
      </c>
      <c r="I11" s="1" t="s">
        <v>933</v>
      </c>
      <c r="J11" s="1" t="s">
        <v>1306</v>
      </c>
      <c r="K11" s="1" t="s">
        <v>1324</v>
      </c>
      <c r="L11" s="1" t="s">
        <v>1325</v>
      </c>
      <c r="M11" s="1" t="s">
        <v>1326</v>
      </c>
      <c r="N11" s="3" t="s">
        <v>24</v>
      </c>
      <c r="O11" s="2" t="s">
        <v>935</v>
      </c>
      <c r="P11" s="12">
        <v>45992</v>
      </c>
    </row>
    <row r="12" spans="1:22" ht="135">
      <c r="A12" s="68">
        <v>11</v>
      </c>
      <c r="B12" s="68" t="s">
        <v>1327</v>
      </c>
      <c r="C12" s="69" t="s">
        <v>1492</v>
      </c>
      <c r="D12" s="70">
        <v>45994</v>
      </c>
      <c r="E12" s="68" t="s">
        <v>30</v>
      </c>
      <c r="F12" s="68" t="s">
        <v>22</v>
      </c>
      <c r="G12" s="68" t="s">
        <v>1272</v>
      </c>
      <c r="H12" s="68" t="s">
        <v>1328</v>
      </c>
      <c r="I12" s="68" t="s">
        <v>933</v>
      </c>
      <c r="J12" s="68" t="s">
        <v>1329</v>
      </c>
      <c r="K12" s="68" t="s">
        <v>1330</v>
      </c>
      <c r="L12" s="68" t="s">
        <v>1331</v>
      </c>
      <c r="M12" s="68" t="s">
        <v>1493</v>
      </c>
      <c r="N12" s="68" t="s">
        <v>24</v>
      </c>
      <c r="O12" s="71" t="s">
        <v>935</v>
      </c>
      <c r="P12" s="72">
        <v>45992</v>
      </c>
      <c r="Q12" s="68" t="s">
        <v>3159</v>
      </c>
      <c r="R12" s="97" t="s">
        <v>1220</v>
      </c>
      <c r="S12" s="97" t="s">
        <v>3974</v>
      </c>
      <c r="T12" s="72">
        <v>46079</v>
      </c>
      <c r="U12" s="68"/>
      <c r="V12" s="68"/>
    </row>
    <row r="13" spans="1:22" ht="90">
      <c r="A13" s="1">
        <v>12</v>
      </c>
      <c r="B13" s="1" t="s">
        <v>1332</v>
      </c>
      <c r="E13" s="1" t="s">
        <v>30</v>
      </c>
      <c r="F13" s="1" t="s">
        <v>22</v>
      </c>
      <c r="G13" s="1" t="s">
        <v>1272</v>
      </c>
      <c r="H13" s="1" t="s">
        <v>1338</v>
      </c>
      <c r="I13" s="1" t="s">
        <v>933</v>
      </c>
      <c r="J13" s="1" t="s">
        <v>1333</v>
      </c>
      <c r="K13" s="1" t="s">
        <v>1334</v>
      </c>
      <c r="L13" s="1" t="s">
        <v>1336</v>
      </c>
      <c r="M13" s="1" t="s">
        <v>1335</v>
      </c>
      <c r="N13" s="3" t="s">
        <v>24</v>
      </c>
      <c r="O13" s="2" t="s">
        <v>935</v>
      </c>
      <c r="P13" s="12">
        <v>45992</v>
      </c>
    </row>
    <row r="14" spans="1:22" ht="90">
      <c r="A14" s="1">
        <v>13</v>
      </c>
      <c r="B14" s="1" t="s">
        <v>1337</v>
      </c>
      <c r="E14" s="1" t="s">
        <v>30</v>
      </c>
      <c r="F14" s="1" t="s">
        <v>22</v>
      </c>
      <c r="G14" s="1" t="s">
        <v>1272</v>
      </c>
      <c r="H14" s="1" t="s">
        <v>1341</v>
      </c>
      <c r="I14" s="1" t="s">
        <v>933</v>
      </c>
      <c r="J14" s="1" t="s">
        <v>1339</v>
      </c>
      <c r="K14" s="1" t="s">
        <v>1211</v>
      </c>
      <c r="L14" s="1" t="s">
        <v>1213</v>
      </c>
      <c r="M14" s="5" t="s">
        <v>258</v>
      </c>
      <c r="N14" s="3" t="s">
        <v>24</v>
      </c>
      <c r="O14" s="2" t="s">
        <v>935</v>
      </c>
      <c r="P14" s="12">
        <v>45992</v>
      </c>
    </row>
    <row r="15" spans="1:22" ht="90">
      <c r="A15" s="1">
        <v>14</v>
      </c>
      <c r="B15" s="1" t="s">
        <v>1340</v>
      </c>
      <c r="E15" s="1" t="s">
        <v>30</v>
      </c>
      <c r="F15" s="1" t="s">
        <v>22</v>
      </c>
      <c r="G15" s="1" t="s">
        <v>1272</v>
      </c>
      <c r="H15" s="1" t="s">
        <v>1342</v>
      </c>
      <c r="I15" s="1" t="s">
        <v>933</v>
      </c>
      <c r="J15" s="1" t="s">
        <v>1343</v>
      </c>
      <c r="K15" s="5" t="s">
        <v>1344</v>
      </c>
      <c r="L15" s="5" t="s">
        <v>1231</v>
      </c>
      <c r="M15" s="5" t="s">
        <v>258</v>
      </c>
      <c r="N15" s="3" t="s">
        <v>24</v>
      </c>
      <c r="O15" s="2" t="s">
        <v>935</v>
      </c>
      <c r="P15" s="12">
        <v>45992</v>
      </c>
    </row>
    <row r="16" spans="1:22" ht="150">
      <c r="A16" s="68">
        <v>15</v>
      </c>
      <c r="B16" s="68" t="s">
        <v>1345</v>
      </c>
      <c r="C16" s="69" t="s">
        <v>1494</v>
      </c>
      <c r="D16" s="70">
        <v>45994</v>
      </c>
      <c r="E16" s="68" t="s">
        <v>30</v>
      </c>
      <c r="F16" s="68" t="s">
        <v>22</v>
      </c>
      <c r="G16" s="68" t="s">
        <v>1272</v>
      </c>
      <c r="H16" s="95" t="s">
        <v>1347</v>
      </c>
      <c r="I16" s="68" t="s">
        <v>933</v>
      </c>
      <c r="J16" s="95" t="s">
        <v>1348</v>
      </c>
      <c r="K16" s="95" t="s">
        <v>1346</v>
      </c>
      <c r="L16" s="142" t="s">
        <v>1349</v>
      </c>
      <c r="M16" s="96" t="s">
        <v>1355</v>
      </c>
      <c r="N16" s="68" t="s">
        <v>24</v>
      </c>
      <c r="O16" s="71" t="s">
        <v>935</v>
      </c>
      <c r="P16" s="72">
        <v>45992</v>
      </c>
      <c r="Q16" s="68" t="s">
        <v>3159</v>
      </c>
      <c r="R16" s="97" t="s">
        <v>1220</v>
      </c>
      <c r="S16" s="97" t="s">
        <v>3974</v>
      </c>
      <c r="T16" s="72">
        <v>46079</v>
      </c>
      <c r="U16" s="68"/>
      <c r="V16" s="68"/>
    </row>
    <row r="17" spans="1:22" ht="150">
      <c r="A17" s="1">
        <v>16</v>
      </c>
      <c r="B17" s="1" t="s">
        <v>1350</v>
      </c>
      <c r="E17" s="1" t="s">
        <v>30</v>
      </c>
      <c r="F17" s="1" t="s">
        <v>22</v>
      </c>
      <c r="G17" s="1" t="s">
        <v>1272</v>
      </c>
      <c r="H17" s="5" t="s">
        <v>1351</v>
      </c>
      <c r="I17" s="1" t="s">
        <v>933</v>
      </c>
      <c r="J17" s="5" t="s">
        <v>1352</v>
      </c>
      <c r="K17" s="10" t="s">
        <v>1353</v>
      </c>
      <c r="L17" s="1" t="s">
        <v>1354</v>
      </c>
      <c r="M17" s="5" t="s">
        <v>258</v>
      </c>
      <c r="N17" s="3" t="s">
        <v>24</v>
      </c>
      <c r="O17" s="2" t="s">
        <v>935</v>
      </c>
      <c r="P17" s="12">
        <v>45992</v>
      </c>
    </row>
    <row r="18" spans="1:22" ht="150">
      <c r="A18" s="1">
        <v>17</v>
      </c>
      <c r="B18" s="1" t="s">
        <v>1356</v>
      </c>
      <c r="E18" s="1" t="s">
        <v>30</v>
      </c>
      <c r="F18" s="1" t="s">
        <v>22</v>
      </c>
      <c r="G18" s="1" t="s">
        <v>1272</v>
      </c>
      <c r="H18" s="5" t="s">
        <v>1357</v>
      </c>
      <c r="I18" s="1" t="s">
        <v>933</v>
      </c>
      <c r="J18" s="5" t="s">
        <v>1358</v>
      </c>
      <c r="K18" s="5" t="s">
        <v>1359</v>
      </c>
      <c r="L18" s="5" t="s">
        <v>5668</v>
      </c>
      <c r="M18" s="5" t="s">
        <v>258</v>
      </c>
      <c r="N18" s="3" t="s">
        <v>24</v>
      </c>
      <c r="O18" s="2" t="s">
        <v>935</v>
      </c>
      <c r="P18" s="12">
        <v>45992</v>
      </c>
    </row>
    <row r="19" spans="1:22" ht="90">
      <c r="A19" s="1">
        <v>18</v>
      </c>
      <c r="B19" s="1" t="s">
        <v>1360</v>
      </c>
      <c r="E19" s="1" t="s">
        <v>30</v>
      </c>
      <c r="F19" s="1" t="s">
        <v>22</v>
      </c>
      <c r="G19" s="1" t="s">
        <v>1272</v>
      </c>
      <c r="H19" s="5" t="s">
        <v>1361</v>
      </c>
      <c r="I19" s="1" t="s">
        <v>933</v>
      </c>
      <c r="J19" s="5" t="s">
        <v>1362</v>
      </c>
      <c r="K19" s="5" t="s">
        <v>255</v>
      </c>
      <c r="L19" s="5" t="s">
        <v>1144</v>
      </c>
      <c r="M19" s="5" t="s">
        <v>258</v>
      </c>
      <c r="N19" s="3" t="s">
        <v>24</v>
      </c>
      <c r="O19" s="2" t="s">
        <v>935</v>
      </c>
      <c r="P19" s="12">
        <v>45992</v>
      </c>
    </row>
    <row r="20" spans="1:22" ht="135">
      <c r="A20" s="68">
        <v>19</v>
      </c>
      <c r="B20" s="68" t="s">
        <v>1363</v>
      </c>
      <c r="C20" s="69" t="s">
        <v>1495</v>
      </c>
      <c r="D20" s="70">
        <v>45994</v>
      </c>
      <c r="E20" s="68" t="s">
        <v>30</v>
      </c>
      <c r="F20" s="68" t="s">
        <v>22</v>
      </c>
      <c r="G20" s="68" t="s">
        <v>1272</v>
      </c>
      <c r="H20" s="95" t="s">
        <v>1364</v>
      </c>
      <c r="I20" s="68" t="s">
        <v>933</v>
      </c>
      <c r="J20" s="95" t="s">
        <v>1365</v>
      </c>
      <c r="K20" s="95" t="s">
        <v>1024</v>
      </c>
      <c r="L20" s="95" t="s">
        <v>1366</v>
      </c>
      <c r="M20" s="95" t="s">
        <v>1367</v>
      </c>
      <c r="N20" s="68" t="s">
        <v>24</v>
      </c>
      <c r="O20" s="71" t="s">
        <v>935</v>
      </c>
      <c r="P20" s="72">
        <v>45992</v>
      </c>
      <c r="Q20" s="68" t="s">
        <v>3159</v>
      </c>
      <c r="R20" s="97" t="s">
        <v>1220</v>
      </c>
      <c r="S20" s="97" t="s">
        <v>3974</v>
      </c>
      <c r="T20" s="72">
        <v>46079</v>
      </c>
      <c r="U20" s="68"/>
      <c r="V20" s="68"/>
    </row>
    <row r="21" spans="1:22" ht="180">
      <c r="A21" s="68">
        <v>20</v>
      </c>
      <c r="B21" s="68" t="s">
        <v>1368</v>
      </c>
      <c r="C21" s="69" t="s">
        <v>4878</v>
      </c>
      <c r="D21" s="70">
        <v>46051</v>
      </c>
      <c r="E21" s="68" t="s">
        <v>30</v>
      </c>
      <c r="F21" s="68" t="s">
        <v>22</v>
      </c>
      <c r="G21" s="68" t="s">
        <v>1272</v>
      </c>
      <c r="H21" s="95" t="s">
        <v>4881</v>
      </c>
      <c r="I21" s="68" t="s">
        <v>933</v>
      </c>
      <c r="J21" s="68" t="s">
        <v>1369</v>
      </c>
      <c r="K21" s="68" t="s">
        <v>1370</v>
      </c>
      <c r="L21" s="95" t="s">
        <v>1371</v>
      </c>
      <c r="M21" s="68" t="s">
        <v>1372</v>
      </c>
      <c r="N21" s="68" t="s">
        <v>24</v>
      </c>
      <c r="O21" s="71" t="s">
        <v>935</v>
      </c>
      <c r="P21" s="72">
        <v>45992</v>
      </c>
      <c r="Q21" s="68" t="s">
        <v>3159</v>
      </c>
      <c r="R21" s="97" t="s">
        <v>1220</v>
      </c>
      <c r="S21" s="97" t="s">
        <v>3974</v>
      </c>
      <c r="T21" s="72">
        <v>46079</v>
      </c>
      <c r="U21" s="68"/>
      <c r="V21" s="68"/>
    </row>
    <row r="22" spans="1:22" ht="120">
      <c r="A22" s="1">
        <v>21</v>
      </c>
      <c r="B22" s="1" t="s">
        <v>1373</v>
      </c>
      <c r="E22" s="1" t="s">
        <v>30</v>
      </c>
      <c r="F22" s="1" t="s">
        <v>22</v>
      </c>
      <c r="G22" s="1" t="s">
        <v>1272</v>
      </c>
      <c r="H22" s="5" t="s">
        <v>1374</v>
      </c>
      <c r="I22" s="1" t="s">
        <v>933</v>
      </c>
      <c r="J22" s="1" t="s">
        <v>1375</v>
      </c>
      <c r="K22" s="5" t="s">
        <v>890</v>
      </c>
      <c r="L22" s="1" t="s">
        <v>891</v>
      </c>
      <c r="M22" s="1" t="s">
        <v>1376</v>
      </c>
      <c r="N22" s="3" t="s">
        <v>274</v>
      </c>
      <c r="O22" s="2" t="s">
        <v>935</v>
      </c>
      <c r="P22" s="12">
        <v>45992</v>
      </c>
    </row>
    <row r="23" spans="1:22" ht="90">
      <c r="A23" s="1">
        <v>22</v>
      </c>
      <c r="B23" s="1" t="s">
        <v>1377</v>
      </c>
      <c r="E23" s="1" t="s">
        <v>30</v>
      </c>
      <c r="F23" s="1" t="s">
        <v>22</v>
      </c>
      <c r="G23" s="1" t="s">
        <v>1272</v>
      </c>
      <c r="H23" s="5" t="s">
        <v>1378</v>
      </c>
      <c r="I23" s="1" t="s">
        <v>933</v>
      </c>
      <c r="J23" s="1" t="s">
        <v>1379</v>
      </c>
      <c r="K23" s="1" t="s">
        <v>255</v>
      </c>
      <c r="L23" s="1" t="s">
        <v>1380</v>
      </c>
      <c r="M23" s="5" t="s">
        <v>6061</v>
      </c>
      <c r="N23" s="3" t="s">
        <v>274</v>
      </c>
      <c r="O23" s="2" t="s">
        <v>935</v>
      </c>
      <c r="P23" s="12">
        <v>45992</v>
      </c>
    </row>
    <row r="24" spans="1:22" ht="90">
      <c r="A24" s="1">
        <v>23</v>
      </c>
      <c r="B24" s="1" t="s">
        <v>1381</v>
      </c>
      <c r="E24" s="1" t="s">
        <v>30</v>
      </c>
      <c r="F24" s="1" t="s">
        <v>22</v>
      </c>
      <c r="G24" s="1" t="s">
        <v>1272</v>
      </c>
      <c r="H24" s="5" t="s">
        <v>1382</v>
      </c>
      <c r="I24" s="1" t="s">
        <v>933</v>
      </c>
      <c r="J24" s="1" t="s">
        <v>1261</v>
      </c>
      <c r="K24" s="1" t="s">
        <v>255</v>
      </c>
      <c r="L24" s="1" t="s">
        <v>1262</v>
      </c>
      <c r="M24" s="1" t="s">
        <v>1263</v>
      </c>
      <c r="N24" s="3" t="s">
        <v>24</v>
      </c>
      <c r="O24" s="2" t="s">
        <v>935</v>
      </c>
      <c r="P24" s="12">
        <v>45992</v>
      </c>
    </row>
    <row r="25" spans="1:22" ht="90">
      <c r="A25" s="1">
        <v>24</v>
      </c>
      <c r="B25" s="1" t="s">
        <v>1385</v>
      </c>
      <c r="E25" s="1" t="s">
        <v>30</v>
      </c>
      <c r="F25" s="1" t="s">
        <v>22</v>
      </c>
      <c r="G25" s="1" t="s">
        <v>1272</v>
      </c>
      <c r="H25" s="1" t="s">
        <v>1383</v>
      </c>
      <c r="I25" s="1" t="s">
        <v>933</v>
      </c>
      <c r="J25" s="1" t="s">
        <v>1266</v>
      </c>
      <c r="K25" s="1" t="s">
        <v>255</v>
      </c>
      <c r="L25" s="1" t="s">
        <v>736</v>
      </c>
      <c r="M25" s="1" t="s">
        <v>258</v>
      </c>
      <c r="N25" s="3" t="s">
        <v>24</v>
      </c>
      <c r="O25" s="2" t="s">
        <v>935</v>
      </c>
      <c r="P25" s="12">
        <v>45992</v>
      </c>
    </row>
    <row r="26" spans="1:22" ht="90">
      <c r="A26" s="1">
        <v>25</v>
      </c>
      <c r="B26" s="1" t="s">
        <v>1386</v>
      </c>
      <c r="E26" s="1" t="s">
        <v>30</v>
      </c>
      <c r="F26" s="1" t="s">
        <v>22</v>
      </c>
      <c r="G26" s="1" t="s">
        <v>1272</v>
      </c>
      <c r="H26" s="1" t="s">
        <v>1268</v>
      </c>
      <c r="I26" s="1" t="s">
        <v>933</v>
      </c>
      <c r="J26" s="1" t="s">
        <v>1384</v>
      </c>
      <c r="K26" s="1" t="s">
        <v>255</v>
      </c>
      <c r="L26" s="1" t="s">
        <v>918</v>
      </c>
      <c r="M26" s="1" t="s">
        <v>6064</v>
      </c>
      <c r="N26" s="3" t="s">
        <v>274</v>
      </c>
      <c r="O26" s="2" t="s">
        <v>935</v>
      </c>
      <c r="P26" s="12">
        <v>45992</v>
      </c>
    </row>
  </sheetData>
  <autoFilter ref="A1:V26">
    <filterColumn colId="13"/>
  </autoFilter>
  <hyperlinks>
    <hyperlink ref="C3" r:id="rId1" display="https://hanssupport.atlassian.net/browse/BA-233"/>
    <hyperlink ref="C6" r:id="rId2" display="https://hanssupport.atlassian.net/browse/BA-234"/>
    <hyperlink ref="C9" r:id="rId3" display="https://hanssupport.atlassian.net/browse/BA-235"/>
    <hyperlink ref="C10" r:id="rId4" display="https://hanssupport.atlassian.net/browse/BA-236"/>
    <hyperlink ref="C12" r:id="rId5" display="https://hanssupport.atlassian.net/browse/BA-237"/>
    <hyperlink ref="C16" r:id="rId6" display="https://hanssupport.atlassian.net/browse/BA-238"/>
    <hyperlink ref="C20" r:id="rId7" display="https://hanssupport.atlassian.net/browse/BA-239"/>
    <hyperlink ref="C21" r:id="rId8" display="https://hanssupport.atlassian.net/browse/BA-515"/>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24"/>
  <sheetViews>
    <sheetView topLeftCell="I1" workbookViewId="0">
      <pane ySplit="1" topLeftCell="A20" activePane="bottomLeft" state="frozen"/>
      <selection pane="bottomLeft" activeCell="N24" sqref="N24"/>
    </sheetView>
  </sheetViews>
  <sheetFormatPr defaultRowHeight="15"/>
  <cols>
    <col min="1" max="1" width="9.28515625" style="1" customWidth="1"/>
    <col min="2" max="2" width="19.7109375" style="1" customWidth="1"/>
    <col min="3" max="3" width="11" style="1" customWidth="1"/>
    <col min="4" max="4" width="19.42578125" style="1" customWidth="1"/>
    <col min="5" max="5" width="13.85546875" style="1" customWidth="1"/>
    <col min="6" max="6" width="12" style="1" customWidth="1"/>
    <col min="7" max="7" width="31" style="1" customWidth="1"/>
    <col min="8" max="8" width="50" style="1" customWidth="1"/>
    <col min="9" max="9" width="41.28515625" style="1" customWidth="1"/>
    <col min="10" max="10" width="53.85546875" style="1" customWidth="1"/>
    <col min="11" max="11" width="32.7109375" style="1" customWidth="1"/>
    <col min="12" max="12" width="53.5703125" style="1" customWidth="1"/>
    <col min="13" max="13" width="43.28515625" style="1" customWidth="1"/>
    <col min="14" max="14" width="13" style="1" customWidth="1"/>
    <col min="15" max="15" width="31.140625" style="1" customWidth="1"/>
    <col min="16" max="16" width="20.85546875" style="1" customWidth="1"/>
    <col min="17" max="17" width="13.85546875" style="1" customWidth="1"/>
    <col min="18" max="18" width="17.7109375" style="1" customWidth="1"/>
    <col min="19" max="19" width="19.42578125" style="1" customWidth="1"/>
    <col min="20" max="20" width="21.28515625" style="1" customWidth="1"/>
    <col min="21" max="21" width="27.140625" style="1" customWidth="1"/>
    <col min="22" max="22" width="21.85546875"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1387</v>
      </c>
      <c r="E2" s="1" t="s">
        <v>30</v>
      </c>
      <c r="F2" s="1" t="s">
        <v>22</v>
      </c>
      <c r="G2" s="1" t="s">
        <v>1388</v>
      </c>
      <c r="H2" s="1" t="s">
        <v>1390</v>
      </c>
      <c r="I2" s="1" t="s">
        <v>933</v>
      </c>
      <c r="J2" s="1" t="s">
        <v>1389</v>
      </c>
      <c r="K2" s="1" t="s">
        <v>1074</v>
      </c>
      <c r="L2" s="1" t="s">
        <v>1391</v>
      </c>
      <c r="M2" s="1" t="s">
        <v>1392</v>
      </c>
      <c r="N2" s="3" t="s">
        <v>24</v>
      </c>
      <c r="O2" s="2" t="s">
        <v>935</v>
      </c>
      <c r="P2" s="12">
        <v>45993</v>
      </c>
    </row>
    <row r="3" spans="1:22" ht="120">
      <c r="A3" s="68">
        <v>2</v>
      </c>
      <c r="B3" s="68" t="s">
        <v>1393</v>
      </c>
      <c r="C3" s="69" t="s">
        <v>1496</v>
      </c>
      <c r="D3" s="70">
        <v>45994</v>
      </c>
      <c r="E3" s="68" t="s">
        <v>30</v>
      </c>
      <c r="F3" s="68" t="s">
        <v>22</v>
      </c>
      <c r="G3" s="68" t="s">
        <v>1388</v>
      </c>
      <c r="H3" s="68" t="s">
        <v>1394</v>
      </c>
      <c r="I3" s="68" t="s">
        <v>933</v>
      </c>
      <c r="J3" s="68" t="s">
        <v>1395</v>
      </c>
      <c r="K3" s="68" t="s">
        <v>1396</v>
      </c>
      <c r="L3" s="68" t="s">
        <v>1397</v>
      </c>
      <c r="M3" s="68" t="s">
        <v>1398</v>
      </c>
      <c r="N3" s="68" t="s">
        <v>24</v>
      </c>
      <c r="O3" s="71" t="s">
        <v>935</v>
      </c>
      <c r="P3" s="72">
        <v>45993</v>
      </c>
      <c r="Q3" s="68" t="s">
        <v>3159</v>
      </c>
      <c r="R3" s="68" t="s">
        <v>1220</v>
      </c>
      <c r="S3" s="68" t="s">
        <v>4534</v>
      </c>
      <c r="T3" s="72" t="s">
        <v>5078</v>
      </c>
      <c r="U3" s="68"/>
      <c r="V3" s="68"/>
    </row>
    <row r="4" spans="1:22" ht="150">
      <c r="A4" s="1">
        <v>3</v>
      </c>
      <c r="B4" s="1" t="s">
        <v>1399</v>
      </c>
      <c r="E4" s="1" t="s">
        <v>30</v>
      </c>
      <c r="F4" s="1" t="s">
        <v>22</v>
      </c>
      <c r="G4" s="1" t="s">
        <v>1388</v>
      </c>
      <c r="H4" s="1" t="s">
        <v>1400</v>
      </c>
      <c r="I4" s="1" t="s">
        <v>933</v>
      </c>
      <c r="J4" s="1" t="s">
        <v>1401</v>
      </c>
      <c r="K4" s="1" t="s">
        <v>255</v>
      </c>
      <c r="L4" s="1" t="s">
        <v>1402</v>
      </c>
      <c r="M4" s="1" t="s">
        <v>1524</v>
      </c>
      <c r="N4" s="3" t="s">
        <v>274</v>
      </c>
      <c r="O4" s="2" t="s">
        <v>935</v>
      </c>
      <c r="P4" s="12">
        <v>45993</v>
      </c>
    </row>
    <row r="5" spans="1:22" ht="165">
      <c r="A5" s="1">
        <v>4</v>
      </c>
      <c r="B5" s="1" t="s">
        <v>1403</v>
      </c>
      <c r="E5" s="1" t="s">
        <v>30</v>
      </c>
      <c r="F5" s="1" t="s">
        <v>22</v>
      </c>
      <c r="G5" s="1" t="s">
        <v>1388</v>
      </c>
      <c r="H5" s="1" t="s">
        <v>1405</v>
      </c>
      <c r="I5" s="1" t="s">
        <v>933</v>
      </c>
      <c r="J5" s="1" t="s">
        <v>1406</v>
      </c>
      <c r="K5" s="1" t="s">
        <v>1404</v>
      </c>
      <c r="L5" s="1" t="s">
        <v>1407</v>
      </c>
      <c r="M5" s="14" t="s">
        <v>1408</v>
      </c>
      <c r="N5" s="3" t="s">
        <v>24</v>
      </c>
      <c r="O5" s="2" t="s">
        <v>935</v>
      </c>
      <c r="P5" s="12">
        <v>45993</v>
      </c>
    </row>
    <row r="6" spans="1:22" ht="165">
      <c r="A6" s="68">
        <v>5</v>
      </c>
      <c r="B6" s="68" t="s">
        <v>1409</v>
      </c>
      <c r="C6" s="69" t="s">
        <v>1497</v>
      </c>
      <c r="D6" s="70">
        <v>45994</v>
      </c>
      <c r="E6" s="68" t="s">
        <v>30</v>
      </c>
      <c r="F6" s="68" t="s">
        <v>22</v>
      </c>
      <c r="G6" s="68" t="s">
        <v>1388</v>
      </c>
      <c r="H6" s="68" t="s">
        <v>1410</v>
      </c>
      <c r="I6" s="68" t="s">
        <v>933</v>
      </c>
      <c r="J6" s="68" t="s">
        <v>1412</v>
      </c>
      <c r="K6" s="68" t="s">
        <v>1413</v>
      </c>
      <c r="L6" s="68" t="s">
        <v>1414</v>
      </c>
      <c r="M6" s="96" t="s">
        <v>1417</v>
      </c>
      <c r="N6" s="68" t="s">
        <v>24</v>
      </c>
      <c r="O6" s="71" t="s">
        <v>935</v>
      </c>
      <c r="P6" s="72">
        <v>45993</v>
      </c>
      <c r="Q6" s="68" t="s">
        <v>3159</v>
      </c>
      <c r="R6" s="68" t="s">
        <v>1220</v>
      </c>
      <c r="S6" s="68" t="s">
        <v>4534</v>
      </c>
      <c r="T6" s="72" t="s">
        <v>5078</v>
      </c>
      <c r="U6" s="68"/>
      <c r="V6" s="68"/>
    </row>
    <row r="7" spans="1:22" ht="105">
      <c r="A7" s="1">
        <v>6</v>
      </c>
      <c r="B7" s="1" t="s">
        <v>1415</v>
      </c>
      <c r="E7" s="1" t="s">
        <v>30</v>
      </c>
      <c r="F7" s="1" t="s">
        <v>22</v>
      </c>
      <c r="G7" s="1" t="s">
        <v>1388</v>
      </c>
      <c r="H7" s="1" t="s">
        <v>1416</v>
      </c>
      <c r="I7" s="1" t="s">
        <v>933</v>
      </c>
      <c r="J7" s="1" t="s">
        <v>1411</v>
      </c>
      <c r="K7" s="1" t="s">
        <v>1418</v>
      </c>
      <c r="L7" s="1" t="s">
        <v>1419</v>
      </c>
      <c r="M7" s="1" t="s">
        <v>1420</v>
      </c>
      <c r="N7" s="3" t="s">
        <v>24</v>
      </c>
      <c r="O7" s="2" t="s">
        <v>935</v>
      </c>
      <c r="P7" s="12">
        <v>45993</v>
      </c>
    </row>
    <row r="8" spans="1:22" ht="105">
      <c r="A8" s="1">
        <v>7</v>
      </c>
      <c r="B8" s="1" t="s">
        <v>1421</v>
      </c>
      <c r="E8" s="1" t="s">
        <v>30</v>
      </c>
      <c r="F8" s="1" t="s">
        <v>22</v>
      </c>
      <c r="G8" s="1" t="s">
        <v>1388</v>
      </c>
      <c r="H8" s="1" t="s">
        <v>1422</v>
      </c>
      <c r="I8" s="1" t="s">
        <v>933</v>
      </c>
      <c r="J8" s="1" t="s">
        <v>1423</v>
      </c>
      <c r="K8" s="1" t="s">
        <v>1211</v>
      </c>
      <c r="L8" s="1" t="s">
        <v>1213</v>
      </c>
      <c r="M8" s="1" t="s">
        <v>258</v>
      </c>
      <c r="N8" s="3" t="s">
        <v>24</v>
      </c>
      <c r="O8" s="2" t="s">
        <v>935</v>
      </c>
      <c r="P8" s="12">
        <v>45993</v>
      </c>
    </row>
    <row r="9" spans="1:22" ht="105">
      <c r="A9" s="1">
        <v>8</v>
      </c>
      <c r="B9" s="1" t="s">
        <v>1424</v>
      </c>
      <c r="E9" s="1" t="s">
        <v>30</v>
      </c>
      <c r="F9" s="1" t="s">
        <v>22</v>
      </c>
      <c r="G9" s="1" t="s">
        <v>1388</v>
      </c>
      <c r="H9" s="1" t="s">
        <v>1425</v>
      </c>
      <c r="I9" s="1" t="s">
        <v>933</v>
      </c>
      <c r="J9" s="1" t="s">
        <v>1426</v>
      </c>
      <c r="K9" s="1" t="s">
        <v>1427</v>
      </c>
      <c r="L9" s="1" t="s">
        <v>1428</v>
      </c>
      <c r="M9" s="1" t="s">
        <v>258</v>
      </c>
      <c r="N9" s="3" t="s">
        <v>24</v>
      </c>
      <c r="O9" s="2" t="s">
        <v>935</v>
      </c>
      <c r="P9" s="12">
        <v>45993</v>
      </c>
    </row>
    <row r="10" spans="1:22" ht="150">
      <c r="A10" s="14">
        <v>9</v>
      </c>
      <c r="B10" s="1" t="s">
        <v>1429</v>
      </c>
      <c r="E10" s="1" t="s">
        <v>30</v>
      </c>
      <c r="F10" s="1" t="s">
        <v>22</v>
      </c>
      <c r="G10" s="1" t="s">
        <v>1388</v>
      </c>
      <c r="H10" s="1" t="s">
        <v>1433</v>
      </c>
      <c r="I10" s="1" t="s">
        <v>933</v>
      </c>
      <c r="J10" s="1" t="s">
        <v>1430</v>
      </c>
      <c r="K10" s="1" t="s">
        <v>1435</v>
      </c>
      <c r="L10" s="1" t="s">
        <v>895</v>
      </c>
      <c r="M10" s="1" t="s">
        <v>854</v>
      </c>
      <c r="N10" s="3" t="s">
        <v>24</v>
      </c>
      <c r="O10" s="2" t="s">
        <v>935</v>
      </c>
      <c r="P10" s="12">
        <v>45993</v>
      </c>
    </row>
    <row r="11" spans="1:22" ht="165">
      <c r="A11" s="14">
        <v>10</v>
      </c>
      <c r="B11" s="1" t="s">
        <v>1431</v>
      </c>
      <c r="E11" s="1" t="s">
        <v>30</v>
      </c>
      <c r="F11" s="1" t="s">
        <v>22</v>
      </c>
      <c r="G11" s="1" t="s">
        <v>1388</v>
      </c>
      <c r="H11" s="1" t="s">
        <v>1432</v>
      </c>
      <c r="I11" s="1" t="s">
        <v>933</v>
      </c>
      <c r="J11" s="1" t="s">
        <v>1434</v>
      </c>
      <c r="K11" s="1" t="s">
        <v>1438</v>
      </c>
      <c r="L11" s="1" t="s">
        <v>899</v>
      </c>
      <c r="M11" s="1" t="s">
        <v>854</v>
      </c>
      <c r="N11" s="3" t="s">
        <v>24</v>
      </c>
      <c r="O11" s="2" t="s">
        <v>935</v>
      </c>
      <c r="P11" s="12">
        <v>45993</v>
      </c>
    </row>
    <row r="12" spans="1:22" ht="120">
      <c r="A12" s="14">
        <v>11</v>
      </c>
      <c r="B12" s="1" t="s">
        <v>1436</v>
      </c>
      <c r="E12" s="1" t="s">
        <v>30</v>
      </c>
      <c r="F12" s="1" t="s">
        <v>22</v>
      </c>
      <c r="G12" s="1" t="s">
        <v>1388</v>
      </c>
      <c r="H12" s="1" t="s">
        <v>1437</v>
      </c>
      <c r="I12" s="1" t="s">
        <v>933</v>
      </c>
      <c r="J12" s="1" t="s">
        <v>1439</v>
      </c>
      <c r="K12" s="1" t="s">
        <v>1444</v>
      </c>
      <c r="L12" s="1" t="s">
        <v>1440</v>
      </c>
      <c r="M12" s="1" t="s">
        <v>854</v>
      </c>
      <c r="N12" s="3" t="s">
        <v>24</v>
      </c>
      <c r="O12" s="2" t="s">
        <v>935</v>
      </c>
      <c r="P12" s="12">
        <v>45993</v>
      </c>
    </row>
    <row r="13" spans="1:22" ht="120">
      <c r="A13" s="14">
        <v>12</v>
      </c>
      <c r="B13" s="1" t="s">
        <v>1441</v>
      </c>
      <c r="E13" s="1" t="s">
        <v>30</v>
      </c>
      <c r="F13" s="1" t="s">
        <v>22</v>
      </c>
      <c r="G13" s="1" t="s">
        <v>1388</v>
      </c>
      <c r="H13" s="1" t="s">
        <v>1442</v>
      </c>
      <c r="I13" s="1" t="s">
        <v>933</v>
      </c>
      <c r="J13" s="1" t="s">
        <v>1443</v>
      </c>
      <c r="K13" s="1" t="s">
        <v>1444</v>
      </c>
      <c r="L13" s="1" t="s">
        <v>908</v>
      </c>
      <c r="M13" s="1" t="s">
        <v>854</v>
      </c>
      <c r="N13" s="3" t="s">
        <v>24</v>
      </c>
      <c r="O13" s="2" t="s">
        <v>935</v>
      </c>
      <c r="P13" s="12">
        <v>45993</v>
      </c>
    </row>
    <row r="14" spans="1:22" ht="135">
      <c r="A14" s="14">
        <v>13</v>
      </c>
      <c r="B14" s="1" t="s">
        <v>1445</v>
      </c>
      <c r="E14" s="1" t="s">
        <v>30</v>
      </c>
      <c r="F14" s="1" t="s">
        <v>22</v>
      </c>
      <c r="G14" s="1" t="s">
        <v>1388</v>
      </c>
      <c r="H14" s="1" t="s">
        <v>1446</v>
      </c>
      <c r="I14" s="1" t="s">
        <v>933</v>
      </c>
      <c r="J14" s="1" t="s">
        <v>1447</v>
      </c>
      <c r="K14" s="1" t="s">
        <v>866</v>
      </c>
      <c r="L14" s="1" t="s">
        <v>1448</v>
      </c>
      <c r="M14" s="1" t="s">
        <v>854</v>
      </c>
      <c r="N14" s="3" t="s">
        <v>24</v>
      </c>
      <c r="O14" s="2" t="s">
        <v>935</v>
      </c>
      <c r="P14" s="12">
        <v>45993</v>
      </c>
    </row>
    <row r="15" spans="1:22" ht="120">
      <c r="A15" s="14">
        <v>14</v>
      </c>
      <c r="B15" s="1" t="s">
        <v>1449</v>
      </c>
      <c r="E15" s="1" t="s">
        <v>30</v>
      </c>
      <c r="F15" s="1" t="s">
        <v>22</v>
      </c>
      <c r="G15" s="1" t="s">
        <v>1388</v>
      </c>
      <c r="H15" s="1" t="s">
        <v>1450</v>
      </c>
      <c r="I15" s="1" t="s">
        <v>933</v>
      </c>
      <c r="J15" s="1" t="s">
        <v>1451</v>
      </c>
      <c r="K15" s="1" t="s">
        <v>1452</v>
      </c>
      <c r="L15" s="1" t="s">
        <v>1453</v>
      </c>
      <c r="M15" s="1" t="s">
        <v>1454</v>
      </c>
      <c r="N15" s="3" t="s">
        <v>24</v>
      </c>
      <c r="O15" s="2" t="s">
        <v>935</v>
      </c>
      <c r="P15" s="12">
        <v>45993</v>
      </c>
    </row>
    <row r="16" spans="1:22" ht="120">
      <c r="A16" s="68">
        <v>15</v>
      </c>
      <c r="B16" s="68" t="s">
        <v>1455</v>
      </c>
      <c r="C16" s="69" t="s">
        <v>1499</v>
      </c>
      <c r="D16" s="70">
        <v>45994</v>
      </c>
      <c r="E16" s="68" t="s">
        <v>30</v>
      </c>
      <c r="F16" s="68" t="s">
        <v>22</v>
      </c>
      <c r="G16" s="68" t="s">
        <v>1388</v>
      </c>
      <c r="H16" s="68" t="s">
        <v>1456</v>
      </c>
      <c r="I16" s="68" t="s">
        <v>933</v>
      </c>
      <c r="J16" s="68" t="s">
        <v>1457</v>
      </c>
      <c r="K16" s="68" t="s">
        <v>1498</v>
      </c>
      <c r="L16" s="68" t="s">
        <v>1458</v>
      </c>
      <c r="M16" s="68" t="s">
        <v>1245</v>
      </c>
      <c r="N16" s="68" t="s">
        <v>24</v>
      </c>
      <c r="O16" s="71" t="s">
        <v>935</v>
      </c>
      <c r="P16" s="72">
        <v>45993</v>
      </c>
      <c r="Q16" s="68" t="s">
        <v>3159</v>
      </c>
      <c r="R16" s="68" t="s">
        <v>1220</v>
      </c>
      <c r="S16" s="68" t="s">
        <v>4534</v>
      </c>
      <c r="T16" s="72" t="s">
        <v>5078</v>
      </c>
      <c r="U16" s="68"/>
      <c r="V16" s="68"/>
    </row>
    <row r="17" spans="1:22" ht="90">
      <c r="A17" s="14">
        <v>16</v>
      </c>
      <c r="B17" s="1" t="s">
        <v>1459</v>
      </c>
      <c r="E17" s="1" t="s">
        <v>30</v>
      </c>
      <c r="F17" s="1" t="s">
        <v>22</v>
      </c>
      <c r="G17" s="1" t="s">
        <v>1388</v>
      </c>
      <c r="H17" s="1" t="s">
        <v>1460</v>
      </c>
      <c r="I17" s="1" t="s">
        <v>933</v>
      </c>
      <c r="J17" s="1" t="s">
        <v>1461</v>
      </c>
      <c r="K17" s="1" t="s">
        <v>255</v>
      </c>
      <c r="L17" s="1" t="s">
        <v>1462</v>
      </c>
      <c r="M17" s="1" t="s">
        <v>1145</v>
      </c>
      <c r="N17" s="3" t="s">
        <v>24</v>
      </c>
      <c r="O17" s="2" t="s">
        <v>935</v>
      </c>
      <c r="P17" s="12">
        <v>45993</v>
      </c>
    </row>
    <row r="18" spans="1:22" ht="135">
      <c r="A18" s="68">
        <v>17</v>
      </c>
      <c r="B18" s="68" t="s">
        <v>1463</v>
      </c>
      <c r="C18" s="69" t="s">
        <v>4884</v>
      </c>
      <c r="D18" s="70">
        <v>46052</v>
      </c>
      <c r="E18" s="68" t="s">
        <v>30</v>
      </c>
      <c r="F18" s="68" t="s">
        <v>22</v>
      </c>
      <c r="G18" s="68" t="s">
        <v>1388</v>
      </c>
      <c r="H18" s="68" t="s">
        <v>1464</v>
      </c>
      <c r="I18" s="68" t="s">
        <v>933</v>
      </c>
      <c r="J18" s="68" t="s">
        <v>1465</v>
      </c>
      <c r="K18" s="68" t="s">
        <v>1024</v>
      </c>
      <c r="L18" s="68" t="s">
        <v>882</v>
      </c>
      <c r="M18" s="68" t="s">
        <v>854</v>
      </c>
      <c r="N18" s="68" t="s">
        <v>24</v>
      </c>
      <c r="O18" s="71" t="s">
        <v>935</v>
      </c>
      <c r="P18" s="72">
        <v>45993</v>
      </c>
      <c r="Q18" s="68" t="s">
        <v>3159</v>
      </c>
      <c r="R18" s="68" t="s">
        <v>1220</v>
      </c>
      <c r="S18" s="68" t="s">
        <v>4534</v>
      </c>
      <c r="T18" s="72" t="s">
        <v>5078</v>
      </c>
      <c r="U18" s="68"/>
      <c r="V18" s="68"/>
    </row>
    <row r="19" spans="1:22" ht="90">
      <c r="A19" s="68">
        <v>18</v>
      </c>
      <c r="B19" s="68" t="s">
        <v>1466</v>
      </c>
      <c r="C19" s="69" t="s">
        <v>2741</v>
      </c>
      <c r="D19" s="70">
        <v>46010</v>
      </c>
      <c r="E19" s="68" t="s">
        <v>30</v>
      </c>
      <c r="F19" s="68" t="s">
        <v>22</v>
      </c>
      <c r="G19" s="68" t="s">
        <v>1388</v>
      </c>
      <c r="H19" s="68" t="s">
        <v>1467</v>
      </c>
      <c r="I19" s="68" t="s">
        <v>933</v>
      </c>
      <c r="J19" s="68" t="s">
        <v>2738</v>
      </c>
      <c r="K19" s="68" t="s">
        <v>255</v>
      </c>
      <c r="L19" s="124" t="s">
        <v>2739</v>
      </c>
      <c r="M19" s="124" t="s">
        <v>2740</v>
      </c>
      <c r="N19" s="68" t="s">
        <v>24</v>
      </c>
      <c r="O19" s="71" t="s">
        <v>935</v>
      </c>
      <c r="P19" s="72">
        <v>45993</v>
      </c>
      <c r="Q19" s="68"/>
      <c r="R19" s="68"/>
      <c r="S19" s="68"/>
      <c r="T19" s="68"/>
      <c r="U19" s="68"/>
      <c r="V19" s="68"/>
    </row>
    <row r="20" spans="1:22" ht="120">
      <c r="A20" s="14">
        <v>19</v>
      </c>
      <c r="B20" s="1" t="s">
        <v>1469</v>
      </c>
      <c r="E20" s="1" t="s">
        <v>30</v>
      </c>
      <c r="F20" s="1" t="s">
        <v>22</v>
      </c>
      <c r="G20" s="1" t="s">
        <v>1388</v>
      </c>
      <c r="H20" s="1" t="s">
        <v>1468</v>
      </c>
      <c r="I20" s="1" t="s">
        <v>933</v>
      </c>
      <c r="J20" s="1" t="s">
        <v>1470</v>
      </c>
      <c r="K20" s="1" t="s">
        <v>890</v>
      </c>
      <c r="L20" s="1" t="s">
        <v>891</v>
      </c>
      <c r="M20" s="1" t="s">
        <v>1612</v>
      </c>
      <c r="N20" s="3" t="s">
        <v>274</v>
      </c>
      <c r="O20" s="2" t="s">
        <v>935</v>
      </c>
      <c r="P20" s="12">
        <v>45993</v>
      </c>
    </row>
    <row r="21" spans="1:22" ht="105">
      <c r="A21" s="14">
        <v>20</v>
      </c>
      <c r="B21" s="1" t="s">
        <v>1474</v>
      </c>
      <c r="E21" s="1" t="s">
        <v>30</v>
      </c>
      <c r="F21" s="1" t="s">
        <v>22</v>
      </c>
      <c r="G21" s="1" t="s">
        <v>1388</v>
      </c>
      <c r="H21" s="1" t="s">
        <v>1471</v>
      </c>
      <c r="I21" s="1" t="s">
        <v>933</v>
      </c>
      <c r="J21" s="1" t="s">
        <v>1472</v>
      </c>
      <c r="K21" s="1" t="s">
        <v>255</v>
      </c>
      <c r="L21" s="1" t="s">
        <v>1473</v>
      </c>
      <c r="M21" s="1" t="s">
        <v>6061</v>
      </c>
      <c r="N21" s="3" t="s">
        <v>274</v>
      </c>
      <c r="O21" s="2" t="s">
        <v>935</v>
      </c>
      <c r="P21" s="12">
        <v>45993</v>
      </c>
    </row>
    <row r="22" spans="1:22" ht="105">
      <c r="A22" s="14">
        <v>21</v>
      </c>
      <c r="B22" s="1" t="s">
        <v>1477</v>
      </c>
      <c r="E22" s="1" t="s">
        <v>30</v>
      </c>
      <c r="F22" s="1" t="s">
        <v>22</v>
      </c>
      <c r="G22" s="1" t="s">
        <v>1388</v>
      </c>
      <c r="H22" s="1" t="s">
        <v>1475</v>
      </c>
      <c r="I22" s="1" t="s">
        <v>933</v>
      </c>
      <c r="J22" s="1" t="s">
        <v>1476</v>
      </c>
      <c r="K22" s="1" t="s">
        <v>255</v>
      </c>
      <c r="L22" s="1" t="s">
        <v>1262</v>
      </c>
      <c r="M22" s="1" t="s">
        <v>1263</v>
      </c>
      <c r="N22" s="3" t="s">
        <v>24</v>
      </c>
      <c r="O22" s="2" t="s">
        <v>935</v>
      </c>
      <c r="P22" s="12">
        <v>45993</v>
      </c>
    </row>
    <row r="23" spans="1:22" ht="105">
      <c r="A23" s="14">
        <v>22</v>
      </c>
      <c r="B23" s="1" t="s">
        <v>1480</v>
      </c>
      <c r="E23" s="1" t="s">
        <v>30</v>
      </c>
      <c r="F23" s="1" t="s">
        <v>22</v>
      </c>
      <c r="G23" s="1" t="s">
        <v>1388</v>
      </c>
      <c r="H23" s="1" t="s">
        <v>1478</v>
      </c>
      <c r="I23" s="1" t="s">
        <v>933</v>
      </c>
      <c r="J23" s="1" t="s">
        <v>1479</v>
      </c>
      <c r="K23" s="1" t="s">
        <v>255</v>
      </c>
      <c r="L23" s="1" t="s">
        <v>736</v>
      </c>
      <c r="M23" s="1" t="s">
        <v>258</v>
      </c>
      <c r="N23" s="3" t="s">
        <v>24</v>
      </c>
      <c r="O23" s="2" t="s">
        <v>935</v>
      </c>
      <c r="P23" s="12">
        <v>45993</v>
      </c>
    </row>
    <row r="24" spans="1:22" ht="105">
      <c r="A24" s="14">
        <v>23</v>
      </c>
      <c r="B24" s="1" t="s">
        <v>1481</v>
      </c>
      <c r="E24" s="1" t="s">
        <v>30</v>
      </c>
      <c r="F24" s="1" t="s">
        <v>22</v>
      </c>
      <c r="G24" s="1" t="s">
        <v>1388</v>
      </c>
      <c r="H24" s="1" t="s">
        <v>1482</v>
      </c>
      <c r="I24" s="1" t="s">
        <v>933</v>
      </c>
      <c r="J24" s="1" t="s">
        <v>1483</v>
      </c>
      <c r="K24" s="1" t="s">
        <v>255</v>
      </c>
      <c r="L24" s="1" t="s">
        <v>918</v>
      </c>
      <c r="M24" s="1" t="s">
        <v>6065</v>
      </c>
      <c r="N24" s="3" t="s">
        <v>274</v>
      </c>
      <c r="O24" s="2" t="s">
        <v>935</v>
      </c>
      <c r="P24" s="12">
        <v>45993</v>
      </c>
    </row>
  </sheetData>
  <autoFilter ref="A1:V24"/>
  <hyperlinks>
    <hyperlink ref="C3" r:id="rId1" display="https://hanssupport.atlassian.net/browse/BA-240"/>
    <hyperlink ref="C6" r:id="rId2" display="https://hanssupport.atlassian.net/browse/BA-241"/>
    <hyperlink ref="C16" r:id="rId3" display="https://hanssupport.atlassian.net/browse/BA-242"/>
    <hyperlink ref="C19" r:id="rId4" display="https://hanssupport.atlassian.net/browse/BA-296"/>
    <hyperlink ref="C18" r:id="rId5" display="https://hanssupport.atlassian.net/browse/BA-527"/>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V27"/>
  <sheetViews>
    <sheetView workbookViewId="0">
      <pane ySplit="1" topLeftCell="A2" activePane="bottomLeft" state="frozen"/>
      <selection pane="bottomLeft" activeCell="C1" sqref="C1"/>
    </sheetView>
  </sheetViews>
  <sheetFormatPr defaultRowHeight="15"/>
  <cols>
    <col min="1" max="1" width="7.42578125" style="40" customWidth="1"/>
    <col min="2" max="2" width="19.42578125" style="40" customWidth="1"/>
    <col min="3" max="3" width="13.140625" style="40" customWidth="1"/>
    <col min="4" max="4" width="20.42578125" style="40" customWidth="1"/>
    <col min="5" max="5" width="13.28515625" style="40" customWidth="1"/>
    <col min="6" max="6" width="12.140625" style="40" customWidth="1"/>
    <col min="7" max="7" width="32.7109375" style="40" customWidth="1"/>
    <col min="8" max="8" width="57.5703125" style="40" customWidth="1"/>
    <col min="9" max="9" width="47.28515625" style="40" customWidth="1"/>
    <col min="10" max="10" width="55.140625" style="40" customWidth="1"/>
    <col min="11" max="11" width="36.5703125" style="40" customWidth="1"/>
    <col min="12" max="12" width="58.5703125" style="40" customWidth="1"/>
    <col min="13" max="13" width="52.28515625" style="40" customWidth="1"/>
    <col min="14" max="14" width="16.7109375" style="40" customWidth="1"/>
    <col min="15" max="15" width="34" style="40" customWidth="1"/>
    <col min="16" max="16" width="22.140625" style="40" customWidth="1"/>
    <col min="17" max="17" width="17" style="40" customWidth="1"/>
    <col min="18" max="18" width="17.7109375" style="40" customWidth="1"/>
    <col min="19" max="19" width="27.42578125" style="40" customWidth="1"/>
    <col min="20" max="20" width="22.5703125" style="40" customWidth="1"/>
    <col min="21" max="21" width="26.42578125" style="40" customWidth="1"/>
    <col min="22" max="22" width="14.85546875" style="40" customWidth="1"/>
    <col min="23" max="16384" width="9.140625" style="40"/>
  </cols>
  <sheetData>
    <row r="1" spans="1:22" s="1"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75">
      <c r="A2" s="1">
        <v>1</v>
      </c>
      <c r="B2" s="1" t="s">
        <v>1500</v>
      </c>
      <c r="C2" s="1"/>
      <c r="D2" s="1"/>
      <c r="E2" s="1" t="s">
        <v>30</v>
      </c>
      <c r="F2" s="1" t="s">
        <v>22</v>
      </c>
      <c r="G2" s="1" t="s">
        <v>1501</v>
      </c>
      <c r="H2" s="1" t="s">
        <v>1502</v>
      </c>
      <c r="I2" s="1" t="s">
        <v>933</v>
      </c>
      <c r="J2" s="1" t="s">
        <v>1503</v>
      </c>
      <c r="K2" s="1" t="s">
        <v>1074</v>
      </c>
      <c r="L2" s="1" t="s">
        <v>1504</v>
      </c>
      <c r="M2" s="1" t="s">
        <v>1505</v>
      </c>
      <c r="N2" s="3" t="s">
        <v>24</v>
      </c>
      <c r="O2" s="2" t="s">
        <v>935</v>
      </c>
      <c r="P2" s="12">
        <v>45994</v>
      </c>
    </row>
    <row r="3" spans="1:22" ht="135">
      <c r="A3" s="68">
        <v>2</v>
      </c>
      <c r="B3" s="68" t="s">
        <v>1506</v>
      </c>
      <c r="C3" s="69" t="s">
        <v>1511</v>
      </c>
      <c r="D3" s="70">
        <v>45994</v>
      </c>
      <c r="E3" s="68" t="s">
        <v>30</v>
      </c>
      <c r="F3" s="68" t="s">
        <v>22</v>
      </c>
      <c r="G3" s="68" t="s">
        <v>1501</v>
      </c>
      <c r="H3" s="68" t="s">
        <v>1507</v>
      </c>
      <c r="I3" s="68" t="s">
        <v>933</v>
      </c>
      <c r="J3" s="68" t="s">
        <v>1508</v>
      </c>
      <c r="K3" s="68" t="s">
        <v>1509</v>
      </c>
      <c r="L3" s="68" t="s">
        <v>1510</v>
      </c>
      <c r="M3" s="68" t="s">
        <v>1517</v>
      </c>
      <c r="N3" s="68" t="s">
        <v>24</v>
      </c>
      <c r="O3" s="71" t="s">
        <v>935</v>
      </c>
      <c r="P3" s="72">
        <v>45994</v>
      </c>
      <c r="Q3" s="68" t="s">
        <v>3159</v>
      </c>
      <c r="R3" s="68" t="s">
        <v>1220</v>
      </c>
      <c r="S3" s="68" t="s">
        <v>6081</v>
      </c>
      <c r="T3" s="72" t="s">
        <v>6157</v>
      </c>
      <c r="U3" s="79"/>
      <c r="V3" s="79"/>
    </row>
    <row r="4" spans="1:22" ht="120">
      <c r="A4" s="68">
        <v>3</v>
      </c>
      <c r="B4" s="68" t="s">
        <v>1512</v>
      </c>
      <c r="C4" s="69" t="s">
        <v>1519</v>
      </c>
      <c r="D4" s="70">
        <v>45994</v>
      </c>
      <c r="E4" s="68" t="s">
        <v>30</v>
      </c>
      <c r="F4" s="68" t="s">
        <v>22</v>
      </c>
      <c r="G4" s="68" t="s">
        <v>1501</v>
      </c>
      <c r="H4" s="68" t="s">
        <v>1513</v>
      </c>
      <c r="I4" s="68" t="s">
        <v>933</v>
      </c>
      <c r="J4" s="68" t="s">
        <v>1514</v>
      </c>
      <c r="K4" s="68" t="s">
        <v>1515</v>
      </c>
      <c r="L4" s="68" t="s">
        <v>1516</v>
      </c>
      <c r="M4" s="68" t="s">
        <v>1518</v>
      </c>
      <c r="N4" s="68" t="s">
        <v>24</v>
      </c>
      <c r="O4" s="71" t="s">
        <v>935</v>
      </c>
      <c r="P4" s="72">
        <v>45994</v>
      </c>
      <c r="Q4" s="68" t="s">
        <v>3159</v>
      </c>
      <c r="R4" s="68" t="s">
        <v>1220</v>
      </c>
      <c r="S4" s="68" t="s">
        <v>6081</v>
      </c>
      <c r="T4" s="72" t="s">
        <v>6157</v>
      </c>
      <c r="U4" s="79"/>
      <c r="V4" s="79"/>
    </row>
    <row r="5" spans="1:22" ht="135">
      <c r="A5" s="14">
        <v>4</v>
      </c>
      <c r="B5" s="1" t="s">
        <v>1520</v>
      </c>
      <c r="E5" s="1" t="s">
        <v>30</v>
      </c>
      <c r="F5" s="1" t="s">
        <v>22</v>
      </c>
      <c r="G5" s="1" t="s">
        <v>1501</v>
      </c>
      <c r="H5" s="1" t="s">
        <v>1521</v>
      </c>
      <c r="I5" s="1" t="s">
        <v>933</v>
      </c>
      <c r="J5" s="1" t="s">
        <v>1522</v>
      </c>
      <c r="K5" s="1" t="s">
        <v>255</v>
      </c>
      <c r="L5" s="1" t="s">
        <v>1523</v>
      </c>
      <c r="M5" s="1" t="s">
        <v>1286</v>
      </c>
      <c r="N5" s="3" t="s">
        <v>274</v>
      </c>
      <c r="O5" s="2" t="s">
        <v>935</v>
      </c>
      <c r="P5" s="12">
        <v>45995</v>
      </c>
    </row>
    <row r="6" spans="1:22" ht="195">
      <c r="A6" s="79">
        <v>5</v>
      </c>
      <c r="B6" s="68" t="s">
        <v>1525</v>
      </c>
      <c r="C6" s="101" t="s">
        <v>4882</v>
      </c>
      <c r="D6" s="102">
        <v>45995</v>
      </c>
      <c r="E6" s="68" t="s">
        <v>30</v>
      </c>
      <c r="F6" s="68" t="s">
        <v>22</v>
      </c>
      <c r="G6" s="68" t="s">
        <v>1501</v>
      </c>
      <c r="H6" s="68" t="s">
        <v>1527</v>
      </c>
      <c r="I6" s="68" t="s">
        <v>933</v>
      </c>
      <c r="J6" s="68" t="s">
        <v>1528</v>
      </c>
      <c r="K6" s="68" t="s">
        <v>1526</v>
      </c>
      <c r="L6" s="68" t="s">
        <v>1529</v>
      </c>
      <c r="M6" s="68" t="s">
        <v>1530</v>
      </c>
      <c r="N6" s="68" t="s">
        <v>24</v>
      </c>
      <c r="O6" s="71" t="s">
        <v>935</v>
      </c>
      <c r="P6" s="72">
        <v>45995</v>
      </c>
      <c r="Q6" s="68" t="s">
        <v>3159</v>
      </c>
      <c r="R6" s="68" t="s">
        <v>1220</v>
      </c>
      <c r="S6" s="68" t="s">
        <v>6081</v>
      </c>
      <c r="T6" s="72" t="s">
        <v>6157</v>
      </c>
      <c r="U6" s="79"/>
      <c r="V6" s="79"/>
    </row>
    <row r="7" spans="1:22" ht="210">
      <c r="A7" s="79">
        <v>6</v>
      </c>
      <c r="B7" s="68" t="s">
        <v>1531</v>
      </c>
      <c r="C7" s="101" t="s">
        <v>1630</v>
      </c>
      <c r="D7" s="102">
        <v>45995</v>
      </c>
      <c r="E7" s="68" t="s">
        <v>30</v>
      </c>
      <c r="F7" s="68" t="s">
        <v>22</v>
      </c>
      <c r="G7" s="68" t="s">
        <v>1501</v>
      </c>
      <c r="H7" s="68" t="s">
        <v>1629</v>
      </c>
      <c r="I7" s="68" t="s">
        <v>933</v>
      </c>
      <c r="J7" s="68" t="s">
        <v>1532</v>
      </c>
      <c r="K7" s="68" t="s">
        <v>1533</v>
      </c>
      <c r="L7" s="68" t="s">
        <v>1534</v>
      </c>
      <c r="M7" s="68" t="s">
        <v>1535</v>
      </c>
      <c r="N7" s="68" t="s">
        <v>24</v>
      </c>
      <c r="O7" s="71" t="s">
        <v>935</v>
      </c>
      <c r="P7" s="72">
        <v>45995</v>
      </c>
      <c r="Q7" s="68" t="s">
        <v>3159</v>
      </c>
      <c r="R7" s="68" t="s">
        <v>1220</v>
      </c>
      <c r="S7" s="68" t="s">
        <v>6081</v>
      </c>
      <c r="T7" s="72" t="s">
        <v>6157</v>
      </c>
      <c r="U7" s="79"/>
      <c r="V7" s="79"/>
    </row>
    <row r="8" spans="1:22" ht="165">
      <c r="A8" s="40">
        <v>7</v>
      </c>
      <c r="B8" s="1" t="s">
        <v>1536</v>
      </c>
      <c r="E8" s="1" t="s">
        <v>30</v>
      </c>
      <c r="F8" s="1" t="s">
        <v>22</v>
      </c>
      <c r="G8" s="1" t="s">
        <v>1501</v>
      </c>
      <c r="H8" s="1" t="s">
        <v>1537</v>
      </c>
      <c r="I8" s="1" t="s">
        <v>933</v>
      </c>
      <c r="J8" s="1" t="s">
        <v>1538</v>
      </c>
      <c r="K8" s="1" t="s">
        <v>255</v>
      </c>
      <c r="L8" s="1" t="s">
        <v>1539</v>
      </c>
      <c r="M8" s="1" t="s">
        <v>1540</v>
      </c>
      <c r="N8" s="3" t="s">
        <v>274</v>
      </c>
      <c r="O8" s="2" t="s">
        <v>935</v>
      </c>
      <c r="P8" s="12">
        <v>45995</v>
      </c>
    </row>
    <row r="9" spans="1:22" ht="90">
      <c r="A9" s="40">
        <v>8</v>
      </c>
      <c r="B9" s="1" t="s">
        <v>1541</v>
      </c>
      <c r="E9" s="1" t="s">
        <v>30</v>
      </c>
      <c r="F9" s="1" t="s">
        <v>22</v>
      </c>
      <c r="G9" s="1" t="s">
        <v>1501</v>
      </c>
      <c r="H9" s="1" t="s">
        <v>1542</v>
      </c>
      <c r="I9" s="1" t="s">
        <v>933</v>
      </c>
      <c r="J9" s="1" t="s">
        <v>1543</v>
      </c>
      <c r="K9" s="1" t="s">
        <v>1544</v>
      </c>
      <c r="L9" s="1" t="s">
        <v>1545</v>
      </c>
      <c r="M9" s="1" t="s">
        <v>1546</v>
      </c>
      <c r="N9" s="3" t="s">
        <v>24</v>
      </c>
      <c r="O9" s="2" t="s">
        <v>935</v>
      </c>
      <c r="P9" s="12">
        <v>45995</v>
      </c>
    </row>
    <row r="10" spans="1:22" ht="150">
      <c r="A10" s="79">
        <v>9</v>
      </c>
      <c r="B10" s="68" t="s">
        <v>1547</v>
      </c>
      <c r="C10" s="101" t="s">
        <v>1631</v>
      </c>
      <c r="D10" s="102">
        <v>45995</v>
      </c>
      <c r="E10" s="68" t="s">
        <v>30</v>
      </c>
      <c r="F10" s="68" t="s">
        <v>22</v>
      </c>
      <c r="G10" s="68" t="s">
        <v>1501</v>
      </c>
      <c r="H10" s="68" t="s">
        <v>1548</v>
      </c>
      <c r="I10" s="68" t="s">
        <v>933</v>
      </c>
      <c r="J10" s="68" t="s">
        <v>1549</v>
      </c>
      <c r="K10" s="79" t="s">
        <v>255</v>
      </c>
      <c r="L10" s="68" t="s">
        <v>4926</v>
      </c>
      <c r="M10" s="68" t="s">
        <v>4931</v>
      </c>
      <c r="N10" s="68" t="s">
        <v>24</v>
      </c>
      <c r="O10" s="71" t="s">
        <v>935</v>
      </c>
      <c r="P10" s="72">
        <v>45995</v>
      </c>
      <c r="Q10" s="68" t="s">
        <v>3159</v>
      </c>
      <c r="R10" s="68" t="s">
        <v>1220</v>
      </c>
      <c r="S10" s="68" t="s">
        <v>6081</v>
      </c>
      <c r="T10" s="72" t="s">
        <v>6157</v>
      </c>
      <c r="U10" s="79"/>
      <c r="V10" s="79"/>
    </row>
    <row r="11" spans="1:22" ht="105">
      <c r="A11" s="79">
        <v>10</v>
      </c>
      <c r="B11" s="68" t="s">
        <v>1550</v>
      </c>
      <c r="C11" s="101" t="s">
        <v>1632</v>
      </c>
      <c r="D11" s="102">
        <v>45995</v>
      </c>
      <c r="E11" s="68" t="s">
        <v>30</v>
      </c>
      <c r="F11" s="68" t="s">
        <v>22</v>
      </c>
      <c r="G11" s="68" t="s">
        <v>1501</v>
      </c>
      <c r="H11" s="68" t="s">
        <v>1551</v>
      </c>
      <c r="I11" s="68" t="s">
        <v>933</v>
      </c>
      <c r="J11" s="68" t="s">
        <v>1552</v>
      </c>
      <c r="K11" s="68" t="s">
        <v>1553</v>
      </c>
      <c r="L11" s="68" t="s">
        <v>1554</v>
      </c>
      <c r="M11" s="68" t="s">
        <v>1555</v>
      </c>
      <c r="N11" s="68" t="s">
        <v>24</v>
      </c>
      <c r="O11" s="71" t="s">
        <v>935</v>
      </c>
      <c r="P11" s="72">
        <v>45995</v>
      </c>
      <c r="Q11" s="68" t="s">
        <v>3159</v>
      </c>
      <c r="R11" s="68" t="s">
        <v>1220</v>
      </c>
      <c r="S11" s="68" t="s">
        <v>6081</v>
      </c>
      <c r="T11" s="72" t="s">
        <v>6157</v>
      </c>
      <c r="U11" s="79"/>
      <c r="V11" s="79"/>
    </row>
    <row r="12" spans="1:22" ht="105">
      <c r="A12" s="79">
        <v>11</v>
      </c>
      <c r="B12" s="68" t="s">
        <v>1556</v>
      </c>
      <c r="C12" s="101" t="s">
        <v>1633</v>
      </c>
      <c r="D12" s="102">
        <v>45995</v>
      </c>
      <c r="E12" s="68" t="s">
        <v>30</v>
      </c>
      <c r="F12" s="68" t="s">
        <v>22</v>
      </c>
      <c r="G12" s="68" t="s">
        <v>1501</v>
      </c>
      <c r="H12" s="68" t="s">
        <v>1557</v>
      </c>
      <c r="I12" s="68" t="s">
        <v>933</v>
      </c>
      <c r="J12" s="68" t="s">
        <v>1558</v>
      </c>
      <c r="K12" s="68" t="s">
        <v>1559</v>
      </c>
      <c r="L12" s="68" t="s">
        <v>1560</v>
      </c>
      <c r="M12" s="68" t="s">
        <v>1561</v>
      </c>
      <c r="N12" s="68" t="s">
        <v>24</v>
      </c>
      <c r="O12" s="71" t="s">
        <v>935</v>
      </c>
      <c r="P12" s="72">
        <v>45995</v>
      </c>
      <c r="Q12" s="68" t="s">
        <v>3159</v>
      </c>
      <c r="R12" s="68" t="s">
        <v>1220</v>
      </c>
      <c r="S12" s="68" t="s">
        <v>6081</v>
      </c>
      <c r="T12" s="72" t="s">
        <v>6157</v>
      </c>
      <c r="U12" s="79"/>
      <c r="V12" s="79"/>
    </row>
    <row r="13" spans="1:22" ht="150">
      <c r="A13" s="79">
        <v>12</v>
      </c>
      <c r="B13" s="68" t="s">
        <v>1562</v>
      </c>
      <c r="C13" s="101" t="s">
        <v>4927</v>
      </c>
      <c r="D13" s="102">
        <v>46052</v>
      </c>
      <c r="E13" s="68" t="s">
        <v>30</v>
      </c>
      <c r="F13" s="68" t="s">
        <v>22</v>
      </c>
      <c r="G13" s="68" t="s">
        <v>1501</v>
      </c>
      <c r="H13" s="68" t="s">
        <v>1563</v>
      </c>
      <c r="I13" s="68" t="s">
        <v>933</v>
      </c>
      <c r="J13" s="68" t="s">
        <v>1564</v>
      </c>
      <c r="K13" s="104" t="s">
        <v>255</v>
      </c>
      <c r="L13" s="68" t="s">
        <v>4928</v>
      </c>
      <c r="M13" s="68" t="s">
        <v>4929</v>
      </c>
      <c r="N13" s="68" t="s">
        <v>24</v>
      </c>
      <c r="O13" s="71" t="s">
        <v>935</v>
      </c>
      <c r="P13" s="72">
        <v>45995</v>
      </c>
      <c r="Q13" s="68" t="s">
        <v>3159</v>
      </c>
      <c r="R13" s="68" t="s">
        <v>1220</v>
      </c>
      <c r="S13" s="68" t="s">
        <v>6081</v>
      </c>
      <c r="T13" s="72" t="s">
        <v>6157</v>
      </c>
      <c r="U13" s="79"/>
      <c r="V13" s="79"/>
    </row>
    <row r="14" spans="1:22" ht="120">
      <c r="A14" s="40">
        <v>13</v>
      </c>
      <c r="B14" s="1" t="s">
        <v>1565</v>
      </c>
      <c r="E14" s="1" t="s">
        <v>30</v>
      </c>
      <c r="F14" s="1" t="s">
        <v>22</v>
      </c>
      <c r="G14" s="1" t="s">
        <v>1501</v>
      </c>
      <c r="H14" s="5" t="s">
        <v>1566</v>
      </c>
      <c r="I14" s="1" t="s">
        <v>933</v>
      </c>
      <c r="J14" s="1" t="s">
        <v>1567</v>
      </c>
      <c r="K14" s="1" t="s">
        <v>1155</v>
      </c>
      <c r="L14" s="1" t="s">
        <v>1568</v>
      </c>
      <c r="M14" s="1" t="s">
        <v>1569</v>
      </c>
      <c r="N14" s="3" t="s">
        <v>24</v>
      </c>
      <c r="O14" s="2" t="s">
        <v>935</v>
      </c>
      <c r="P14" s="12">
        <v>45995</v>
      </c>
    </row>
    <row r="15" spans="1:22" ht="120">
      <c r="A15" s="40">
        <v>14</v>
      </c>
      <c r="B15" s="1" t="s">
        <v>1570</v>
      </c>
      <c r="E15" s="1" t="s">
        <v>30</v>
      </c>
      <c r="F15" s="1" t="s">
        <v>22</v>
      </c>
      <c r="G15" s="1" t="s">
        <v>1501</v>
      </c>
      <c r="H15" s="5" t="s">
        <v>1571</v>
      </c>
      <c r="I15" s="1" t="s">
        <v>933</v>
      </c>
      <c r="J15" s="1" t="s">
        <v>1572</v>
      </c>
      <c r="K15" s="1" t="s">
        <v>1155</v>
      </c>
      <c r="L15" s="1" t="s">
        <v>1573</v>
      </c>
      <c r="M15" s="1" t="s">
        <v>1574</v>
      </c>
      <c r="N15" s="3" t="s">
        <v>24</v>
      </c>
      <c r="O15" s="2" t="s">
        <v>935</v>
      </c>
      <c r="P15" s="12">
        <v>45995</v>
      </c>
    </row>
    <row r="16" spans="1:22" ht="120">
      <c r="A16" s="40">
        <v>15</v>
      </c>
      <c r="B16" s="1" t="s">
        <v>1575</v>
      </c>
      <c r="E16" s="1" t="s">
        <v>30</v>
      </c>
      <c r="F16" s="1" t="s">
        <v>22</v>
      </c>
      <c r="G16" s="1" t="s">
        <v>1501</v>
      </c>
      <c r="H16" s="5" t="s">
        <v>1576</v>
      </c>
      <c r="I16" s="1" t="s">
        <v>933</v>
      </c>
      <c r="J16" s="1" t="s">
        <v>1577</v>
      </c>
      <c r="K16" s="1" t="s">
        <v>255</v>
      </c>
      <c r="L16" s="1" t="s">
        <v>1582</v>
      </c>
      <c r="M16" s="1" t="s">
        <v>1578</v>
      </c>
      <c r="N16" s="3" t="s">
        <v>24</v>
      </c>
      <c r="O16" s="2" t="s">
        <v>935</v>
      </c>
      <c r="P16" s="12">
        <v>45995</v>
      </c>
    </row>
    <row r="17" spans="1:22" ht="120">
      <c r="A17" s="40">
        <v>16</v>
      </c>
      <c r="B17" s="1" t="s">
        <v>1579</v>
      </c>
      <c r="E17" s="1" t="s">
        <v>30</v>
      </c>
      <c r="F17" s="1" t="s">
        <v>22</v>
      </c>
      <c r="G17" s="1" t="s">
        <v>1501</v>
      </c>
      <c r="H17" s="5" t="s">
        <v>1580</v>
      </c>
      <c r="I17" s="1" t="s">
        <v>933</v>
      </c>
      <c r="J17" s="1" t="s">
        <v>1581</v>
      </c>
      <c r="K17" s="1" t="s">
        <v>255</v>
      </c>
      <c r="L17" s="1" t="s">
        <v>908</v>
      </c>
      <c r="M17" s="1" t="s">
        <v>1583</v>
      </c>
      <c r="N17" s="3" t="s">
        <v>24</v>
      </c>
      <c r="O17" s="2" t="s">
        <v>935</v>
      </c>
      <c r="P17" s="12">
        <v>45995</v>
      </c>
    </row>
    <row r="18" spans="1:22" ht="135">
      <c r="A18" s="40">
        <v>17</v>
      </c>
      <c r="B18" s="1" t="s">
        <v>1584</v>
      </c>
      <c r="E18" s="1" t="s">
        <v>30</v>
      </c>
      <c r="F18" s="1" t="s">
        <v>22</v>
      </c>
      <c r="G18" s="1" t="s">
        <v>1501</v>
      </c>
      <c r="H18" s="1" t="s">
        <v>1585</v>
      </c>
      <c r="I18" s="1" t="s">
        <v>933</v>
      </c>
      <c r="J18" s="1" t="s">
        <v>1586</v>
      </c>
      <c r="K18" s="1" t="s">
        <v>866</v>
      </c>
      <c r="L18" s="1" t="s">
        <v>1587</v>
      </c>
      <c r="M18" s="1" t="s">
        <v>1588</v>
      </c>
      <c r="N18" s="3" t="s">
        <v>24</v>
      </c>
      <c r="O18" s="2" t="s">
        <v>935</v>
      </c>
      <c r="P18" s="12">
        <v>45995</v>
      </c>
    </row>
    <row r="19" spans="1:22" ht="120">
      <c r="A19" s="40">
        <v>18</v>
      </c>
      <c r="B19" s="1" t="s">
        <v>1589</v>
      </c>
      <c r="E19" s="1" t="s">
        <v>30</v>
      </c>
      <c r="F19" s="1" t="s">
        <v>22</v>
      </c>
      <c r="G19" s="1" t="s">
        <v>1501</v>
      </c>
      <c r="H19" s="1" t="s">
        <v>1590</v>
      </c>
      <c r="I19" s="1" t="s">
        <v>933</v>
      </c>
      <c r="J19" s="1" t="s">
        <v>1591</v>
      </c>
      <c r="K19" s="1" t="s">
        <v>1597</v>
      </c>
      <c r="L19" s="1" t="s">
        <v>1592</v>
      </c>
      <c r="M19" s="1" t="s">
        <v>1593</v>
      </c>
      <c r="N19" s="3" t="s">
        <v>24</v>
      </c>
      <c r="O19" s="2" t="s">
        <v>935</v>
      </c>
      <c r="P19" s="12">
        <v>45995</v>
      </c>
    </row>
    <row r="20" spans="1:22" ht="105">
      <c r="A20" s="40">
        <v>19</v>
      </c>
      <c r="B20" s="1" t="s">
        <v>1594</v>
      </c>
      <c r="E20" s="1" t="s">
        <v>30</v>
      </c>
      <c r="F20" s="1" t="s">
        <v>22</v>
      </c>
      <c r="G20" s="1" t="s">
        <v>1501</v>
      </c>
      <c r="H20" s="1" t="s">
        <v>1595</v>
      </c>
      <c r="I20" s="1" t="s">
        <v>933</v>
      </c>
      <c r="J20" s="1" t="s">
        <v>1596</v>
      </c>
      <c r="K20" s="1" t="s">
        <v>1598</v>
      </c>
      <c r="L20" s="1" t="s">
        <v>1599</v>
      </c>
      <c r="M20" s="1" t="s">
        <v>1600</v>
      </c>
      <c r="N20" s="3" t="s">
        <v>24</v>
      </c>
      <c r="O20" s="2" t="s">
        <v>935</v>
      </c>
      <c r="P20" s="12">
        <v>45995</v>
      </c>
    </row>
    <row r="21" spans="1:22" ht="75">
      <c r="A21" s="40">
        <v>20</v>
      </c>
      <c r="B21" s="1" t="s">
        <v>1601</v>
      </c>
      <c r="E21" s="1" t="s">
        <v>30</v>
      </c>
      <c r="F21" s="1" t="s">
        <v>22</v>
      </c>
      <c r="G21" s="1" t="s">
        <v>1501</v>
      </c>
      <c r="H21" s="1" t="s">
        <v>1604</v>
      </c>
      <c r="I21" s="1" t="s">
        <v>933</v>
      </c>
      <c r="J21" s="1" t="s">
        <v>1602</v>
      </c>
      <c r="K21" s="1" t="s">
        <v>255</v>
      </c>
      <c r="L21" s="1" t="s">
        <v>1462</v>
      </c>
      <c r="M21" s="1" t="s">
        <v>1145</v>
      </c>
      <c r="N21" s="3" t="s">
        <v>24</v>
      </c>
      <c r="O21" s="2" t="s">
        <v>935</v>
      </c>
      <c r="P21" s="12">
        <v>45995</v>
      </c>
    </row>
    <row r="22" spans="1:22" ht="180">
      <c r="A22" s="79">
        <v>21</v>
      </c>
      <c r="B22" s="68" t="s">
        <v>1603</v>
      </c>
      <c r="C22" s="101" t="s">
        <v>4930</v>
      </c>
      <c r="D22" s="102">
        <v>46052</v>
      </c>
      <c r="E22" s="68" t="s">
        <v>30</v>
      </c>
      <c r="F22" s="68" t="s">
        <v>22</v>
      </c>
      <c r="G22" s="68" t="s">
        <v>1501</v>
      </c>
      <c r="H22" s="68" t="s">
        <v>1605</v>
      </c>
      <c r="I22" s="68" t="s">
        <v>933</v>
      </c>
      <c r="J22" s="68" t="s">
        <v>1606</v>
      </c>
      <c r="K22" s="68" t="s">
        <v>1024</v>
      </c>
      <c r="L22" s="68" t="s">
        <v>1607</v>
      </c>
      <c r="M22" s="68" t="s">
        <v>1622</v>
      </c>
      <c r="N22" s="68" t="s">
        <v>24</v>
      </c>
      <c r="O22" s="71" t="s">
        <v>935</v>
      </c>
      <c r="P22" s="72">
        <v>45995</v>
      </c>
      <c r="Q22" s="68" t="s">
        <v>3159</v>
      </c>
      <c r="R22" s="68" t="s">
        <v>1220</v>
      </c>
      <c r="S22" s="68" t="s">
        <v>6081</v>
      </c>
      <c r="T22" s="72" t="s">
        <v>6157</v>
      </c>
      <c r="U22" s="79"/>
      <c r="V22" s="79"/>
    </row>
    <row r="23" spans="1:22" ht="120">
      <c r="A23" s="40">
        <v>22</v>
      </c>
      <c r="B23" s="1" t="s">
        <v>1608</v>
      </c>
      <c r="E23" s="1" t="s">
        <v>30</v>
      </c>
      <c r="F23" s="1" t="s">
        <v>22</v>
      </c>
      <c r="G23" s="1" t="s">
        <v>1501</v>
      </c>
      <c r="H23" s="1" t="s">
        <v>1613</v>
      </c>
      <c r="I23" s="1" t="s">
        <v>933</v>
      </c>
      <c r="J23" s="1" t="s">
        <v>1614</v>
      </c>
      <c r="K23" s="1" t="s">
        <v>890</v>
      </c>
      <c r="L23" s="1" t="s">
        <v>891</v>
      </c>
      <c r="M23" s="1" t="s">
        <v>1612</v>
      </c>
      <c r="N23" s="3" t="s">
        <v>274</v>
      </c>
      <c r="O23" s="2" t="s">
        <v>935</v>
      </c>
      <c r="P23" s="12">
        <v>45995</v>
      </c>
    </row>
    <row r="24" spans="1:22" ht="90">
      <c r="A24" s="40">
        <v>23</v>
      </c>
      <c r="B24" s="1" t="s">
        <v>1615</v>
      </c>
      <c r="E24" s="1" t="s">
        <v>30</v>
      </c>
      <c r="F24" s="1" t="s">
        <v>22</v>
      </c>
      <c r="G24" s="1" t="s">
        <v>1501</v>
      </c>
      <c r="H24" s="1" t="s">
        <v>1619</v>
      </c>
      <c r="I24" s="1" t="s">
        <v>933</v>
      </c>
      <c r="J24" s="1" t="s">
        <v>1620</v>
      </c>
      <c r="K24" s="1" t="s">
        <v>255</v>
      </c>
      <c r="L24" s="1" t="s">
        <v>1621</v>
      </c>
      <c r="M24" s="1" t="s">
        <v>6061</v>
      </c>
      <c r="N24" s="3" t="s">
        <v>274</v>
      </c>
      <c r="O24" s="2" t="s">
        <v>935</v>
      </c>
      <c r="P24" s="12">
        <v>45995</v>
      </c>
    </row>
    <row r="25" spans="1:22" ht="90">
      <c r="A25" s="40">
        <v>24</v>
      </c>
      <c r="B25" s="1" t="s">
        <v>1616</v>
      </c>
      <c r="E25" s="1" t="s">
        <v>30</v>
      </c>
      <c r="F25" s="1" t="s">
        <v>22</v>
      </c>
      <c r="G25" s="1" t="s">
        <v>1501</v>
      </c>
      <c r="H25" s="1" t="s">
        <v>1624</v>
      </c>
      <c r="I25" s="1" t="s">
        <v>933</v>
      </c>
      <c r="J25" s="1" t="s">
        <v>1623</v>
      </c>
      <c r="K25" s="1" t="s">
        <v>255</v>
      </c>
      <c r="L25" s="1" t="s">
        <v>1262</v>
      </c>
      <c r="M25" s="1" t="s">
        <v>1263</v>
      </c>
      <c r="N25" s="3" t="s">
        <v>24</v>
      </c>
      <c r="O25" s="2" t="s">
        <v>935</v>
      </c>
      <c r="P25" s="12">
        <v>45995</v>
      </c>
    </row>
    <row r="26" spans="1:22" ht="90">
      <c r="A26" s="40">
        <v>25</v>
      </c>
      <c r="B26" s="1" t="s">
        <v>1617</v>
      </c>
      <c r="E26" s="1" t="s">
        <v>30</v>
      </c>
      <c r="F26" s="1" t="s">
        <v>22</v>
      </c>
      <c r="G26" s="1" t="s">
        <v>1501</v>
      </c>
      <c r="H26" s="1" t="s">
        <v>1625</v>
      </c>
      <c r="I26" s="1" t="s">
        <v>933</v>
      </c>
      <c r="J26" s="1" t="s">
        <v>1626</v>
      </c>
      <c r="K26" s="1" t="s">
        <v>255</v>
      </c>
      <c r="L26" s="1" t="s">
        <v>736</v>
      </c>
      <c r="M26" s="1" t="s">
        <v>258</v>
      </c>
      <c r="N26" s="3" t="s">
        <v>24</v>
      </c>
      <c r="O26" s="2" t="s">
        <v>935</v>
      </c>
      <c r="P26" s="12">
        <v>45995</v>
      </c>
    </row>
    <row r="27" spans="1:22" ht="90">
      <c r="A27" s="40">
        <v>26</v>
      </c>
      <c r="B27" s="1" t="s">
        <v>1618</v>
      </c>
      <c r="E27" s="1" t="s">
        <v>30</v>
      </c>
      <c r="F27" s="1" t="s">
        <v>22</v>
      </c>
      <c r="G27" s="1" t="s">
        <v>1501</v>
      </c>
      <c r="H27" s="1" t="s">
        <v>1627</v>
      </c>
      <c r="I27" s="1" t="s">
        <v>933</v>
      </c>
      <c r="J27" s="1" t="s">
        <v>1628</v>
      </c>
      <c r="K27" s="1" t="s">
        <v>255</v>
      </c>
      <c r="L27" s="1" t="s">
        <v>918</v>
      </c>
      <c r="M27" s="1" t="s">
        <v>6066</v>
      </c>
      <c r="N27" s="3" t="s">
        <v>274</v>
      </c>
      <c r="O27" s="2" t="s">
        <v>935</v>
      </c>
      <c r="P27" s="12">
        <v>45995</v>
      </c>
    </row>
  </sheetData>
  <autoFilter ref="A1:V27"/>
  <hyperlinks>
    <hyperlink ref="C3" r:id="rId1" display="https://hanssupport.atlassian.net/browse/BA-243"/>
    <hyperlink ref="C4" r:id="rId2" display="https://hanssupport.atlassian.net/browse/BA-245"/>
    <hyperlink ref="C7" r:id="rId3" display="https://hanssupport.atlassian.net/browse/BA-247"/>
    <hyperlink ref="C10" r:id="rId4" display="https://hanssupport.atlassian.net/browse/BA-248"/>
    <hyperlink ref="C11" r:id="rId5" display="https://hanssupport.atlassian.net/browse/BA-249"/>
    <hyperlink ref="C12" r:id="rId6" display="https://hanssupport.atlassian.net/browse/BA-250"/>
    <hyperlink ref="C6" r:id="rId7" display="https://hanssupport.atlassian.net/browse/BA-525"/>
    <hyperlink ref="C13" r:id="rId8" display="https://hanssupport.atlassian.net/browse/BA-541"/>
    <hyperlink ref="C22" r:id="rId9" display="https://hanssupport.atlassian.net/browse/BA-542"/>
  </hyperlinks>
  <pageMargins left="0.7" right="0.7" top="0.75" bottom="0.75" header="0.3" footer="0.3"/>
  <pageSetup paperSize="9" orientation="portrait" verticalDpi="0" r:id="rId10"/>
</worksheet>
</file>

<file path=xl/worksheets/sheet24.xml><?xml version="1.0" encoding="utf-8"?>
<worksheet xmlns="http://schemas.openxmlformats.org/spreadsheetml/2006/main" xmlns:r="http://schemas.openxmlformats.org/officeDocument/2006/relationships">
  <dimension ref="A1:V20"/>
  <sheetViews>
    <sheetView workbookViewId="0">
      <pane ySplit="1" topLeftCell="A16" activePane="bottomLeft" state="frozen"/>
      <selection activeCell="I1" sqref="I1"/>
      <selection pane="bottomLeft" activeCell="A20" sqref="A20"/>
    </sheetView>
  </sheetViews>
  <sheetFormatPr defaultRowHeight="15"/>
  <cols>
    <col min="1" max="1" width="7.7109375" style="45" customWidth="1"/>
    <col min="2" max="2" width="18.5703125" style="45" customWidth="1"/>
    <col min="3" max="3" width="11.28515625" style="45" customWidth="1"/>
    <col min="4" max="4" width="19.28515625" style="45" customWidth="1"/>
    <col min="5" max="5" width="13.140625" style="45" customWidth="1"/>
    <col min="6" max="6" width="15.140625" style="45" customWidth="1"/>
    <col min="7" max="7" width="32.42578125" style="45" customWidth="1"/>
    <col min="8" max="8" width="57.5703125" style="45" customWidth="1"/>
    <col min="9" max="9" width="46.140625" style="45" customWidth="1"/>
    <col min="10" max="10" width="56.28515625" style="45" customWidth="1"/>
    <col min="11" max="11" width="36.140625" style="45" customWidth="1"/>
    <col min="12" max="12" width="58" style="45" customWidth="1"/>
    <col min="13" max="13" width="46.42578125" style="45" customWidth="1"/>
    <col min="14" max="14" width="15.5703125" style="45" customWidth="1"/>
    <col min="15" max="15" width="33" style="45" customWidth="1"/>
    <col min="16" max="16" width="20.7109375" style="45" customWidth="1"/>
    <col min="17" max="17" width="14.28515625" style="45" customWidth="1"/>
    <col min="18" max="18" width="18.7109375" style="45" customWidth="1"/>
    <col min="19" max="19" width="24.7109375" style="45" customWidth="1"/>
    <col min="20" max="20" width="23" style="45" customWidth="1"/>
    <col min="21" max="21" width="25.7109375" style="45" customWidth="1"/>
    <col min="22" max="22" width="14.42578125" style="45" customWidth="1"/>
    <col min="23" max="16384" width="9.140625" style="45"/>
  </cols>
  <sheetData>
    <row r="1" spans="1:22" s="89"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1634</v>
      </c>
      <c r="C2" s="1"/>
      <c r="D2" s="1"/>
      <c r="E2" s="1" t="s">
        <v>30</v>
      </c>
      <c r="F2" s="1" t="s">
        <v>22</v>
      </c>
      <c r="G2" s="1" t="s">
        <v>1635</v>
      </c>
      <c r="H2" s="1" t="s">
        <v>1636</v>
      </c>
      <c r="I2" s="1" t="s">
        <v>933</v>
      </c>
      <c r="J2" s="1" t="s">
        <v>1637</v>
      </c>
      <c r="K2" s="1" t="s">
        <v>1074</v>
      </c>
      <c r="L2" s="1" t="s">
        <v>1638</v>
      </c>
      <c r="M2" s="1" t="s">
        <v>1639</v>
      </c>
      <c r="N2" s="3" t="s">
        <v>24</v>
      </c>
      <c r="O2" s="2" t="s">
        <v>935</v>
      </c>
      <c r="P2" s="12">
        <v>45995</v>
      </c>
    </row>
    <row r="3" spans="1:22" ht="120">
      <c r="A3" s="1">
        <v>2</v>
      </c>
      <c r="B3" s="1" t="s">
        <v>1640</v>
      </c>
      <c r="C3" s="23" t="s">
        <v>1646</v>
      </c>
      <c r="D3" s="36">
        <v>45995</v>
      </c>
      <c r="E3" s="1" t="s">
        <v>30</v>
      </c>
      <c r="F3" s="1" t="s">
        <v>22</v>
      </c>
      <c r="G3" s="1" t="s">
        <v>1635</v>
      </c>
      <c r="H3" s="1" t="s">
        <v>1641</v>
      </c>
      <c r="I3" s="1" t="s">
        <v>933</v>
      </c>
      <c r="J3" s="1" t="s">
        <v>1643</v>
      </c>
      <c r="K3" s="1" t="s">
        <v>1642</v>
      </c>
      <c r="L3" s="1" t="s">
        <v>1645</v>
      </c>
      <c r="M3" s="1" t="s">
        <v>1644</v>
      </c>
      <c r="N3" s="19" t="s">
        <v>47</v>
      </c>
      <c r="O3" s="2" t="s">
        <v>935</v>
      </c>
      <c r="P3" s="12">
        <v>45995</v>
      </c>
      <c r="Q3" s="40"/>
    </row>
    <row r="4" spans="1:22" ht="135">
      <c r="A4" s="1">
        <v>3</v>
      </c>
      <c r="B4" s="1" t="s">
        <v>1647</v>
      </c>
      <c r="E4" s="1" t="s">
        <v>30</v>
      </c>
      <c r="F4" s="1" t="s">
        <v>22</v>
      </c>
      <c r="G4" s="1" t="s">
        <v>1635</v>
      </c>
      <c r="H4" s="1" t="s">
        <v>1650</v>
      </c>
      <c r="I4" s="1" t="s">
        <v>933</v>
      </c>
      <c r="J4" s="1" t="s">
        <v>1648</v>
      </c>
      <c r="K4" s="1" t="s">
        <v>255</v>
      </c>
      <c r="L4" s="1" t="s">
        <v>1649</v>
      </c>
      <c r="M4" s="1" t="s">
        <v>1524</v>
      </c>
      <c r="N4" s="3" t="s">
        <v>274</v>
      </c>
      <c r="O4" s="2" t="s">
        <v>935</v>
      </c>
      <c r="P4" s="12">
        <v>45995</v>
      </c>
    </row>
    <row r="5" spans="1:22" ht="195">
      <c r="A5" s="1">
        <v>4</v>
      </c>
      <c r="B5" s="1" t="s">
        <v>1651</v>
      </c>
      <c r="C5" s="91" t="s">
        <v>1657</v>
      </c>
      <c r="D5" s="36">
        <v>45995</v>
      </c>
      <c r="E5" s="1" t="s">
        <v>30</v>
      </c>
      <c r="F5" s="1" t="s">
        <v>22</v>
      </c>
      <c r="G5" s="1" t="s">
        <v>1635</v>
      </c>
      <c r="H5" s="1" t="s">
        <v>1653</v>
      </c>
      <c r="I5" s="1" t="s">
        <v>933</v>
      </c>
      <c r="J5" s="1" t="s">
        <v>1654</v>
      </c>
      <c r="K5" s="1" t="s">
        <v>1652</v>
      </c>
      <c r="L5" s="1" t="s">
        <v>1655</v>
      </c>
      <c r="M5" s="14" t="s">
        <v>1656</v>
      </c>
      <c r="N5" s="19" t="s">
        <v>47</v>
      </c>
      <c r="O5" s="2" t="s">
        <v>935</v>
      </c>
      <c r="P5" s="12">
        <v>45995</v>
      </c>
      <c r="Q5" s="40"/>
    </row>
    <row r="6" spans="1:22" ht="195">
      <c r="A6" s="14">
        <v>5</v>
      </c>
      <c r="B6" s="1" t="s">
        <v>1658</v>
      </c>
      <c r="E6" s="1" t="s">
        <v>30</v>
      </c>
      <c r="F6" s="1" t="s">
        <v>22</v>
      </c>
      <c r="G6" s="1" t="s">
        <v>1635</v>
      </c>
      <c r="H6" s="1" t="s">
        <v>1659</v>
      </c>
      <c r="I6" s="1" t="s">
        <v>933</v>
      </c>
      <c r="J6" s="1" t="s">
        <v>1660</v>
      </c>
      <c r="K6" s="1" t="s">
        <v>1661</v>
      </c>
      <c r="L6" s="1" t="s">
        <v>1662</v>
      </c>
      <c r="M6" s="31" t="s">
        <v>2742</v>
      </c>
      <c r="N6" s="28" t="s">
        <v>274</v>
      </c>
      <c r="O6" s="2" t="s">
        <v>935</v>
      </c>
      <c r="P6" s="12">
        <v>45995</v>
      </c>
    </row>
    <row r="7" spans="1:22" ht="120">
      <c r="A7" s="14">
        <v>6</v>
      </c>
      <c r="B7" s="1" t="s">
        <v>1663</v>
      </c>
      <c r="C7" s="42" t="s">
        <v>1874</v>
      </c>
      <c r="D7" s="43">
        <v>46001</v>
      </c>
      <c r="E7" s="1" t="s">
        <v>30</v>
      </c>
      <c r="F7" s="1" t="s">
        <v>22</v>
      </c>
      <c r="G7" s="1" t="s">
        <v>1635</v>
      </c>
      <c r="H7" s="1" t="s">
        <v>1669</v>
      </c>
      <c r="I7" s="1" t="s">
        <v>933</v>
      </c>
      <c r="J7" s="1" t="s">
        <v>1664</v>
      </c>
      <c r="K7" s="1" t="s">
        <v>1665</v>
      </c>
      <c r="L7" s="1" t="s">
        <v>1667</v>
      </c>
      <c r="M7" s="1" t="s">
        <v>1666</v>
      </c>
      <c r="N7" s="19" t="s">
        <v>47</v>
      </c>
      <c r="O7" s="2" t="s">
        <v>935</v>
      </c>
      <c r="P7" s="12">
        <v>45995</v>
      </c>
    </row>
    <row r="8" spans="1:22" ht="150">
      <c r="A8" s="14">
        <v>7</v>
      </c>
      <c r="B8" s="1" t="s">
        <v>1668</v>
      </c>
      <c r="C8" s="42" t="s">
        <v>1875</v>
      </c>
      <c r="D8" s="43">
        <v>46001</v>
      </c>
      <c r="E8" s="1" t="s">
        <v>30</v>
      </c>
      <c r="F8" s="1" t="s">
        <v>22</v>
      </c>
      <c r="G8" s="1" t="s">
        <v>1635</v>
      </c>
      <c r="H8" s="1" t="s">
        <v>1670</v>
      </c>
      <c r="I8" s="1" t="s">
        <v>933</v>
      </c>
      <c r="J8" s="1" t="s">
        <v>1671</v>
      </c>
      <c r="K8" s="1" t="s">
        <v>1672</v>
      </c>
      <c r="L8" s="1" t="s">
        <v>1673</v>
      </c>
      <c r="M8" s="1" t="s">
        <v>1674</v>
      </c>
      <c r="N8" s="19" t="s">
        <v>47</v>
      </c>
      <c r="O8" s="2" t="s">
        <v>935</v>
      </c>
      <c r="P8" s="12">
        <v>45995</v>
      </c>
    </row>
    <row r="9" spans="1:22" ht="120">
      <c r="A9" s="14">
        <v>8</v>
      </c>
      <c r="B9" s="1" t="s">
        <v>1675</v>
      </c>
      <c r="C9" s="91" t="s">
        <v>1876</v>
      </c>
      <c r="D9" s="43">
        <v>46001</v>
      </c>
      <c r="E9" s="1" t="s">
        <v>30</v>
      </c>
      <c r="F9" s="1" t="s">
        <v>22</v>
      </c>
      <c r="G9" s="1" t="s">
        <v>1635</v>
      </c>
      <c r="H9" s="1" t="s">
        <v>1676</v>
      </c>
      <c r="I9" s="1" t="s">
        <v>933</v>
      </c>
      <c r="J9" s="1" t="s">
        <v>1677</v>
      </c>
      <c r="K9" s="1" t="s">
        <v>5053</v>
      </c>
      <c r="L9" s="1" t="s">
        <v>1678</v>
      </c>
      <c r="M9" s="5" t="s">
        <v>1877</v>
      </c>
      <c r="N9" s="19" t="s">
        <v>47</v>
      </c>
      <c r="O9" s="2" t="s">
        <v>935</v>
      </c>
      <c r="P9" s="12">
        <v>45995</v>
      </c>
    </row>
    <row r="10" spans="1:22" ht="150">
      <c r="A10" s="14">
        <v>9</v>
      </c>
      <c r="B10" s="1" t="s">
        <v>1679</v>
      </c>
      <c r="C10" s="42" t="s">
        <v>1878</v>
      </c>
      <c r="D10" s="43">
        <v>46001</v>
      </c>
      <c r="E10" s="1" t="s">
        <v>30</v>
      </c>
      <c r="F10" s="1" t="s">
        <v>22</v>
      </c>
      <c r="G10" s="1" t="s">
        <v>1635</v>
      </c>
      <c r="H10" s="1" t="s">
        <v>1680</v>
      </c>
      <c r="I10" s="1" t="s">
        <v>933</v>
      </c>
      <c r="J10" s="1" t="s">
        <v>1681</v>
      </c>
      <c r="K10" s="1" t="s">
        <v>1672</v>
      </c>
      <c r="L10" s="1" t="s">
        <v>1682</v>
      </c>
      <c r="M10" s="1" t="s">
        <v>1683</v>
      </c>
      <c r="N10" s="19" t="s">
        <v>47</v>
      </c>
      <c r="O10" s="2" t="s">
        <v>935</v>
      </c>
      <c r="P10" s="12">
        <v>45995</v>
      </c>
    </row>
    <row r="11" spans="1:22" ht="90">
      <c r="A11" s="14">
        <v>10</v>
      </c>
      <c r="B11" s="1" t="s">
        <v>1684</v>
      </c>
      <c r="E11" s="1" t="s">
        <v>30</v>
      </c>
      <c r="F11" s="1" t="s">
        <v>22</v>
      </c>
      <c r="G11" s="1" t="s">
        <v>1635</v>
      </c>
      <c r="H11" s="1" t="s">
        <v>1685</v>
      </c>
      <c r="I11" s="1" t="s">
        <v>933</v>
      </c>
      <c r="J11" s="1" t="s">
        <v>1686</v>
      </c>
      <c r="K11" s="1" t="s">
        <v>1687</v>
      </c>
      <c r="L11" s="1" t="s">
        <v>1688</v>
      </c>
      <c r="M11" s="5" t="s">
        <v>258</v>
      </c>
      <c r="N11" s="3" t="s">
        <v>24</v>
      </c>
      <c r="O11" s="2" t="s">
        <v>935</v>
      </c>
      <c r="P11" s="12">
        <v>45995</v>
      </c>
    </row>
    <row r="12" spans="1:22" ht="120">
      <c r="A12" s="14">
        <v>11</v>
      </c>
      <c r="B12" s="1" t="s">
        <v>1689</v>
      </c>
      <c r="E12" s="1" t="s">
        <v>30</v>
      </c>
      <c r="F12" s="1" t="s">
        <v>22</v>
      </c>
      <c r="G12" s="1" t="s">
        <v>1635</v>
      </c>
      <c r="H12" s="1" t="s">
        <v>1690</v>
      </c>
      <c r="I12" s="1" t="s">
        <v>933</v>
      </c>
      <c r="J12" s="1" t="s">
        <v>1691</v>
      </c>
      <c r="K12" s="1" t="s">
        <v>866</v>
      </c>
      <c r="L12" s="1" t="s">
        <v>1692</v>
      </c>
      <c r="M12" s="1" t="s">
        <v>1588</v>
      </c>
      <c r="N12" s="3" t="s">
        <v>24</v>
      </c>
      <c r="O12" s="2" t="s">
        <v>935</v>
      </c>
      <c r="P12" s="12">
        <v>45995</v>
      </c>
    </row>
    <row r="13" spans="1:22" ht="120">
      <c r="A13" s="14">
        <v>12</v>
      </c>
      <c r="B13" s="1" t="s">
        <v>1693</v>
      </c>
      <c r="E13" s="1" t="s">
        <v>30</v>
      </c>
      <c r="F13" s="1" t="s">
        <v>22</v>
      </c>
      <c r="G13" s="1" t="s">
        <v>1635</v>
      </c>
      <c r="H13" s="1" t="s">
        <v>1694</v>
      </c>
      <c r="I13" s="1" t="s">
        <v>933</v>
      </c>
      <c r="J13" s="1" t="s">
        <v>1695</v>
      </c>
      <c r="K13" s="1" t="s">
        <v>1597</v>
      </c>
      <c r="L13" s="1" t="s">
        <v>1696</v>
      </c>
      <c r="M13" s="1" t="s">
        <v>1593</v>
      </c>
      <c r="N13" s="3" t="s">
        <v>24</v>
      </c>
      <c r="O13" s="2" t="s">
        <v>935</v>
      </c>
      <c r="P13" s="12">
        <v>45995</v>
      </c>
    </row>
    <row r="14" spans="1:22" ht="90">
      <c r="A14" s="14">
        <v>13</v>
      </c>
      <c r="B14" s="1" t="s">
        <v>1697</v>
      </c>
      <c r="E14" s="1" t="s">
        <v>30</v>
      </c>
      <c r="F14" s="1" t="s">
        <v>22</v>
      </c>
      <c r="G14" s="1" t="s">
        <v>1635</v>
      </c>
      <c r="H14" s="1" t="s">
        <v>1698</v>
      </c>
      <c r="I14" s="1" t="s">
        <v>933</v>
      </c>
      <c r="J14" s="1" t="s">
        <v>1699</v>
      </c>
      <c r="K14" s="1" t="s">
        <v>1700</v>
      </c>
      <c r="L14" s="1" t="s">
        <v>1462</v>
      </c>
      <c r="M14" s="1" t="s">
        <v>1145</v>
      </c>
      <c r="N14" s="3" t="s">
        <v>24</v>
      </c>
      <c r="O14" s="2" t="s">
        <v>935</v>
      </c>
      <c r="P14" s="12">
        <v>45999</v>
      </c>
    </row>
    <row r="15" spans="1:22" ht="165">
      <c r="A15" s="14">
        <v>14</v>
      </c>
      <c r="B15" s="1" t="s">
        <v>1701</v>
      </c>
      <c r="C15" s="91" t="s">
        <v>5082</v>
      </c>
      <c r="D15" s="43">
        <v>46056</v>
      </c>
      <c r="E15" s="1" t="s">
        <v>30</v>
      </c>
      <c r="F15" s="1" t="s">
        <v>22</v>
      </c>
      <c r="G15" s="1" t="s">
        <v>1635</v>
      </c>
      <c r="H15" s="1" t="s">
        <v>1702</v>
      </c>
      <c r="I15" s="1" t="s">
        <v>933</v>
      </c>
      <c r="J15" s="1" t="s">
        <v>1703</v>
      </c>
      <c r="K15" s="1" t="s">
        <v>1024</v>
      </c>
      <c r="L15" s="1" t="s">
        <v>1704</v>
      </c>
      <c r="M15" s="1" t="s">
        <v>5081</v>
      </c>
      <c r="N15" s="19" t="s">
        <v>47</v>
      </c>
      <c r="O15" s="2" t="s">
        <v>935</v>
      </c>
      <c r="P15" s="12">
        <v>45999</v>
      </c>
      <c r="Q15" s="40" t="s">
        <v>3159</v>
      </c>
    </row>
    <row r="16" spans="1:22" ht="120">
      <c r="A16" s="14">
        <v>15</v>
      </c>
      <c r="B16" s="1" t="s">
        <v>1705</v>
      </c>
      <c r="E16" s="1" t="s">
        <v>30</v>
      </c>
      <c r="F16" s="1" t="s">
        <v>22</v>
      </c>
      <c r="G16" s="1" t="s">
        <v>1635</v>
      </c>
      <c r="H16" s="1" t="s">
        <v>1706</v>
      </c>
      <c r="I16" s="1" t="s">
        <v>933</v>
      </c>
      <c r="J16" s="1" t="s">
        <v>1707</v>
      </c>
      <c r="K16" s="1" t="s">
        <v>890</v>
      </c>
      <c r="L16" s="1" t="s">
        <v>1777</v>
      </c>
      <c r="M16" s="1" t="s">
        <v>1779</v>
      </c>
      <c r="N16" s="28" t="s">
        <v>274</v>
      </c>
      <c r="O16" s="2" t="s">
        <v>935</v>
      </c>
      <c r="P16" s="12">
        <v>45999</v>
      </c>
    </row>
    <row r="17" spans="1:16" ht="90">
      <c r="A17" s="40">
        <v>16</v>
      </c>
      <c r="B17" s="1" t="s">
        <v>1579</v>
      </c>
      <c r="C17" s="40"/>
      <c r="D17" s="40"/>
      <c r="E17" s="1" t="s">
        <v>30</v>
      </c>
      <c r="F17" s="1" t="s">
        <v>22</v>
      </c>
      <c r="G17" s="1" t="s">
        <v>1635</v>
      </c>
      <c r="H17" s="1" t="s">
        <v>1708</v>
      </c>
      <c r="I17" s="1" t="s">
        <v>933</v>
      </c>
      <c r="J17" s="1" t="s">
        <v>1709</v>
      </c>
      <c r="K17" s="1" t="s">
        <v>255</v>
      </c>
      <c r="L17" s="1" t="s">
        <v>1710</v>
      </c>
      <c r="M17" s="1" t="s">
        <v>6061</v>
      </c>
      <c r="N17" s="28" t="s">
        <v>274</v>
      </c>
      <c r="O17" s="2" t="s">
        <v>935</v>
      </c>
      <c r="P17" s="12">
        <v>45999</v>
      </c>
    </row>
    <row r="18" spans="1:16" ht="90">
      <c r="A18" s="40">
        <v>17</v>
      </c>
      <c r="B18" s="1" t="s">
        <v>1584</v>
      </c>
      <c r="C18" s="40"/>
      <c r="D18" s="40"/>
      <c r="E18" s="1" t="s">
        <v>30</v>
      </c>
      <c r="F18" s="1" t="s">
        <v>22</v>
      </c>
      <c r="G18" s="1" t="s">
        <v>1635</v>
      </c>
      <c r="H18" s="1" t="s">
        <v>1711</v>
      </c>
      <c r="I18" s="1" t="s">
        <v>933</v>
      </c>
      <c r="J18" s="1" t="s">
        <v>1712</v>
      </c>
      <c r="K18" s="1" t="s">
        <v>255</v>
      </c>
      <c r="L18" s="1" t="s">
        <v>1262</v>
      </c>
      <c r="M18" s="1" t="s">
        <v>1263</v>
      </c>
      <c r="N18" s="3" t="s">
        <v>24</v>
      </c>
      <c r="O18" s="2" t="s">
        <v>935</v>
      </c>
      <c r="P18" s="12">
        <v>45999</v>
      </c>
    </row>
    <row r="19" spans="1:16" ht="105">
      <c r="A19" s="14">
        <v>18</v>
      </c>
      <c r="B19" s="1" t="s">
        <v>1880</v>
      </c>
      <c r="C19" s="42" t="s">
        <v>1879</v>
      </c>
      <c r="D19" s="43">
        <v>46001</v>
      </c>
      <c r="E19" s="1" t="s">
        <v>30</v>
      </c>
      <c r="F19" s="1" t="s">
        <v>22</v>
      </c>
      <c r="G19" s="1" t="s">
        <v>1635</v>
      </c>
      <c r="H19" s="1" t="s">
        <v>1713</v>
      </c>
      <c r="I19" s="1" t="s">
        <v>933</v>
      </c>
      <c r="J19" s="1" t="s">
        <v>1714</v>
      </c>
      <c r="K19" s="1" t="s">
        <v>255</v>
      </c>
      <c r="L19" s="1" t="s">
        <v>1715</v>
      </c>
      <c r="M19" s="22" t="s">
        <v>1716</v>
      </c>
      <c r="N19" s="19" t="s">
        <v>47</v>
      </c>
      <c r="O19" s="2" t="s">
        <v>935</v>
      </c>
      <c r="P19" s="12">
        <v>45999</v>
      </c>
    </row>
    <row r="20" spans="1:16" ht="90">
      <c r="A20" s="14">
        <v>19</v>
      </c>
      <c r="B20" s="1" t="s">
        <v>1594</v>
      </c>
      <c r="C20" s="40"/>
      <c r="D20" s="40"/>
      <c r="E20" s="1" t="s">
        <v>30</v>
      </c>
      <c r="F20" s="1" t="s">
        <v>22</v>
      </c>
      <c r="G20" s="1" t="s">
        <v>1635</v>
      </c>
      <c r="H20" s="1" t="s">
        <v>1717</v>
      </c>
      <c r="I20" s="1" t="s">
        <v>933</v>
      </c>
      <c r="J20" s="1" t="s">
        <v>1718</v>
      </c>
      <c r="K20" s="1" t="s">
        <v>255</v>
      </c>
      <c r="L20" s="1" t="s">
        <v>918</v>
      </c>
      <c r="M20" s="1" t="s">
        <v>6067</v>
      </c>
      <c r="N20" s="28" t="s">
        <v>274</v>
      </c>
      <c r="O20" s="2" t="s">
        <v>935</v>
      </c>
      <c r="P20" s="12">
        <v>45999</v>
      </c>
    </row>
  </sheetData>
  <autoFilter ref="A1:V20"/>
  <hyperlinks>
    <hyperlink ref="C3" r:id="rId1" display="https://hanssupport.atlassian.net/browse/BA-251"/>
    <hyperlink ref="C5" r:id="rId2" display="https://hanssupport.atlassian.net/browse/BA-253"/>
    <hyperlink ref="C7" r:id="rId3" display="https://hanssupport.atlassian.net/browse/BA-258"/>
    <hyperlink ref="C8" r:id="rId4" display="https://hanssupport.atlassian.net/browse/BA-259"/>
    <hyperlink ref="C9" r:id="rId5" display="https://hanssupport.atlassian.net/browse/BA-260"/>
    <hyperlink ref="C10" r:id="rId6" display="https://hanssupport.atlassian.net/browse/BA-261"/>
    <hyperlink ref="C19" r:id="rId7" display="https://hanssupport.atlassian.net/browse/BA-262"/>
    <hyperlink ref="C15" r:id="rId8" display="https://hanssupport.atlassian.net/browse/BA-590"/>
  </hyperlinks>
  <pageMargins left="0.7" right="0.7" top="0.75" bottom="0.75" header="0.3" footer="0.3"/>
  <pageSetup paperSize="9" orientation="portrait" verticalDpi="0" r:id="rId9"/>
</worksheet>
</file>

<file path=xl/worksheets/sheet25.xml><?xml version="1.0" encoding="utf-8"?>
<worksheet xmlns="http://schemas.openxmlformats.org/spreadsheetml/2006/main" xmlns:r="http://schemas.openxmlformats.org/officeDocument/2006/relationships">
  <dimension ref="A1:V17"/>
  <sheetViews>
    <sheetView topLeftCell="I1" workbookViewId="0">
      <pane ySplit="1" topLeftCell="A13" activePane="bottomLeft" state="frozen"/>
      <selection pane="bottomLeft" activeCell="N17" sqref="N17"/>
    </sheetView>
  </sheetViews>
  <sheetFormatPr defaultRowHeight="15"/>
  <cols>
    <col min="1" max="1" width="7.42578125" style="5" customWidth="1"/>
    <col min="2" max="2" width="19.140625" style="5" customWidth="1"/>
    <col min="3" max="3" width="11.5703125" style="5" customWidth="1"/>
    <col min="4" max="4" width="20.140625" style="5" customWidth="1"/>
    <col min="5" max="5" width="12.85546875" style="5" customWidth="1"/>
    <col min="6" max="6" width="11.7109375" style="5" customWidth="1"/>
    <col min="7" max="7" width="31" style="5" customWidth="1"/>
    <col min="8" max="8" width="55.42578125" style="5" customWidth="1"/>
    <col min="9" max="9" width="37.5703125" style="5" customWidth="1"/>
    <col min="10" max="10" width="55.28515625" style="5" customWidth="1"/>
    <col min="11" max="11" width="29.5703125" style="5" customWidth="1"/>
    <col min="12" max="12" width="59.5703125" style="5" customWidth="1"/>
    <col min="13" max="13" width="53.28515625" style="5" customWidth="1"/>
    <col min="14" max="14" width="15.5703125" style="5" customWidth="1"/>
    <col min="15" max="15" width="34.85546875" style="5" customWidth="1"/>
    <col min="16" max="16" width="22.85546875" style="5" customWidth="1"/>
    <col min="17" max="17" width="15.42578125" style="5" customWidth="1"/>
    <col min="18" max="18" width="18.7109375" style="5" customWidth="1"/>
    <col min="19" max="19" width="21" style="5" customWidth="1"/>
    <col min="20" max="20" width="21.5703125" style="5" customWidth="1"/>
    <col min="21" max="21" width="24.85546875" style="5" customWidth="1"/>
    <col min="22" max="22" width="15.7109375" style="5" customWidth="1"/>
    <col min="23" max="16384" width="9.140625" style="5"/>
  </cols>
  <sheetData>
    <row r="1" spans="1:22"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ht="105">
      <c r="A2" s="5">
        <v>1</v>
      </c>
      <c r="B2" s="5" t="s">
        <v>1730</v>
      </c>
      <c r="E2" s="5" t="s">
        <v>30</v>
      </c>
      <c r="F2" s="5" t="s">
        <v>22</v>
      </c>
      <c r="G2" s="5" t="s">
        <v>1731</v>
      </c>
      <c r="H2" s="5" t="s">
        <v>1732</v>
      </c>
      <c r="I2" s="5" t="s">
        <v>933</v>
      </c>
      <c r="J2" s="5" t="s">
        <v>1733</v>
      </c>
      <c r="K2" s="5" t="s">
        <v>1074</v>
      </c>
      <c r="L2" s="5" t="s">
        <v>1734</v>
      </c>
      <c r="M2" s="5" t="s">
        <v>1735</v>
      </c>
      <c r="N2" s="6" t="s">
        <v>24</v>
      </c>
      <c r="O2" s="7" t="s">
        <v>935</v>
      </c>
      <c r="P2" s="8">
        <v>46000</v>
      </c>
    </row>
    <row r="3" spans="1:22" ht="120">
      <c r="A3" s="5">
        <v>2</v>
      </c>
      <c r="B3" s="5" t="s">
        <v>1736</v>
      </c>
      <c r="C3" s="15" t="s">
        <v>1881</v>
      </c>
      <c r="D3" s="36">
        <v>46001</v>
      </c>
      <c r="E3" s="5" t="s">
        <v>30</v>
      </c>
      <c r="F3" s="5" t="s">
        <v>22</v>
      </c>
      <c r="G3" s="5" t="s">
        <v>1731</v>
      </c>
      <c r="H3" s="5" t="s">
        <v>1737</v>
      </c>
      <c r="I3" s="5" t="s">
        <v>933</v>
      </c>
      <c r="J3" s="5" t="s">
        <v>1738</v>
      </c>
      <c r="K3" s="5" t="s">
        <v>1739</v>
      </c>
      <c r="L3" s="5" t="s">
        <v>1645</v>
      </c>
      <c r="M3" s="5" t="s">
        <v>1740</v>
      </c>
      <c r="N3" s="33" t="s">
        <v>47</v>
      </c>
      <c r="O3" s="7" t="s">
        <v>935</v>
      </c>
      <c r="P3" s="8">
        <v>46000</v>
      </c>
    </row>
    <row r="4" spans="1:22" ht="135">
      <c r="A4" s="5">
        <v>3</v>
      </c>
      <c r="B4" s="5" t="s">
        <v>1741</v>
      </c>
      <c r="E4" s="5" t="s">
        <v>30</v>
      </c>
      <c r="F4" s="5" t="s">
        <v>22</v>
      </c>
      <c r="G4" s="5" t="s">
        <v>1731</v>
      </c>
      <c r="H4" s="5" t="s">
        <v>1742</v>
      </c>
      <c r="I4" s="5" t="s">
        <v>933</v>
      </c>
      <c r="J4" s="5" t="s">
        <v>1743</v>
      </c>
      <c r="K4" s="5" t="s">
        <v>255</v>
      </c>
      <c r="L4" s="5" t="s">
        <v>1649</v>
      </c>
      <c r="M4" s="5" t="s">
        <v>1524</v>
      </c>
      <c r="N4" s="6" t="s">
        <v>274</v>
      </c>
      <c r="O4" s="7" t="s">
        <v>935</v>
      </c>
      <c r="P4" s="8">
        <v>46000</v>
      </c>
    </row>
    <row r="5" spans="1:22" ht="180">
      <c r="A5" s="5">
        <v>4</v>
      </c>
      <c r="B5" s="5" t="s">
        <v>1744</v>
      </c>
      <c r="C5" s="15" t="s">
        <v>1883</v>
      </c>
      <c r="D5" s="36">
        <v>46001</v>
      </c>
      <c r="E5" s="5" t="s">
        <v>30</v>
      </c>
      <c r="F5" s="5" t="s">
        <v>22</v>
      </c>
      <c r="G5" s="5" t="s">
        <v>1731</v>
      </c>
      <c r="H5" s="5" t="s">
        <v>1747</v>
      </c>
      <c r="I5" s="5" t="s">
        <v>933</v>
      </c>
      <c r="J5" s="5" t="s">
        <v>1745</v>
      </c>
      <c r="K5" s="5" t="s">
        <v>1746</v>
      </c>
      <c r="L5" s="5" t="s">
        <v>1809</v>
      </c>
      <c r="M5" s="9" t="s">
        <v>1882</v>
      </c>
      <c r="N5" s="33" t="s">
        <v>47</v>
      </c>
      <c r="O5" s="7" t="s">
        <v>935</v>
      </c>
      <c r="P5" s="8">
        <v>46000</v>
      </c>
    </row>
    <row r="6" spans="1:22" ht="210">
      <c r="A6" s="5">
        <v>5</v>
      </c>
      <c r="B6" s="5" t="s">
        <v>1748</v>
      </c>
      <c r="C6" s="15" t="s">
        <v>1884</v>
      </c>
      <c r="D6" s="36">
        <v>46001</v>
      </c>
      <c r="E6" s="5" t="s">
        <v>30</v>
      </c>
      <c r="F6" s="5" t="s">
        <v>22</v>
      </c>
      <c r="G6" s="5" t="s">
        <v>1731</v>
      </c>
      <c r="H6" s="5" t="s">
        <v>1749</v>
      </c>
      <c r="I6" s="5" t="s">
        <v>933</v>
      </c>
      <c r="J6" s="5" t="s">
        <v>1815</v>
      </c>
      <c r="K6" s="5" t="s">
        <v>1661</v>
      </c>
      <c r="L6" s="5" t="s">
        <v>1750</v>
      </c>
      <c r="M6" s="5" t="s">
        <v>1751</v>
      </c>
      <c r="N6" s="33" t="s">
        <v>47</v>
      </c>
      <c r="O6" s="7" t="s">
        <v>935</v>
      </c>
      <c r="P6" s="8">
        <v>46000</v>
      </c>
    </row>
    <row r="7" spans="1:22" ht="120">
      <c r="A7" s="5">
        <v>6</v>
      </c>
      <c r="B7" s="5" t="s">
        <v>1752</v>
      </c>
      <c r="C7" s="15" t="s">
        <v>1885</v>
      </c>
      <c r="D7" s="36">
        <v>46001</v>
      </c>
      <c r="E7" s="5" t="s">
        <v>30</v>
      </c>
      <c r="F7" s="5" t="s">
        <v>22</v>
      </c>
      <c r="G7" s="5" t="s">
        <v>1731</v>
      </c>
      <c r="H7" s="5" t="s">
        <v>1753</v>
      </c>
      <c r="I7" s="5" t="s">
        <v>933</v>
      </c>
      <c r="J7" s="5" t="s">
        <v>1754</v>
      </c>
      <c r="K7" s="5" t="s">
        <v>1665</v>
      </c>
      <c r="L7" s="5" t="s">
        <v>1667</v>
      </c>
      <c r="M7" s="5" t="s">
        <v>1666</v>
      </c>
      <c r="N7" s="33" t="s">
        <v>47</v>
      </c>
      <c r="O7" s="7" t="s">
        <v>935</v>
      </c>
      <c r="P7" s="8">
        <v>46000</v>
      </c>
    </row>
    <row r="8" spans="1:22" ht="135">
      <c r="A8" s="5">
        <v>7</v>
      </c>
      <c r="B8" s="5" t="s">
        <v>1757</v>
      </c>
      <c r="C8" s="15" t="s">
        <v>1886</v>
      </c>
      <c r="D8" s="36">
        <v>46001</v>
      </c>
      <c r="E8" s="5" t="s">
        <v>30</v>
      </c>
      <c r="F8" s="5" t="s">
        <v>22</v>
      </c>
      <c r="G8" s="5" t="s">
        <v>1731</v>
      </c>
      <c r="H8" s="5" t="s">
        <v>1755</v>
      </c>
      <c r="I8" s="5" t="s">
        <v>933</v>
      </c>
      <c r="J8" s="5" t="s">
        <v>1756</v>
      </c>
      <c r="K8" s="5" t="s">
        <v>1672</v>
      </c>
      <c r="L8" s="5" t="s">
        <v>1673</v>
      </c>
      <c r="M8" s="5" t="s">
        <v>1758</v>
      </c>
      <c r="N8" s="33" t="s">
        <v>47</v>
      </c>
      <c r="O8" s="7" t="s">
        <v>935</v>
      </c>
      <c r="P8" s="8">
        <v>46000</v>
      </c>
    </row>
    <row r="9" spans="1:22" ht="90">
      <c r="A9" s="9">
        <v>8</v>
      </c>
      <c r="B9" s="5" t="s">
        <v>1759</v>
      </c>
      <c r="E9" s="5" t="s">
        <v>30</v>
      </c>
      <c r="F9" s="5" t="s">
        <v>22</v>
      </c>
      <c r="G9" s="5" t="s">
        <v>1731</v>
      </c>
      <c r="H9" s="5" t="s">
        <v>1760</v>
      </c>
      <c r="I9" s="5" t="s">
        <v>933</v>
      </c>
      <c r="J9" s="5" t="s">
        <v>1761</v>
      </c>
      <c r="K9" s="5" t="s">
        <v>1211</v>
      </c>
      <c r="L9" s="5" t="s">
        <v>1213</v>
      </c>
      <c r="M9" s="5" t="s">
        <v>258</v>
      </c>
      <c r="N9" s="6" t="s">
        <v>24</v>
      </c>
      <c r="O9" s="7" t="s">
        <v>935</v>
      </c>
      <c r="P9" s="8">
        <v>46000</v>
      </c>
    </row>
    <row r="10" spans="1:22" ht="120">
      <c r="A10" s="9">
        <v>9</v>
      </c>
      <c r="B10" s="5" t="s">
        <v>1762</v>
      </c>
      <c r="E10" s="5" t="s">
        <v>30</v>
      </c>
      <c r="F10" s="5" t="s">
        <v>22</v>
      </c>
      <c r="G10" s="5" t="s">
        <v>1731</v>
      </c>
      <c r="H10" s="5" t="s">
        <v>1763</v>
      </c>
      <c r="I10" s="5" t="s">
        <v>933</v>
      </c>
      <c r="J10" s="5" t="s">
        <v>1764</v>
      </c>
      <c r="K10" s="5" t="s">
        <v>866</v>
      </c>
      <c r="L10" s="5" t="s">
        <v>1692</v>
      </c>
      <c r="M10" s="5" t="s">
        <v>1588</v>
      </c>
      <c r="N10" s="6" t="s">
        <v>24</v>
      </c>
      <c r="O10" s="7" t="s">
        <v>935</v>
      </c>
      <c r="P10" s="8">
        <v>46000</v>
      </c>
    </row>
    <row r="11" spans="1:22" ht="90">
      <c r="A11" s="9">
        <v>10</v>
      </c>
      <c r="B11" s="5" t="s">
        <v>1765</v>
      </c>
      <c r="C11" s="15" t="s">
        <v>1887</v>
      </c>
      <c r="D11" s="36">
        <v>46001</v>
      </c>
      <c r="E11" s="5" t="s">
        <v>30</v>
      </c>
      <c r="F11" s="5" t="s">
        <v>22</v>
      </c>
      <c r="G11" s="5" t="s">
        <v>1731</v>
      </c>
      <c r="H11" s="5" t="s">
        <v>1766</v>
      </c>
      <c r="I11" s="5" t="s">
        <v>933</v>
      </c>
      <c r="J11" s="5" t="s">
        <v>1767</v>
      </c>
      <c r="K11" s="5" t="s">
        <v>1700</v>
      </c>
      <c r="L11" s="5" t="s">
        <v>1768</v>
      </c>
      <c r="M11" s="5" t="s">
        <v>1769</v>
      </c>
      <c r="N11" s="33" t="s">
        <v>47</v>
      </c>
      <c r="O11" s="7" t="s">
        <v>935</v>
      </c>
      <c r="P11" s="8">
        <v>46000</v>
      </c>
    </row>
    <row r="12" spans="1:22" ht="120">
      <c r="A12" s="9">
        <v>11</v>
      </c>
      <c r="B12" s="5" t="s">
        <v>1770</v>
      </c>
      <c r="E12" s="5" t="s">
        <v>30</v>
      </c>
      <c r="F12" s="5" t="s">
        <v>22</v>
      </c>
      <c r="G12" s="5" t="s">
        <v>1731</v>
      </c>
      <c r="H12" s="5" t="s">
        <v>1771</v>
      </c>
      <c r="I12" s="5" t="s">
        <v>933</v>
      </c>
      <c r="J12" s="5" t="s">
        <v>1772</v>
      </c>
      <c r="K12" s="5" t="s">
        <v>1024</v>
      </c>
      <c r="L12" s="5" t="s">
        <v>882</v>
      </c>
      <c r="M12" s="5" t="s">
        <v>1773</v>
      </c>
      <c r="N12" s="6" t="s">
        <v>24</v>
      </c>
      <c r="O12" s="7" t="s">
        <v>935</v>
      </c>
      <c r="P12" s="8">
        <v>46000</v>
      </c>
    </row>
    <row r="13" spans="1:22" ht="120">
      <c r="A13" s="9">
        <v>12</v>
      </c>
      <c r="B13" s="5" t="s">
        <v>1774</v>
      </c>
      <c r="E13" s="5" t="s">
        <v>30</v>
      </c>
      <c r="F13" s="5" t="s">
        <v>22</v>
      </c>
      <c r="G13" s="5" t="s">
        <v>1731</v>
      </c>
      <c r="H13" s="5" t="s">
        <v>1775</v>
      </c>
      <c r="I13" s="5" t="s">
        <v>933</v>
      </c>
      <c r="J13" s="5" t="s">
        <v>1776</v>
      </c>
      <c r="K13" s="5" t="s">
        <v>890</v>
      </c>
      <c r="L13" s="5" t="s">
        <v>1777</v>
      </c>
      <c r="M13" s="5" t="s">
        <v>1778</v>
      </c>
      <c r="N13" s="6" t="s">
        <v>274</v>
      </c>
      <c r="O13" s="7" t="s">
        <v>935</v>
      </c>
      <c r="P13" s="8">
        <v>46000</v>
      </c>
    </row>
    <row r="14" spans="1:22" ht="90">
      <c r="A14" s="9">
        <v>13</v>
      </c>
      <c r="B14" s="5" t="s">
        <v>1786</v>
      </c>
      <c r="E14" s="5" t="s">
        <v>30</v>
      </c>
      <c r="F14" s="5" t="s">
        <v>22</v>
      </c>
      <c r="G14" s="5" t="s">
        <v>1731</v>
      </c>
      <c r="H14" s="5" t="s">
        <v>1780</v>
      </c>
      <c r="I14" s="5" t="s">
        <v>933</v>
      </c>
      <c r="J14" s="5" t="s">
        <v>1784</v>
      </c>
      <c r="K14" s="5" t="s">
        <v>255</v>
      </c>
      <c r="L14" s="5" t="s">
        <v>1785</v>
      </c>
      <c r="M14" s="5" t="s">
        <v>6061</v>
      </c>
      <c r="N14" s="6" t="s">
        <v>274</v>
      </c>
      <c r="O14" s="7" t="s">
        <v>935</v>
      </c>
      <c r="P14" s="8">
        <v>46000</v>
      </c>
    </row>
    <row r="15" spans="1:22" ht="90">
      <c r="A15" s="9">
        <v>14</v>
      </c>
      <c r="B15" s="5" t="s">
        <v>1788</v>
      </c>
      <c r="E15" s="5" t="s">
        <v>30</v>
      </c>
      <c r="F15" s="5" t="s">
        <v>22</v>
      </c>
      <c r="G15" s="5" t="s">
        <v>1731</v>
      </c>
      <c r="H15" s="5" t="s">
        <v>1781</v>
      </c>
      <c r="I15" s="5" t="s">
        <v>933</v>
      </c>
      <c r="J15" s="5" t="s">
        <v>1787</v>
      </c>
      <c r="K15" s="5" t="s">
        <v>255</v>
      </c>
      <c r="L15" s="5" t="s">
        <v>1262</v>
      </c>
      <c r="M15" s="5" t="s">
        <v>1263</v>
      </c>
      <c r="N15" s="6" t="s">
        <v>24</v>
      </c>
      <c r="O15" s="7" t="s">
        <v>935</v>
      </c>
      <c r="P15" s="8">
        <v>46000</v>
      </c>
    </row>
    <row r="16" spans="1:22" ht="90">
      <c r="A16" s="9">
        <v>15</v>
      </c>
      <c r="B16" s="5" t="s">
        <v>1789</v>
      </c>
      <c r="E16" s="5" t="s">
        <v>30</v>
      </c>
      <c r="F16" s="5" t="s">
        <v>22</v>
      </c>
      <c r="G16" s="5" t="s">
        <v>1731</v>
      </c>
      <c r="H16" s="5" t="s">
        <v>1782</v>
      </c>
      <c r="I16" s="5" t="s">
        <v>933</v>
      </c>
      <c r="J16" s="5" t="s">
        <v>1791</v>
      </c>
      <c r="K16" s="5" t="s">
        <v>255</v>
      </c>
      <c r="L16" s="5" t="s">
        <v>1715</v>
      </c>
      <c r="M16" s="5" t="s">
        <v>1263</v>
      </c>
      <c r="N16" s="6" t="s">
        <v>24</v>
      </c>
      <c r="O16" s="7" t="s">
        <v>935</v>
      </c>
      <c r="P16" s="8">
        <v>46000</v>
      </c>
    </row>
    <row r="17" spans="1:16" ht="90">
      <c r="A17" s="9">
        <v>16</v>
      </c>
      <c r="B17" s="5" t="s">
        <v>1790</v>
      </c>
      <c r="E17" s="5" t="s">
        <v>30</v>
      </c>
      <c r="F17" s="5" t="s">
        <v>22</v>
      </c>
      <c r="G17" s="5" t="s">
        <v>1731</v>
      </c>
      <c r="H17" s="5" t="s">
        <v>1783</v>
      </c>
      <c r="I17" s="5" t="s">
        <v>933</v>
      </c>
      <c r="J17" s="5" t="s">
        <v>1792</v>
      </c>
      <c r="K17" s="5" t="s">
        <v>255</v>
      </c>
      <c r="L17" s="5" t="s">
        <v>918</v>
      </c>
      <c r="M17" s="5" t="s">
        <v>6068</v>
      </c>
      <c r="N17" s="6" t="s">
        <v>274</v>
      </c>
      <c r="O17" s="7" t="s">
        <v>935</v>
      </c>
      <c r="P17" s="8">
        <v>46000</v>
      </c>
    </row>
  </sheetData>
  <autoFilter ref="A1:V17"/>
  <hyperlinks>
    <hyperlink ref="C3" r:id="rId1" display="https://hanssupport.atlassian.net/browse/BA-263"/>
    <hyperlink ref="C5" r:id="rId2" display="https://hanssupport.atlassian.net/browse/BA-264"/>
    <hyperlink ref="C6" r:id="rId3" display="https://hanssupport.atlassian.net/browse/BA-265"/>
    <hyperlink ref="C7" r:id="rId4" display="https://hanssupport.atlassian.net/browse/BA-266"/>
    <hyperlink ref="C8" r:id="rId5" display="https://hanssupport.atlassian.net/browse/BA-267"/>
    <hyperlink ref="C11" r:id="rId6" display="https://hanssupport.atlassian.net/browse/BA-270"/>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V19"/>
  <sheetViews>
    <sheetView topLeftCell="L1" workbookViewId="0">
      <pane ySplit="1" topLeftCell="A2" activePane="bottomLeft" state="frozen"/>
      <selection pane="bottomLeft" activeCell="Q3" sqref="Q3:T3"/>
    </sheetView>
  </sheetViews>
  <sheetFormatPr defaultRowHeight="15"/>
  <cols>
    <col min="1" max="1" width="9.140625" style="45"/>
    <col min="2" max="2" width="22.85546875" style="45" customWidth="1"/>
    <col min="3" max="3" width="10.85546875" style="45" customWidth="1"/>
    <col min="4" max="4" width="20.42578125" style="45" customWidth="1"/>
    <col min="5" max="5" width="13" style="45" customWidth="1"/>
    <col min="6" max="6" width="12.7109375" style="45" customWidth="1"/>
    <col min="7" max="7" width="24.85546875" style="45" customWidth="1"/>
    <col min="8" max="8" width="55.140625" style="45" customWidth="1"/>
    <col min="9" max="9" width="38.28515625" style="45" customWidth="1"/>
    <col min="10" max="10" width="61.5703125" style="45" customWidth="1"/>
    <col min="11" max="11" width="32.28515625" style="45" customWidth="1"/>
    <col min="12" max="12" width="56" style="45" customWidth="1"/>
    <col min="13" max="13" width="53.140625" style="45" customWidth="1"/>
    <col min="14" max="14" width="15.42578125" style="45" customWidth="1"/>
    <col min="15" max="15" width="33.28515625" style="45" customWidth="1"/>
    <col min="16" max="16" width="20.140625" style="45" customWidth="1"/>
    <col min="17" max="17" width="17.42578125" style="45" customWidth="1"/>
    <col min="18" max="18" width="17.85546875" style="45" customWidth="1"/>
    <col min="19" max="19" width="22.42578125" style="45" customWidth="1"/>
    <col min="20" max="20" width="25" style="45" customWidth="1"/>
    <col min="21" max="21" width="24.7109375" style="45" customWidth="1"/>
    <col min="22" max="22" width="14.85546875" style="45" customWidth="1"/>
    <col min="23" max="16384" width="9.140625" style="45"/>
  </cols>
  <sheetData>
    <row r="1" spans="1:22" s="44" customFormat="1" ht="31.5">
      <c r="A1" s="4" t="s">
        <v>0</v>
      </c>
      <c r="B1" s="4" t="s">
        <v>1</v>
      </c>
      <c r="C1" s="4" t="s">
        <v>2</v>
      </c>
      <c r="D1" s="37" t="s">
        <v>1270</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row>
    <row r="2" spans="1:22" ht="90">
      <c r="A2" s="5">
        <v>1</v>
      </c>
      <c r="B2" s="5" t="s">
        <v>1793</v>
      </c>
      <c r="C2" s="5"/>
      <c r="D2" s="5"/>
      <c r="E2" s="5" t="s">
        <v>30</v>
      </c>
      <c r="F2" s="5" t="s">
        <v>22</v>
      </c>
      <c r="G2" s="5" t="s">
        <v>1794</v>
      </c>
      <c r="H2" s="5" t="s">
        <v>1795</v>
      </c>
      <c r="I2" s="5" t="s">
        <v>933</v>
      </c>
      <c r="J2" s="5" t="s">
        <v>1796</v>
      </c>
      <c r="K2" s="5" t="s">
        <v>1074</v>
      </c>
      <c r="L2" s="5" t="s">
        <v>1797</v>
      </c>
      <c r="M2" s="5" t="s">
        <v>1798</v>
      </c>
      <c r="N2" s="6" t="s">
        <v>24</v>
      </c>
      <c r="O2" s="7" t="s">
        <v>935</v>
      </c>
      <c r="P2" s="8">
        <v>46000</v>
      </c>
      <c r="Q2" s="5"/>
      <c r="R2" s="5"/>
      <c r="S2" s="5"/>
      <c r="T2" s="5"/>
      <c r="U2" s="5"/>
      <c r="V2" s="5"/>
    </row>
    <row r="3" spans="1:22" ht="135">
      <c r="A3" s="95">
        <v>2</v>
      </c>
      <c r="B3" s="95" t="s">
        <v>1799</v>
      </c>
      <c r="C3" s="100" t="s">
        <v>1888</v>
      </c>
      <c r="D3" s="70">
        <v>46001</v>
      </c>
      <c r="E3" s="95" t="s">
        <v>30</v>
      </c>
      <c r="F3" s="95" t="s">
        <v>22</v>
      </c>
      <c r="G3" s="95" t="s">
        <v>1794</v>
      </c>
      <c r="H3" s="95" t="s">
        <v>1800</v>
      </c>
      <c r="I3" s="95" t="s">
        <v>933</v>
      </c>
      <c r="J3" s="95" t="s">
        <v>1801</v>
      </c>
      <c r="K3" s="95" t="s">
        <v>1802</v>
      </c>
      <c r="L3" s="95" t="s">
        <v>1645</v>
      </c>
      <c r="M3" s="95" t="s">
        <v>1803</v>
      </c>
      <c r="N3" s="95" t="s">
        <v>24</v>
      </c>
      <c r="O3" s="98" t="s">
        <v>935</v>
      </c>
      <c r="P3" s="99">
        <v>46000</v>
      </c>
      <c r="Q3" s="68" t="s">
        <v>3159</v>
      </c>
      <c r="R3" s="68" t="s">
        <v>1220</v>
      </c>
      <c r="S3" s="68" t="s">
        <v>6081</v>
      </c>
      <c r="T3" s="72" t="s">
        <v>6080</v>
      </c>
      <c r="U3" s="84"/>
      <c r="V3" s="84"/>
    </row>
    <row r="4" spans="1:22" ht="135">
      <c r="A4" s="5">
        <v>3</v>
      </c>
      <c r="B4" s="5" t="s">
        <v>1804</v>
      </c>
      <c r="C4" s="5"/>
      <c r="D4" s="5"/>
      <c r="E4" s="5" t="s">
        <v>30</v>
      </c>
      <c r="F4" s="5" t="s">
        <v>22</v>
      </c>
      <c r="G4" s="5" t="s">
        <v>1794</v>
      </c>
      <c r="H4" s="5" t="s">
        <v>1805</v>
      </c>
      <c r="I4" s="5" t="s">
        <v>933</v>
      </c>
      <c r="J4" s="5" t="s">
        <v>1806</v>
      </c>
      <c r="K4" s="5" t="s">
        <v>255</v>
      </c>
      <c r="L4" s="5" t="s">
        <v>1649</v>
      </c>
      <c r="M4" s="5" t="s">
        <v>1524</v>
      </c>
      <c r="N4" s="6" t="s">
        <v>274</v>
      </c>
      <c r="O4" s="7" t="s">
        <v>935</v>
      </c>
      <c r="P4" s="8">
        <v>46000</v>
      </c>
    </row>
    <row r="5" spans="1:22" ht="165">
      <c r="A5" s="95">
        <v>4</v>
      </c>
      <c r="B5" s="95" t="s">
        <v>1807</v>
      </c>
      <c r="C5" s="100" t="s">
        <v>1889</v>
      </c>
      <c r="D5" s="70">
        <v>46001</v>
      </c>
      <c r="E5" s="95" t="s">
        <v>30</v>
      </c>
      <c r="F5" s="95" t="s">
        <v>22</v>
      </c>
      <c r="G5" s="95" t="s">
        <v>1794</v>
      </c>
      <c r="H5" s="95" t="s">
        <v>1811</v>
      </c>
      <c r="I5" s="95" t="s">
        <v>933</v>
      </c>
      <c r="J5" s="95" t="s">
        <v>1812</v>
      </c>
      <c r="K5" s="95" t="s">
        <v>1808</v>
      </c>
      <c r="L5" s="95" t="s">
        <v>1813</v>
      </c>
      <c r="M5" s="95" t="s">
        <v>1814</v>
      </c>
      <c r="N5" s="95" t="s">
        <v>24</v>
      </c>
      <c r="O5" s="98" t="s">
        <v>935</v>
      </c>
      <c r="P5" s="99">
        <v>46000</v>
      </c>
      <c r="Q5" s="68" t="s">
        <v>3159</v>
      </c>
      <c r="R5" s="68" t="s">
        <v>1220</v>
      </c>
      <c r="S5" s="68" t="s">
        <v>6081</v>
      </c>
      <c r="T5" s="72" t="s">
        <v>6080</v>
      </c>
      <c r="U5" s="84"/>
      <c r="V5" s="84"/>
    </row>
    <row r="6" spans="1:22" ht="225">
      <c r="A6" s="95">
        <v>5</v>
      </c>
      <c r="B6" s="95" t="s">
        <v>1810</v>
      </c>
      <c r="C6" s="100" t="s">
        <v>1890</v>
      </c>
      <c r="D6" s="70">
        <v>46001</v>
      </c>
      <c r="E6" s="95" t="s">
        <v>30</v>
      </c>
      <c r="F6" s="95" t="s">
        <v>22</v>
      </c>
      <c r="G6" s="95" t="s">
        <v>1794</v>
      </c>
      <c r="H6" s="95" t="s">
        <v>1816</v>
      </c>
      <c r="I6" s="95" t="s">
        <v>933</v>
      </c>
      <c r="J6" s="95" t="s">
        <v>1817</v>
      </c>
      <c r="K6" s="95" t="s">
        <v>1661</v>
      </c>
      <c r="L6" s="95" t="s">
        <v>1818</v>
      </c>
      <c r="M6" s="95" t="s">
        <v>1819</v>
      </c>
      <c r="N6" s="95" t="s">
        <v>24</v>
      </c>
      <c r="O6" s="98" t="s">
        <v>935</v>
      </c>
      <c r="P6" s="99">
        <v>46000</v>
      </c>
      <c r="Q6" s="68" t="s">
        <v>3159</v>
      </c>
      <c r="R6" s="68" t="s">
        <v>1220</v>
      </c>
      <c r="S6" s="68" t="s">
        <v>6081</v>
      </c>
      <c r="T6" s="72" t="s">
        <v>6080</v>
      </c>
      <c r="U6" s="84"/>
      <c r="V6" s="84"/>
    </row>
    <row r="7" spans="1:22" ht="120">
      <c r="A7" s="95">
        <v>6</v>
      </c>
      <c r="B7" s="95" t="s">
        <v>1820</v>
      </c>
      <c r="C7" s="100" t="s">
        <v>1891</v>
      </c>
      <c r="D7" s="70">
        <v>46001</v>
      </c>
      <c r="E7" s="95" t="s">
        <v>30</v>
      </c>
      <c r="F7" s="95" t="s">
        <v>22</v>
      </c>
      <c r="G7" s="95" t="s">
        <v>1794</v>
      </c>
      <c r="H7" s="95" t="s">
        <v>1821</v>
      </c>
      <c r="I7" s="95" t="s">
        <v>933</v>
      </c>
      <c r="J7" s="95" t="s">
        <v>1822</v>
      </c>
      <c r="K7" s="95" t="s">
        <v>1665</v>
      </c>
      <c r="L7" s="95" t="s">
        <v>1667</v>
      </c>
      <c r="M7" s="95" t="s">
        <v>1666</v>
      </c>
      <c r="N7" s="95" t="s">
        <v>24</v>
      </c>
      <c r="O7" s="98" t="s">
        <v>935</v>
      </c>
      <c r="P7" s="99">
        <v>46000</v>
      </c>
      <c r="Q7" s="68" t="s">
        <v>3159</v>
      </c>
      <c r="R7" s="68" t="s">
        <v>1220</v>
      </c>
      <c r="S7" s="68" t="s">
        <v>6081</v>
      </c>
      <c r="T7" s="72" t="s">
        <v>6080</v>
      </c>
      <c r="U7" s="84"/>
      <c r="V7" s="84"/>
    </row>
    <row r="8" spans="1:22" ht="135">
      <c r="A8" s="95">
        <v>7</v>
      </c>
      <c r="B8" s="95" t="s">
        <v>1823</v>
      </c>
      <c r="C8" s="100" t="s">
        <v>1892</v>
      </c>
      <c r="D8" s="70">
        <v>46001</v>
      </c>
      <c r="E8" s="95" t="s">
        <v>30</v>
      </c>
      <c r="F8" s="95" t="s">
        <v>22</v>
      </c>
      <c r="G8" s="95" t="s">
        <v>1794</v>
      </c>
      <c r="H8" s="95" t="s">
        <v>1824</v>
      </c>
      <c r="I8" s="95" t="s">
        <v>933</v>
      </c>
      <c r="J8" s="95" t="s">
        <v>1825</v>
      </c>
      <c r="K8" s="95" t="s">
        <v>1672</v>
      </c>
      <c r="L8" s="95" t="s">
        <v>1673</v>
      </c>
      <c r="M8" s="95" t="s">
        <v>1758</v>
      </c>
      <c r="N8" s="95" t="s">
        <v>24</v>
      </c>
      <c r="O8" s="98" t="s">
        <v>935</v>
      </c>
      <c r="P8" s="99">
        <v>46000</v>
      </c>
      <c r="Q8" s="68" t="s">
        <v>3159</v>
      </c>
      <c r="R8" s="68" t="s">
        <v>1220</v>
      </c>
      <c r="S8" s="68" t="s">
        <v>6081</v>
      </c>
      <c r="T8" s="72" t="s">
        <v>6080</v>
      </c>
      <c r="U8" s="84"/>
      <c r="V8" s="84"/>
    </row>
    <row r="9" spans="1:22" ht="90">
      <c r="A9" s="9">
        <v>8</v>
      </c>
      <c r="B9" s="5" t="s">
        <v>1826</v>
      </c>
      <c r="C9" s="5"/>
      <c r="D9" s="5"/>
      <c r="E9" s="5" t="s">
        <v>30</v>
      </c>
      <c r="F9" s="5" t="s">
        <v>22</v>
      </c>
      <c r="G9" s="5" t="s">
        <v>1794</v>
      </c>
      <c r="H9" s="5" t="s">
        <v>1827</v>
      </c>
      <c r="I9" s="5" t="s">
        <v>933</v>
      </c>
      <c r="J9" s="5" t="s">
        <v>1828</v>
      </c>
      <c r="K9" s="5" t="s">
        <v>1211</v>
      </c>
      <c r="L9" s="5" t="s">
        <v>1213</v>
      </c>
      <c r="M9" s="5" t="s">
        <v>258</v>
      </c>
      <c r="N9" s="6" t="s">
        <v>24</v>
      </c>
      <c r="O9" s="7" t="s">
        <v>935</v>
      </c>
      <c r="P9" s="8">
        <v>46000</v>
      </c>
    </row>
    <row r="10" spans="1:22" ht="90">
      <c r="A10" s="9">
        <v>9</v>
      </c>
      <c r="B10" s="5" t="s">
        <v>1829</v>
      </c>
      <c r="C10" s="5"/>
      <c r="D10" s="5"/>
      <c r="E10" s="5" t="s">
        <v>30</v>
      </c>
      <c r="F10" s="5" t="s">
        <v>22</v>
      </c>
      <c r="G10" s="5" t="s">
        <v>1794</v>
      </c>
      <c r="H10" s="5" t="s">
        <v>1830</v>
      </c>
      <c r="I10" s="5" t="s">
        <v>933</v>
      </c>
      <c r="J10" s="5" t="s">
        <v>1825</v>
      </c>
      <c r="K10" s="5" t="s">
        <v>1672</v>
      </c>
      <c r="L10" s="5" t="s">
        <v>1831</v>
      </c>
      <c r="M10" s="5" t="s">
        <v>1832</v>
      </c>
      <c r="N10" s="6" t="s">
        <v>24</v>
      </c>
      <c r="O10" s="7" t="s">
        <v>935</v>
      </c>
      <c r="P10" s="8">
        <v>46000</v>
      </c>
    </row>
    <row r="11" spans="1:22" ht="120">
      <c r="A11" s="9">
        <v>10</v>
      </c>
      <c r="B11" s="5" t="s">
        <v>1833</v>
      </c>
      <c r="C11" s="5"/>
      <c r="D11" s="5"/>
      <c r="E11" s="5" t="s">
        <v>30</v>
      </c>
      <c r="F11" s="5" t="s">
        <v>22</v>
      </c>
      <c r="G11" s="5" t="s">
        <v>1794</v>
      </c>
      <c r="H11" s="5" t="s">
        <v>1836</v>
      </c>
      <c r="I11" s="5" t="s">
        <v>933</v>
      </c>
      <c r="J11" s="5" t="s">
        <v>1834</v>
      </c>
      <c r="K11" s="5" t="s">
        <v>866</v>
      </c>
      <c r="L11" s="5" t="s">
        <v>1835</v>
      </c>
      <c r="M11" s="5" t="s">
        <v>1588</v>
      </c>
      <c r="N11" s="6" t="s">
        <v>24</v>
      </c>
      <c r="O11" s="7" t="s">
        <v>935</v>
      </c>
      <c r="P11" s="8">
        <v>46000</v>
      </c>
    </row>
    <row r="12" spans="1:22" ht="120">
      <c r="A12" s="9">
        <v>11</v>
      </c>
      <c r="B12" s="5" t="s">
        <v>1840</v>
      </c>
      <c r="C12" s="5"/>
      <c r="D12" s="5"/>
      <c r="E12" s="5" t="s">
        <v>30</v>
      </c>
      <c r="F12" s="5" t="s">
        <v>22</v>
      </c>
      <c r="G12" s="5" t="s">
        <v>1794</v>
      </c>
      <c r="H12" s="1" t="s">
        <v>1837</v>
      </c>
      <c r="I12" s="5" t="s">
        <v>933</v>
      </c>
      <c r="J12" s="1" t="s">
        <v>1838</v>
      </c>
      <c r="K12" s="1" t="s">
        <v>1597</v>
      </c>
      <c r="L12" s="1" t="s">
        <v>1696</v>
      </c>
      <c r="M12" s="1" t="s">
        <v>1839</v>
      </c>
      <c r="N12" s="6" t="s">
        <v>24</v>
      </c>
      <c r="O12" s="7" t="s">
        <v>935</v>
      </c>
      <c r="P12" s="8">
        <v>46000</v>
      </c>
    </row>
    <row r="13" spans="1:22" ht="90">
      <c r="A13" s="9">
        <v>12</v>
      </c>
      <c r="B13" s="5" t="s">
        <v>1841</v>
      </c>
      <c r="C13" s="5"/>
      <c r="D13" s="5"/>
      <c r="E13" s="5" t="s">
        <v>30</v>
      </c>
      <c r="F13" s="5" t="s">
        <v>22</v>
      </c>
      <c r="G13" s="5" t="s">
        <v>1794</v>
      </c>
      <c r="H13" s="1" t="s">
        <v>1842</v>
      </c>
      <c r="I13" s="1" t="s">
        <v>933</v>
      </c>
      <c r="J13" s="1" t="s">
        <v>1843</v>
      </c>
      <c r="K13" s="1" t="s">
        <v>1700</v>
      </c>
      <c r="L13" s="1" t="s">
        <v>1462</v>
      </c>
      <c r="M13" s="1" t="s">
        <v>1844</v>
      </c>
      <c r="N13" s="6" t="s">
        <v>24</v>
      </c>
      <c r="O13" s="7" t="s">
        <v>935</v>
      </c>
      <c r="P13" s="8">
        <v>46000</v>
      </c>
    </row>
    <row r="14" spans="1:22" ht="135">
      <c r="A14" s="9">
        <v>13</v>
      </c>
      <c r="B14" s="5" t="s">
        <v>1845</v>
      </c>
      <c r="C14" s="5"/>
      <c r="D14" s="5"/>
      <c r="E14" s="5" t="s">
        <v>30</v>
      </c>
      <c r="F14" s="5" t="s">
        <v>22</v>
      </c>
      <c r="G14" s="5" t="s">
        <v>1794</v>
      </c>
      <c r="H14" s="5" t="s">
        <v>1846</v>
      </c>
      <c r="I14" s="5" t="s">
        <v>933</v>
      </c>
      <c r="J14" s="5" t="s">
        <v>1847</v>
      </c>
      <c r="K14" s="5" t="s">
        <v>1024</v>
      </c>
      <c r="L14" s="5" t="s">
        <v>882</v>
      </c>
      <c r="M14" s="5" t="s">
        <v>1773</v>
      </c>
      <c r="N14" s="6" t="s">
        <v>24</v>
      </c>
      <c r="O14" s="7" t="s">
        <v>935</v>
      </c>
      <c r="P14" s="8">
        <v>46000</v>
      </c>
    </row>
    <row r="15" spans="1:22" ht="120">
      <c r="A15" s="9">
        <v>14</v>
      </c>
      <c r="B15" s="5" t="s">
        <v>1848</v>
      </c>
      <c r="C15" s="5"/>
      <c r="D15" s="5"/>
      <c r="E15" s="5" t="s">
        <v>30</v>
      </c>
      <c r="F15" s="5" t="s">
        <v>22</v>
      </c>
      <c r="G15" s="5" t="s">
        <v>1794</v>
      </c>
      <c r="H15" s="5" t="s">
        <v>1849</v>
      </c>
      <c r="I15" s="5" t="s">
        <v>933</v>
      </c>
      <c r="J15" s="5" t="s">
        <v>1850</v>
      </c>
      <c r="K15" s="5" t="s">
        <v>890</v>
      </c>
      <c r="L15" s="5" t="s">
        <v>1777</v>
      </c>
      <c r="M15" s="5" t="s">
        <v>1778</v>
      </c>
      <c r="N15" s="6" t="s">
        <v>274</v>
      </c>
      <c r="O15" s="7" t="s">
        <v>935</v>
      </c>
      <c r="P15" s="8">
        <v>46000</v>
      </c>
    </row>
    <row r="16" spans="1:22" ht="90">
      <c r="A16" s="9">
        <v>15</v>
      </c>
      <c r="B16" s="5" t="s">
        <v>1854</v>
      </c>
      <c r="C16" s="5"/>
      <c r="D16" s="5"/>
      <c r="E16" s="5" t="s">
        <v>30</v>
      </c>
      <c r="F16" s="5" t="s">
        <v>22</v>
      </c>
      <c r="G16" s="5" t="s">
        <v>1794</v>
      </c>
      <c r="H16" s="5" t="s">
        <v>1851</v>
      </c>
      <c r="I16" s="5" t="s">
        <v>933</v>
      </c>
      <c r="J16" s="5" t="s">
        <v>1852</v>
      </c>
      <c r="K16" s="5" t="s">
        <v>255</v>
      </c>
      <c r="L16" s="5" t="s">
        <v>1853</v>
      </c>
      <c r="M16" s="5" t="s">
        <v>6069</v>
      </c>
      <c r="N16" s="6" t="s">
        <v>274</v>
      </c>
      <c r="O16" s="7" t="s">
        <v>935</v>
      </c>
      <c r="P16" s="8">
        <v>46000</v>
      </c>
    </row>
    <row r="17" spans="1:22" ht="90">
      <c r="A17" s="9">
        <v>16</v>
      </c>
      <c r="B17" s="5" t="s">
        <v>1858</v>
      </c>
      <c r="C17" s="5"/>
      <c r="D17" s="5"/>
      <c r="E17" s="5" t="s">
        <v>30</v>
      </c>
      <c r="F17" s="5" t="s">
        <v>22</v>
      </c>
      <c r="G17" s="5" t="s">
        <v>1794</v>
      </c>
      <c r="H17" s="5" t="s">
        <v>1855</v>
      </c>
      <c r="I17" s="5" t="s">
        <v>933</v>
      </c>
      <c r="J17" s="5" t="s">
        <v>1856</v>
      </c>
      <c r="K17" s="5" t="s">
        <v>255</v>
      </c>
      <c r="L17" s="5" t="s">
        <v>1262</v>
      </c>
      <c r="M17" s="5" t="s">
        <v>1857</v>
      </c>
      <c r="N17" s="6" t="s">
        <v>24</v>
      </c>
      <c r="O17" s="7" t="s">
        <v>935</v>
      </c>
      <c r="P17" s="8">
        <v>46000</v>
      </c>
    </row>
    <row r="18" spans="1:22" ht="105">
      <c r="A18" s="95">
        <v>17</v>
      </c>
      <c r="B18" s="95" t="s">
        <v>1859</v>
      </c>
      <c r="C18" s="100" t="s">
        <v>1893</v>
      </c>
      <c r="D18" s="70">
        <v>46001</v>
      </c>
      <c r="E18" s="95" t="s">
        <v>30</v>
      </c>
      <c r="F18" s="95" t="s">
        <v>22</v>
      </c>
      <c r="G18" s="95" t="s">
        <v>1794</v>
      </c>
      <c r="H18" s="95" t="s">
        <v>1860</v>
      </c>
      <c r="I18" s="95" t="s">
        <v>933</v>
      </c>
      <c r="J18" s="95" t="s">
        <v>1861</v>
      </c>
      <c r="K18" s="95" t="s">
        <v>255</v>
      </c>
      <c r="L18" s="95" t="s">
        <v>1862</v>
      </c>
      <c r="M18" s="95" t="s">
        <v>1863</v>
      </c>
      <c r="N18" s="95" t="s">
        <v>24</v>
      </c>
      <c r="O18" s="98" t="s">
        <v>935</v>
      </c>
      <c r="P18" s="99">
        <v>46000</v>
      </c>
      <c r="Q18" s="68" t="s">
        <v>3159</v>
      </c>
      <c r="R18" s="68" t="s">
        <v>1220</v>
      </c>
      <c r="S18" s="68" t="s">
        <v>6081</v>
      </c>
      <c r="T18" s="72" t="s">
        <v>6080</v>
      </c>
      <c r="U18" s="84"/>
      <c r="V18" s="84"/>
    </row>
    <row r="19" spans="1:22" ht="90">
      <c r="A19" s="9">
        <v>18</v>
      </c>
      <c r="B19" s="5" t="s">
        <v>1864</v>
      </c>
      <c r="C19" s="5"/>
      <c r="D19" s="5"/>
      <c r="E19" s="5" t="s">
        <v>30</v>
      </c>
      <c r="F19" s="5" t="s">
        <v>22</v>
      </c>
      <c r="G19" s="5" t="s">
        <v>1794</v>
      </c>
      <c r="H19" s="5" t="s">
        <v>1865</v>
      </c>
      <c r="I19" s="5" t="s">
        <v>933</v>
      </c>
      <c r="J19" s="5" t="s">
        <v>1866</v>
      </c>
      <c r="K19" s="5" t="s">
        <v>255</v>
      </c>
      <c r="L19" s="5" t="s">
        <v>918</v>
      </c>
      <c r="M19" s="5" t="s">
        <v>6070</v>
      </c>
      <c r="N19" s="6" t="s">
        <v>274</v>
      </c>
      <c r="O19" s="7" t="s">
        <v>935</v>
      </c>
      <c r="P19" s="8">
        <v>46000</v>
      </c>
    </row>
  </sheetData>
  <autoFilter ref="A1:V19"/>
  <hyperlinks>
    <hyperlink ref="C3" r:id="rId1" display="https://hanssupport.atlassian.net/browse/BA-271"/>
    <hyperlink ref="C5" r:id="rId2" display="https://hanssupport.atlassian.net/browse/BA-272"/>
    <hyperlink ref="C6" r:id="rId3" display="https://hanssupport.atlassian.net/browse/BA-273"/>
    <hyperlink ref="C7" r:id="rId4" display="https://hanssupport.atlassian.net/browse/BA-274"/>
    <hyperlink ref="C8" r:id="rId5" display="https://hanssupport.atlassian.net/browse/BA-275"/>
    <hyperlink ref="C18" r:id="rId6" display="https://hanssupport.atlassian.net/browse/BA-276"/>
  </hyperlink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19"/>
  <sheetViews>
    <sheetView topLeftCell="L1" workbookViewId="0">
      <pane ySplit="1" topLeftCell="A2" activePane="bottomLeft" state="frozen"/>
      <selection pane="bottomLeft" activeCell="Q3" sqref="Q3:T3"/>
    </sheetView>
  </sheetViews>
  <sheetFormatPr defaultRowHeight="15"/>
  <cols>
    <col min="1" max="1" width="9.140625" style="1"/>
    <col min="2" max="2" width="19.85546875" style="1" customWidth="1"/>
    <col min="3" max="3" width="10.42578125" style="1" customWidth="1"/>
    <col min="4" max="4" width="21.5703125" style="1" customWidth="1"/>
    <col min="5" max="6" width="14" style="1" customWidth="1"/>
    <col min="7" max="7" width="24.42578125" style="1" customWidth="1"/>
    <col min="8" max="8" width="52.5703125" style="1" customWidth="1"/>
    <col min="9" max="9" width="38.140625" style="1" customWidth="1"/>
    <col min="10" max="10" width="56.28515625" style="1" customWidth="1"/>
    <col min="11" max="11" width="36.7109375" style="1" customWidth="1"/>
    <col min="12" max="12" width="60.5703125" style="1" customWidth="1"/>
    <col min="13" max="13" width="48.42578125" style="1" customWidth="1"/>
    <col min="14" max="14" width="14.28515625" style="1" customWidth="1"/>
    <col min="15" max="15" width="31.7109375" style="1" customWidth="1"/>
    <col min="16" max="16" width="19.5703125" style="1" customWidth="1"/>
    <col min="17" max="17" width="13.140625" style="1" customWidth="1"/>
    <col min="18" max="18" width="15.5703125" style="1" customWidth="1"/>
    <col min="19" max="19" width="18.5703125" style="1" customWidth="1"/>
    <col min="20" max="20" width="21.85546875" style="1" customWidth="1"/>
    <col min="21" max="21" width="26" style="1" customWidth="1"/>
    <col min="22" max="22" width="12.5703125"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1868</v>
      </c>
      <c r="E2" s="1" t="s">
        <v>30</v>
      </c>
      <c r="F2" s="1" t="s">
        <v>22</v>
      </c>
      <c r="G2" s="1" t="s">
        <v>1869</v>
      </c>
      <c r="H2" s="1" t="s">
        <v>1870</v>
      </c>
      <c r="I2" s="1" t="s">
        <v>933</v>
      </c>
      <c r="J2" s="1" t="s">
        <v>1871</v>
      </c>
      <c r="K2" s="1" t="s">
        <v>1074</v>
      </c>
      <c r="L2" s="1" t="s">
        <v>1872</v>
      </c>
      <c r="M2" s="1" t="s">
        <v>1873</v>
      </c>
      <c r="N2" s="3" t="s">
        <v>24</v>
      </c>
      <c r="O2" s="2" t="s">
        <v>935</v>
      </c>
      <c r="P2" s="12">
        <v>46001</v>
      </c>
    </row>
    <row r="3" spans="1:22" ht="120">
      <c r="A3" s="68">
        <v>2</v>
      </c>
      <c r="B3" s="68" t="s">
        <v>1894</v>
      </c>
      <c r="C3" s="69" t="s">
        <v>2743</v>
      </c>
      <c r="D3" s="70">
        <v>46010</v>
      </c>
      <c r="E3" s="68" t="s">
        <v>30</v>
      </c>
      <c r="F3" s="68" t="s">
        <v>22</v>
      </c>
      <c r="G3" s="68" t="s">
        <v>1869</v>
      </c>
      <c r="H3" s="68" t="s">
        <v>1895</v>
      </c>
      <c r="I3" s="68" t="s">
        <v>933</v>
      </c>
      <c r="J3" s="68" t="s">
        <v>1898</v>
      </c>
      <c r="K3" s="68" t="s">
        <v>1896</v>
      </c>
      <c r="L3" s="68" t="s">
        <v>1645</v>
      </c>
      <c r="M3" s="68" t="s">
        <v>1897</v>
      </c>
      <c r="N3" s="68" t="s">
        <v>24</v>
      </c>
      <c r="O3" s="71" t="s">
        <v>935</v>
      </c>
      <c r="P3" s="72">
        <v>46001</v>
      </c>
      <c r="Q3" s="68" t="s">
        <v>3159</v>
      </c>
      <c r="R3" s="68" t="s">
        <v>1220</v>
      </c>
      <c r="S3" s="68" t="s">
        <v>5075</v>
      </c>
      <c r="T3" s="72" t="s">
        <v>6080</v>
      </c>
      <c r="U3" s="68"/>
      <c r="V3" s="68"/>
    </row>
    <row r="4" spans="1:22" ht="135">
      <c r="A4" s="1">
        <v>3</v>
      </c>
      <c r="B4" s="1" t="s">
        <v>1899</v>
      </c>
      <c r="E4" s="1" t="s">
        <v>30</v>
      </c>
      <c r="F4" s="1" t="s">
        <v>22</v>
      </c>
      <c r="G4" s="1" t="s">
        <v>1869</v>
      </c>
      <c r="H4" s="1" t="s">
        <v>1900</v>
      </c>
      <c r="I4" s="1" t="s">
        <v>933</v>
      </c>
      <c r="J4" s="1" t="s">
        <v>1901</v>
      </c>
      <c r="K4" s="1" t="s">
        <v>255</v>
      </c>
      <c r="L4" s="1" t="s">
        <v>1649</v>
      </c>
      <c r="M4" s="1" t="s">
        <v>1524</v>
      </c>
      <c r="N4" s="3" t="s">
        <v>274</v>
      </c>
      <c r="O4" s="2" t="s">
        <v>935</v>
      </c>
      <c r="P4" s="12">
        <v>46001</v>
      </c>
    </row>
    <row r="5" spans="1:22" ht="165">
      <c r="A5" s="68">
        <v>4</v>
      </c>
      <c r="B5" s="68" t="s">
        <v>1902</v>
      </c>
      <c r="C5" s="69" t="s">
        <v>2744</v>
      </c>
      <c r="D5" s="70">
        <v>46010</v>
      </c>
      <c r="E5" s="68" t="s">
        <v>30</v>
      </c>
      <c r="F5" s="68" t="s">
        <v>22</v>
      </c>
      <c r="G5" s="68" t="s">
        <v>1869</v>
      </c>
      <c r="H5" s="68" t="s">
        <v>1903</v>
      </c>
      <c r="I5" s="68" t="s">
        <v>933</v>
      </c>
      <c r="J5" s="68" t="s">
        <v>1904</v>
      </c>
      <c r="K5" s="68" t="s">
        <v>1905</v>
      </c>
      <c r="L5" s="68" t="s">
        <v>1906</v>
      </c>
      <c r="M5" s="68" t="s">
        <v>1907</v>
      </c>
      <c r="N5" s="68" t="s">
        <v>24</v>
      </c>
      <c r="O5" s="71" t="s">
        <v>935</v>
      </c>
      <c r="P5" s="72">
        <v>46001</v>
      </c>
      <c r="Q5" s="68" t="s">
        <v>3159</v>
      </c>
      <c r="R5" s="68" t="s">
        <v>1220</v>
      </c>
      <c r="S5" s="68" t="s">
        <v>5075</v>
      </c>
      <c r="T5" s="72" t="s">
        <v>6080</v>
      </c>
      <c r="U5" s="68"/>
      <c r="V5" s="68"/>
    </row>
    <row r="6" spans="1:22" ht="255">
      <c r="A6" s="68">
        <v>5</v>
      </c>
      <c r="B6" s="68" t="s">
        <v>1908</v>
      </c>
      <c r="C6" s="69" t="s">
        <v>2745</v>
      </c>
      <c r="D6" s="70">
        <v>46010</v>
      </c>
      <c r="E6" s="68" t="s">
        <v>30</v>
      </c>
      <c r="F6" s="68" t="s">
        <v>22</v>
      </c>
      <c r="G6" s="68" t="s">
        <v>1869</v>
      </c>
      <c r="H6" s="68" t="s">
        <v>1909</v>
      </c>
      <c r="I6" s="68" t="s">
        <v>933</v>
      </c>
      <c r="J6" s="68" t="s">
        <v>1910</v>
      </c>
      <c r="K6" s="68" t="s">
        <v>1661</v>
      </c>
      <c r="L6" s="68" t="s">
        <v>1911</v>
      </c>
      <c r="M6" s="68" t="s">
        <v>1912</v>
      </c>
      <c r="N6" s="68" t="s">
        <v>24</v>
      </c>
      <c r="O6" s="71" t="s">
        <v>935</v>
      </c>
      <c r="P6" s="72">
        <v>46001</v>
      </c>
      <c r="Q6" s="68" t="s">
        <v>3159</v>
      </c>
      <c r="R6" s="68" t="s">
        <v>1220</v>
      </c>
      <c r="S6" s="68" t="s">
        <v>5075</v>
      </c>
      <c r="T6" s="72" t="s">
        <v>6080</v>
      </c>
      <c r="U6" s="68"/>
      <c r="V6" s="68"/>
    </row>
    <row r="7" spans="1:22" ht="150">
      <c r="A7" s="68">
        <v>6</v>
      </c>
      <c r="B7" s="68" t="s">
        <v>1913</v>
      </c>
      <c r="C7" s="69" t="s">
        <v>2746</v>
      </c>
      <c r="D7" s="70">
        <v>46010</v>
      </c>
      <c r="E7" s="68" t="s">
        <v>30</v>
      </c>
      <c r="F7" s="68" t="s">
        <v>22</v>
      </c>
      <c r="G7" s="68" t="s">
        <v>1869</v>
      </c>
      <c r="H7" s="68" t="s">
        <v>1914</v>
      </c>
      <c r="I7" s="68" t="s">
        <v>933</v>
      </c>
      <c r="J7" s="68" t="s">
        <v>1915</v>
      </c>
      <c r="K7" s="68" t="s">
        <v>1672</v>
      </c>
      <c r="L7" s="68" t="s">
        <v>1916</v>
      </c>
      <c r="M7" s="68" t="s">
        <v>1917</v>
      </c>
      <c r="N7" s="68" t="s">
        <v>24</v>
      </c>
      <c r="O7" s="71" t="s">
        <v>935</v>
      </c>
      <c r="P7" s="72">
        <v>46001</v>
      </c>
      <c r="Q7" s="68" t="s">
        <v>3159</v>
      </c>
      <c r="R7" s="68" t="s">
        <v>1220</v>
      </c>
      <c r="S7" s="68" t="s">
        <v>5075</v>
      </c>
      <c r="T7" s="72" t="s">
        <v>6080</v>
      </c>
      <c r="U7" s="68"/>
      <c r="V7" s="68"/>
    </row>
    <row r="8" spans="1:22" ht="90">
      <c r="A8" s="1">
        <v>7</v>
      </c>
      <c r="B8" s="1" t="s">
        <v>1918</v>
      </c>
      <c r="E8" s="1" t="s">
        <v>30</v>
      </c>
      <c r="F8" s="1" t="s">
        <v>22</v>
      </c>
      <c r="G8" s="1" t="s">
        <v>1869</v>
      </c>
      <c r="H8" s="1" t="s">
        <v>1919</v>
      </c>
      <c r="I8" s="1" t="s">
        <v>933</v>
      </c>
      <c r="J8" s="1" t="s">
        <v>1920</v>
      </c>
      <c r="K8" s="1" t="s">
        <v>1211</v>
      </c>
      <c r="L8" s="1" t="s">
        <v>1213</v>
      </c>
      <c r="M8" s="1" t="s">
        <v>258</v>
      </c>
      <c r="N8" s="3" t="s">
        <v>24</v>
      </c>
      <c r="O8" s="2" t="s">
        <v>935</v>
      </c>
      <c r="P8" s="12">
        <v>46001</v>
      </c>
    </row>
    <row r="9" spans="1:22" ht="90">
      <c r="A9" s="1">
        <v>8</v>
      </c>
      <c r="B9" s="1" t="s">
        <v>1921</v>
      </c>
      <c r="E9" s="1" t="s">
        <v>30</v>
      </c>
      <c r="F9" s="1" t="s">
        <v>22</v>
      </c>
      <c r="G9" s="1" t="s">
        <v>1869</v>
      </c>
      <c r="H9" s="1" t="s">
        <v>1922</v>
      </c>
      <c r="I9" s="1" t="s">
        <v>933</v>
      </c>
      <c r="J9" s="1" t="s">
        <v>1923</v>
      </c>
      <c r="K9" s="1" t="s">
        <v>1924</v>
      </c>
      <c r="L9" s="1" t="s">
        <v>1831</v>
      </c>
      <c r="M9" s="1" t="s">
        <v>1832</v>
      </c>
      <c r="N9" s="3" t="s">
        <v>24</v>
      </c>
      <c r="O9" s="2" t="s">
        <v>935</v>
      </c>
      <c r="P9" s="12">
        <v>46001</v>
      </c>
    </row>
    <row r="10" spans="1:22" ht="105">
      <c r="A10" s="1">
        <v>9</v>
      </c>
      <c r="B10" s="1" t="s">
        <v>1925</v>
      </c>
      <c r="E10" s="1" t="s">
        <v>30</v>
      </c>
      <c r="F10" s="1" t="s">
        <v>22</v>
      </c>
      <c r="G10" s="1" t="s">
        <v>1869</v>
      </c>
      <c r="H10" s="1" t="s">
        <v>1926</v>
      </c>
      <c r="I10" s="1" t="s">
        <v>933</v>
      </c>
      <c r="J10" s="1" t="s">
        <v>1927</v>
      </c>
      <c r="K10" s="1" t="s">
        <v>866</v>
      </c>
      <c r="L10" s="1" t="s">
        <v>1835</v>
      </c>
      <c r="M10" s="1" t="s">
        <v>1588</v>
      </c>
      <c r="N10" s="3" t="s">
        <v>24</v>
      </c>
      <c r="O10" s="2" t="s">
        <v>935</v>
      </c>
      <c r="P10" s="12">
        <v>46001</v>
      </c>
    </row>
    <row r="11" spans="1:22" ht="120">
      <c r="A11" s="1">
        <v>10</v>
      </c>
      <c r="B11" s="1" t="s">
        <v>1928</v>
      </c>
      <c r="E11" s="1" t="s">
        <v>30</v>
      </c>
      <c r="F11" s="1" t="s">
        <v>22</v>
      </c>
      <c r="G11" s="1" t="s">
        <v>1869</v>
      </c>
      <c r="H11" s="1" t="s">
        <v>1929</v>
      </c>
      <c r="I11" s="1" t="s">
        <v>933</v>
      </c>
      <c r="J11" s="1" t="s">
        <v>1930</v>
      </c>
      <c r="K11" s="1" t="s">
        <v>1597</v>
      </c>
      <c r="L11" s="1" t="s">
        <v>1696</v>
      </c>
      <c r="M11" s="1" t="s">
        <v>1931</v>
      </c>
      <c r="N11" s="3" t="s">
        <v>24</v>
      </c>
      <c r="O11" s="2" t="s">
        <v>935</v>
      </c>
      <c r="P11" s="12">
        <v>46001</v>
      </c>
    </row>
    <row r="12" spans="1:22" ht="90">
      <c r="A12" s="1">
        <v>11</v>
      </c>
      <c r="B12" s="1" t="s">
        <v>1932</v>
      </c>
      <c r="E12" s="1" t="s">
        <v>30</v>
      </c>
      <c r="F12" s="1" t="s">
        <v>22</v>
      </c>
      <c r="G12" s="1" t="s">
        <v>1869</v>
      </c>
      <c r="H12" s="1" t="s">
        <v>1933</v>
      </c>
      <c r="I12" s="1" t="s">
        <v>933</v>
      </c>
      <c r="J12" s="1" t="s">
        <v>1934</v>
      </c>
      <c r="K12" s="1" t="s">
        <v>1700</v>
      </c>
      <c r="L12" s="1" t="s">
        <v>1462</v>
      </c>
      <c r="M12" s="1" t="s">
        <v>1844</v>
      </c>
      <c r="N12" s="3" t="s">
        <v>24</v>
      </c>
      <c r="O12" s="2" t="s">
        <v>935</v>
      </c>
      <c r="P12" s="12">
        <v>46001</v>
      </c>
    </row>
    <row r="13" spans="1:22" ht="120">
      <c r="A13" s="1">
        <v>12</v>
      </c>
      <c r="B13" s="1" t="s">
        <v>1935</v>
      </c>
      <c r="E13" s="1" t="s">
        <v>30</v>
      </c>
      <c r="F13" s="1" t="s">
        <v>22</v>
      </c>
      <c r="G13" s="1" t="s">
        <v>1869</v>
      </c>
      <c r="H13" s="1" t="s">
        <v>1936</v>
      </c>
      <c r="I13" s="1" t="s">
        <v>933</v>
      </c>
      <c r="J13" s="1" t="s">
        <v>1937</v>
      </c>
      <c r="K13" s="1" t="s">
        <v>1024</v>
      </c>
      <c r="L13" s="1" t="s">
        <v>882</v>
      </c>
      <c r="M13" s="1" t="s">
        <v>1773</v>
      </c>
      <c r="N13" s="3" t="s">
        <v>24</v>
      </c>
      <c r="O13" s="2" t="s">
        <v>935</v>
      </c>
      <c r="P13" s="12">
        <v>46001</v>
      </c>
    </row>
    <row r="14" spans="1:22" ht="195">
      <c r="A14" s="68">
        <v>13</v>
      </c>
      <c r="B14" s="68" t="s">
        <v>1938</v>
      </c>
      <c r="C14" s="69" t="s">
        <v>4879</v>
      </c>
      <c r="D14" s="70">
        <v>46051</v>
      </c>
      <c r="E14" s="68" t="s">
        <v>30</v>
      </c>
      <c r="F14" s="68" t="s">
        <v>22</v>
      </c>
      <c r="G14" s="68" t="s">
        <v>1869</v>
      </c>
      <c r="H14" s="68" t="s">
        <v>1939</v>
      </c>
      <c r="I14" s="68" t="s">
        <v>933</v>
      </c>
      <c r="J14" s="68" t="s">
        <v>1940</v>
      </c>
      <c r="K14" s="68" t="s">
        <v>1941</v>
      </c>
      <c r="L14" s="68" t="s">
        <v>1942</v>
      </c>
      <c r="M14" s="68" t="s">
        <v>1943</v>
      </c>
      <c r="N14" s="68" t="s">
        <v>24</v>
      </c>
      <c r="O14" s="71" t="s">
        <v>935</v>
      </c>
      <c r="P14" s="72">
        <v>46001</v>
      </c>
      <c r="Q14" s="68" t="s">
        <v>3159</v>
      </c>
      <c r="R14" s="68" t="s">
        <v>1220</v>
      </c>
      <c r="S14" s="68" t="s">
        <v>5075</v>
      </c>
      <c r="T14" s="72" t="s">
        <v>6080</v>
      </c>
      <c r="U14" s="68"/>
      <c r="V14" s="68"/>
    </row>
    <row r="15" spans="1:22" ht="120">
      <c r="A15" s="1">
        <v>14</v>
      </c>
      <c r="B15" s="1" t="s">
        <v>1944</v>
      </c>
      <c r="E15" s="1" t="s">
        <v>30</v>
      </c>
      <c r="F15" s="1" t="s">
        <v>22</v>
      </c>
      <c r="G15" s="1" t="s">
        <v>1869</v>
      </c>
      <c r="H15" s="1" t="s">
        <v>1945</v>
      </c>
      <c r="I15" s="1" t="s">
        <v>933</v>
      </c>
      <c r="J15" s="1" t="s">
        <v>1946</v>
      </c>
      <c r="K15" s="1" t="s">
        <v>890</v>
      </c>
      <c r="L15" s="1" t="s">
        <v>1777</v>
      </c>
      <c r="M15" s="1" t="s">
        <v>1778</v>
      </c>
      <c r="N15" s="3" t="s">
        <v>274</v>
      </c>
      <c r="O15" s="2" t="s">
        <v>935</v>
      </c>
      <c r="P15" s="12">
        <v>46001</v>
      </c>
    </row>
    <row r="16" spans="1:22" ht="90">
      <c r="A16" s="1">
        <v>15</v>
      </c>
      <c r="B16" s="1" t="s">
        <v>1950</v>
      </c>
      <c r="E16" s="1" t="s">
        <v>30</v>
      </c>
      <c r="F16" s="1" t="s">
        <v>22</v>
      </c>
      <c r="G16" s="1" t="s">
        <v>1869</v>
      </c>
      <c r="H16" s="1" t="s">
        <v>1947</v>
      </c>
      <c r="I16" s="1" t="s">
        <v>933</v>
      </c>
      <c r="J16" s="1" t="s">
        <v>1948</v>
      </c>
      <c r="K16" s="1" t="s">
        <v>255</v>
      </c>
      <c r="L16" s="1" t="s">
        <v>1949</v>
      </c>
      <c r="M16" s="1" t="s">
        <v>6061</v>
      </c>
      <c r="N16" s="3" t="s">
        <v>274</v>
      </c>
      <c r="O16" s="2" t="s">
        <v>935</v>
      </c>
      <c r="P16" s="12">
        <v>46001</v>
      </c>
    </row>
    <row r="17" spans="1:22" ht="90">
      <c r="A17" s="1">
        <v>16</v>
      </c>
      <c r="B17" s="1" t="s">
        <v>1953</v>
      </c>
      <c r="E17" s="1" t="s">
        <v>30</v>
      </c>
      <c r="F17" s="1" t="s">
        <v>22</v>
      </c>
      <c r="G17" s="1" t="s">
        <v>1869</v>
      </c>
      <c r="H17" s="1" t="s">
        <v>1951</v>
      </c>
      <c r="I17" s="1" t="s">
        <v>933</v>
      </c>
      <c r="J17" s="1" t="s">
        <v>1952</v>
      </c>
      <c r="K17" s="1" t="s">
        <v>255</v>
      </c>
      <c r="L17" s="1" t="s">
        <v>1262</v>
      </c>
      <c r="M17" s="1" t="s">
        <v>1857</v>
      </c>
      <c r="N17" s="3" t="s">
        <v>274</v>
      </c>
      <c r="O17" s="2" t="s">
        <v>935</v>
      </c>
      <c r="P17" s="12">
        <v>46001</v>
      </c>
    </row>
    <row r="18" spans="1:22" ht="120">
      <c r="A18" s="68">
        <v>17</v>
      </c>
      <c r="B18" s="68" t="s">
        <v>1957</v>
      </c>
      <c r="C18" s="69" t="s">
        <v>2747</v>
      </c>
      <c r="D18" s="70">
        <v>46010</v>
      </c>
      <c r="E18" s="68" t="s">
        <v>30</v>
      </c>
      <c r="F18" s="68" t="s">
        <v>22</v>
      </c>
      <c r="G18" s="68" t="s">
        <v>1869</v>
      </c>
      <c r="H18" s="68" t="s">
        <v>1954</v>
      </c>
      <c r="I18" s="68" t="s">
        <v>933</v>
      </c>
      <c r="J18" s="68" t="s">
        <v>1955</v>
      </c>
      <c r="K18" s="68" t="s">
        <v>255</v>
      </c>
      <c r="L18" s="68" t="s">
        <v>1862</v>
      </c>
      <c r="M18" s="68" t="s">
        <v>1956</v>
      </c>
      <c r="N18" s="68" t="s">
        <v>24</v>
      </c>
      <c r="O18" s="71" t="s">
        <v>935</v>
      </c>
      <c r="P18" s="72">
        <v>46001</v>
      </c>
      <c r="Q18" s="68" t="s">
        <v>3159</v>
      </c>
      <c r="R18" s="68" t="s">
        <v>1220</v>
      </c>
      <c r="S18" s="68" t="s">
        <v>5075</v>
      </c>
      <c r="T18" s="72" t="s">
        <v>6080</v>
      </c>
      <c r="U18" s="68"/>
      <c r="V18" s="68"/>
    </row>
    <row r="19" spans="1:22" ht="90">
      <c r="A19" s="1">
        <v>18</v>
      </c>
      <c r="B19" s="1" t="s">
        <v>1960</v>
      </c>
      <c r="E19" s="1" t="s">
        <v>30</v>
      </c>
      <c r="F19" s="1" t="s">
        <v>22</v>
      </c>
      <c r="G19" s="1" t="s">
        <v>1869</v>
      </c>
      <c r="H19" s="1" t="s">
        <v>1958</v>
      </c>
      <c r="I19" s="1" t="s">
        <v>933</v>
      </c>
      <c r="J19" s="1" t="s">
        <v>1959</v>
      </c>
      <c r="K19" s="1" t="s">
        <v>255</v>
      </c>
      <c r="L19" s="1" t="s">
        <v>918</v>
      </c>
      <c r="M19" s="1" t="s">
        <v>6071</v>
      </c>
      <c r="N19" s="3" t="s">
        <v>274</v>
      </c>
      <c r="O19" s="2" t="s">
        <v>935</v>
      </c>
      <c r="P19" s="12">
        <v>46001</v>
      </c>
    </row>
  </sheetData>
  <autoFilter ref="A1:V19"/>
  <hyperlinks>
    <hyperlink ref="C3" r:id="rId1" display="https://hanssupport.atlassian.net/browse/BA-297"/>
    <hyperlink ref="C5" r:id="rId2" display="https://hanssupport.atlassian.net/browse/BA-298"/>
    <hyperlink ref="C6" r:id="rId3" display="https://hanssupport.atlassian.net/browse/BA-299"/>
    <hyperlink ref="C7" r:id="rId4" display="https://hanssupport.atlassian.net/browse/BA-300"/>
    <hyperlink ref="C18" r:id="rId5" display="https://hanssupport.atlassian.net/browse/BA-301"/>
    <hyperlink ref="C14" r:id="rId6" display="https://hanssupport.atlassian.net/browse/BA-516"/>
  </hyperlinks>
  <pageMargins left="0.7" right="0.7" top="0.75" bottom="0.75" header="0.3" footer="0.3"/>
  <pageSetup paperSize="9" orientation="portrait" verticalDpi="0" r:id="rId7"/>
</worksheet>
</file>

<file path=xl/worksheets/sheet28.xml><?xml version="1.0" encoding="utf-8"?>
<worksheet xmlns="http://schemas.openxmlformats.org/spreadsheetml/2006/main" xmlns:r="http://schemas.openxmlformats.org/officeDocument/2006/relationships">
  <dimension ref="A1:V16"/>
  <sheetViews>
    <sheetView topLeftCell="M1" workbookViewId="0">
      <pane ySplit="1" topLeftCell="A2" activePane="bottomLeft" state="frozen"/>
      <selection pane="bottomLeft" activeCell="S1" sqref="S1"/>
    </sheetView>
  </sheetViews>
  <sheetFormatPr defaultRowHeight="15"/>
  <cols>
    <col min="1" max="1" width="10.140625" style="1" customWidth="1"/>
    <col min="2" max="2" width="17.85546875" style="1" customWidth="1"/>
    <col min="3" max="3" width="11.7109375" style="1" customWidth="1"/>
    <col min="4" max="4" width="20" style="1" customWidth="1"/>
    <col min="5" max="5" width="14.42578125" style="1" customWidth="1"/>
    <col min="6" max="6" width="11.5703125" style="1" customWidth="1"/>
    <col min="7" max="7" width="29.5703125" style="1" customWidth="1"/>
    <col min="8" max="8" width="58" style="1" customWidth="1"/>
    <col min="9" max="9" width="41.7109375" style="1" customWidth="1"/>
    <col min="10" max="10" width="63.5703125" style="1" customWidth="1"/>
    <col min="11" max="11" width="37.28515625" style="1" customWidth="1"/>
    <col min="12" max="12" width="59.5703125" style="1" customWidth="1"/>
    <col min="13" max="13" width="52.5703125" style="1" customWidth="1"/>
    <col min="14" max="14" width="13.7109375" style="1" customWidth="1"/>
    <col min="15" max="15" width="32.28515625" style="1" customWidth="1"/>
    <col min="16" max="16" width="20.42578125" style="1" customWidth="1"/>
    <col min="17" max="17" width="17.28515625" style="1" customWidth="1"/>
    <col min="18" max="18" width="16.7109375" style="1" customWidth="1"/>
    <col min="19" max="19" width="22.7109375" style="1" customWidth="1"/>
    <col min="20" max="20" width="23.85546875" style="1" customWidth="1"/>
    <col min="21" max="21" width="28" style="1" customWidth="1"/>
    <col min="22" max="22" width="19"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1961</v>
      </c>
      <c r="E2" s="1" t="s">
        <v>30</v>
      </c>
      <c r="F2" s="1" t="s">
        <v>22</v>
      </c>
      <c r="G2" s="1" t="s">
        <v>1962</v>
      </c>
      <c r="H2" s="1" t="s">
        <v>1963</v>
      </c>
      <c r="I2" s="1" t="s">
        <v>933</v>
      </c>
      <c r="J2" s="1" t="s">
        <v>1964</v>
      </c>
      <c r="K2" s="1" t="s">
        <v>1074</v>
      </c>
      <c r="L2" s="1" t="s">
        <v>1965</v>
      </c>
      <c r="M2" s="1" t="s">
        <v>1966</v>
      </c>
      <c r="N2" s="3" t="s">
        <v>24</v>
      </c>
      <c r="O2" s="2" t="s">
        <v>935</v>
      </c>
      <c r="P2" s="12">
        <v>46001</v>
      </c>
    </row>
    <row r="3" spans="1:22" ht="120">
      <c r="A3" s="68">
        <v>2</v>
      </c>
      <c r="B3" s="68" t="s">
        <v>1967</v>
      </c>
      <c r="C3" s="69" t="s">
        <v>2750</v>
      </c>
      <c r="D3" s="70">
        <v>46010</v>
      </c>
      <c r="E3" s="68" t="s">
        <v>30</v>
      </c>
      <c r="F3" s="68" t="s">
        <v>22</v>
      </c>
      <c r="G3" s="68" t="s">
        <v>1962</v>
      </c>
      <c r="H3" s="68" t="s">
        <v>1973</v>
      </c>
      <c r="I3" s="68" t="s">
        <v>933</v>
      </c>
      <c r="J3" s="68" t="s">
        <v>1968</v>
      </c>
      <c r="K3" s="68" t="s">
        <v>1969</v>
      </c>
      <c r="L3" s="68" t="s">
        <v>1645</v>
      </c>
      <c r="M3" s="68" t="s">
        <v>1970</v>
      </c>
      <c r="N3" s="68" t="s">
        <v>24</v>
      </c>
      <c r="O3" s="71" t="s">
        <v>935</v>
      </c>
      <c r="P3" s="72">
        <v>46001</v>
      </c>
      <c r="Q3" s="68" t="s">
        <v>3159</v>
      </c>
      <c r="R3" s="68" t="s">
        <v>1220</v>
      </c>
      <c r="S3" s="68" t="s">
        <v>5075</v>
      </c>
      <c r="T3" s="72" t="s">
        <v>5076</v>
      </c>
      <c r="U3" s="68" t="s">
        <v>5077</v>
      </c>
      <c r="V3" s="68"/>
    </row>
    <row r="4" spans="1:22" ht="135">
      <c r="A4" s="1">
        <v>3</v>
      </c>
      <c r="B4" s="1" t="s">
        <v>1971</v>
      </c>
      <c r="E4" s="1" t="s">
        <v>30</v>
      </c>
      <c r="F4" s="1" t="s">
        <v>22</v>
      </c>
      <c r="G4" s="1" t="s">
        <v>1962</v>
      </c>
      <c r="H4" s="1" t="s">
        <v>1972</v>
      </c>
      <c r="I4" s="1" t="s">
        <v>933</v>
      </c>
      <c r="J4" s="1" t="s">
        <v>1974</v>
      </c>
      <c r="K4" s="1" t="s">
        <v>255</v>
      </c>
      <c r="L4" s="1" t="s">
        <v>1649</v>
      </c>
      <c r="M4" s="1" t="s">
        <v>1524</v>
      </c>
      <c r="N4" s="3" t="s">
        <v>274</v>
      </c>
      <c r="O4" s="2" t="s">
        <v>935</v>
      </c>
      <c r="P4" s="12">
        <v>46002</v>
      </c>
    </row>
    <row r="5" spans="1:22" ht="180">
      <c r="A5" s="68">
        <v>4</v>
      </c>
      <c r="B5" s="68" t="s">
        <v>1975</v>
      </c>
      <c r="C5" s="69" t="s">
        <v>2751</v>
      </c>
      <c r="D5" s="70">
        <v>46010</v>
      </c>
      <c r="E5" s="68" t="s">
        <v>30</v>
      </c>
      <c r="F5" s="68" t="s">
        <v>22</v>
      </c>
      <c r="G5" s="68" t="s">
        <v>1962</v>
      </c>
      <c r="H5" s="68" t="s">
        <v>1976</v>
      </c>
      <c r="I5" s="68" t="s">
        <v>933</v>
      </c>
      <c r="J5" s="68" t="s">
        <v>1977</v>
      </c>
      <c r="K5" s="68" t="s">
        <v>1905</v>
      </c>
      <c r="L5" s="68" t="s">
        <v>1978</v>
      </c>
      <c r="M5" s="68" t="s">
        <v>2748</v>
      </c>
      <c r="N5" s="68" t="s">
        <v>24</v>
      </c>
      <c r="O5" s="71" t="s">
        <v>935</v>
      </c>
      <c r="P5" s="72">
        <v>46002</v>
      </c>
      <c r="Q5" s="68" t="s">
        <v>3159</v>
      </c>
      <c r="R5" s="68" t="s">
        <v>1220</v>
      </c>
      <c r="S5" s="68" t="s">
        <v>4534</v>
      </c>
      <c r="T5" s="72" t="s">
        <v>4570</v>
      </c>
      <c r="U5" s="68"/>
      <c r="V5" s="68"/>
    </row>
    <row r="6" spans="1:22" ht="120">
      <c r="A6" s="68">
        <v>5</v>
      </c>
      <c r="B6" s="68" t="s">
        <v>1979</v>
      </c>
      <c r="C6" s="69" t="s">
        <v>2752</v>
      </c>
      <c r="D6" s="70">
        <v>46010</v>
      </c>
      <c r="E6" s="68" t="s">
        <v>30</v>
      </c>
      <c r="F6" s="68" t="s">
        <v>22</v>
      </c>
      <c r="G6" s="68" t="s">
        <v>1962</v>
      </c>
      <c r="H6" s="68" t="s">
        <v>1980</v>
      </c>
      <c r="I6" s="68" t="s">
        <v>933</v>
      </c>
      <c r="J6" s="68" t="s">
        <v>1981</v>
      </c>
      <c r="K6" s="68" t="s">
        <v>1665</v>
      </c>
      <c r="L6" s="68" t="s">
        <v>1982</v>
      </c>
      <c r="M6" s="68" t="s">
        <v>1983</v>
      </c>
      <c r="N6" s="68" t="s">
        <v>24</v>
      </c>
      <c r="O6" s="71" t="s">
        <v>935</v>
      </c>
      <c r="P6" s="72">
        <v>46002</v>
      </c>
      <c r="Q6" s="68" t="s">
        <v>3159</v>
      </c>
      <c r="R6" s="68" t="s">
        <v>1220</v>
      </c>
      <c r="S6" s="68" t="s">
        <v>4534</v>
      </c>
      <c r="T6" s="72" t="s">
        <v>4570</v>
      </c>
      <c r="U6" s="68"/>
      <c r="V6" s="68"/>
    </row>
    <row r="7" spans="1:22" ht="150">
      <c r="A7" s="68">
        <v>6</v>
      </c>
      <c r="B7" s="68" t="s">
        <v>1984</v>
      </c>
      <c r="C7" s="69" t="s">
        <v>2753</v>
      </c>
      <c r="D7" s="70">
        <v>46010</v>
      </c>
      <c r="E7" s="68" t="s">
        <v>30</v>
      </c>
      <c r="F7" s="68" t="s">
        <v>22</v>
      </c>
      <c r="G7" s="68" t="s">
        <v>1962</v>
      </c>
      <c r="H7" s="68" t="s">
        <v>1985</v>
      </c>
      <c r="I7" s="68" t="s">
        <v>933</v>
      </c>
      <c r="J7" s="68" t="s">
        <v>1986</v>
      </c>
      <c r="K7" s="68" t="s">
        <v>1672</v>
      </c>
      <c r="L7" s="68" t="s">
        <v>5074</v>
      </c>
      <c r="M7" s="68" t="s">
        <v>5073</v>
      </c>
      <c r="N7" s="68" t="s">
        <v>24</v>
      </c>
      <c r="O7" s="71" t="s">
        <v>935</v>
      </c>
      <c r="P7" s="72">
        <v>46002</v>
      </c>
      <c r="Q7" s="68" t="s">
        <v>3159</v>
      </c>
      <c r="R7" s="68" t="s">
        <v>1220</v>
      </c>
      <c r="S7" s="68" t="s">
        <v>4534</v>
      </c>
      <c r="T7" s="72" t="s">
        <v>4570</v>
      </c>
      <c r="U7" s="68"/>
      <c r="V7" s="68"/>
    </row>
    <row r="8" spans="1:22" ht="90">
      <c r="A8" s="1">
        <v>7</v>
      </c>
      <c r="B8" s="1" t="s">
        <v>1987</v>
      </c>
      <c r="E8" s="1" t="s">
        <v>30</v>
      </c>
      <c r="F8" s="1" t="s">
        <v>22</v>
      </c>
      <c r="G8" s="1" t="s">
        <v>1962</v>
      </c>
      <c r="H8" s="1" t="s">
        <v>1988</v>
      </c>
      <c r="I8" s="1" t="s">
        <v>933</v>
      </c>
      <c r="J8" s="1" t="s">
        <v>1989</v>
      </c>
      <c r="K8" s="1" t="s">
        <v>1990</v>
      </c>
      <c r="L8" s="1" t="s">
        <v>1991</v>
      </c>
      <c r="M8" s="1" t="s">
        <v>258</v>
      </c>
      <c r="N8" s="3" t="s">
        <v>24</v>
      </c>
      <c r="O8" s="2" t="s">
        <v>935</v>
      </c>
      <c r="P8" s="12">
        <v>46002</v>
      </c>
    </row>
    <row r="9" spans="1:22" ht="120">
      <c r="A9" s="1">
        <v>8</v>
      </c>
      <c r="B9" s="1" t="s">
        <v>1992</v>
      </c>
      <c r="E9" s="1" t="s">
        <v>30</v>
      </c>
      <c r="F9" s="1" t="s">
        <v>22</v>
      </c>
      <c r="G9" s="1" t="s">
        <v>1962</v>
      </c>
      <c r="H9" s="1" t="s">
        <v>1993</v>
      </c>
      <c r="I9" s="1" t="s">
        <v>933</v>
      </c>
      <c r="J9" s="1" t="s">
        <v>1994</v>
      </c>
      <c r="K9" s="1" t="s">
        <v>866</v>
      </c>
      <c r="L9" s="1" t="s">
        <v>1835</v>
      </c>
      <c r="M9" s="1" t="s">
        <v>1588</v>
      </c>
      <c r="N9" s="3" t="s">
        <v>24</v>
      </c>
      <c r="O9" s="2" t="s">
        <v>935</v>
      </c>
      <c r="P9" s="12">
        <v>46002</v>
      </c>
    </row>
    <row r="10" spans="1:22" ht="105">
      <c r="A10" s="68">
        <v>9</v>
      </c>
      <c r="B10" s="68" t="s">
        <v>1995</v>
      </c>
      <c r="C10" s="69" t="s">
        <v>2754</v>
      </c>
      <c r="D10" s="70">
        <v>46010</v>
      </c>
      <c r="E10" s="68" t="s">
        <v>30</v>
      </c>
      <c r="F10" s="68" t="s">
        <v>22</v>
      </c>
      <c r="G10" s="68" t="s">
        <v>1962</v>
      </c>
      <c r="H10" s="68" t="s">
        <v>1996</v>
      </c>
      <c r="I10" s="68" t="s">
        <v>933</v>
      </c>
      <c r="J10" s="68" t="s">
        <v>2087</v>
      </c>
      <c r="K10" s="68" t="s">
        <v>1700</v>
      </c>
      <c r="L10" s="68" t="s">
        <v>1997</v>
      </c>
      <c r="M10" s="68" t="s">
        <v>1998</v>
      </c>
      <c r="N10" s="68" t="s">
        <v>24</v>
      </c>
      <c r="O10" s="71" t="s">
        <v>935</v>
      </c>
      <c r="P10" s="72">
        <v>46002</v>
      </c>
      <c r="Q10" s="68" t="s">
        <v>3159</v>
      </c>
      <c r="R10" s="68" t="s">
        <v>1220</v>
      </c>
      <c r="S10" s="68" t="s">
        <v>4534</v>
      </c>
      <c r="T10" s="72" t="s">
        <v>4570</v>
      </c>
      <c r="U10" s="68"/>
      <c r="V10" s="68"/>
    </row>
    <row r="11" spans="1:22" ht="120">
      <c r="A11" s="1">
        <v>10</v>
      </c>
      <c r="B11" s="1" t="s">
        <v>1999</v>
      </c>
      <c r="E11" s="1" t="s">
        <v>30</v>
      </c>
      <c r="F11" s="1" t="s">
        <v>22</v>
      </c>
      <c r="G11" s="1" t="s">
        <v>1962</v>
      </c>
      <c r="H11" s="1" t="s">
        <v>2000</v>
      </c>
      <c r="I11" s="1" t="s">
        <v>933</v>
      </c>
      <c r="J11" s="1" t="s">
        <v>2001</v>
      </c>
      <c r="K11" s="1" t="s">
        <v>1024</v>
      </c>
      <c r="L11" s="1" t="s">
        <v>882</v>
      </c>
      <c r="M11" s="1" t="s">
        <v>1773</v>
      </c>
      <c r="N11" s="3" t="s">
        <v>24</v>
      </c>
      <c r="O11" s="2" t="s">
        <v>935</v>
      </c>
      <c r="P11" s="12">
        <v>46002</v>
      </c>
    </row>
    <row r="12" spans="1:22" ht="150">
      <c r="A12" s="68">
        <v>11</v>
      </c>
      <c r="B12" s="68" t="s">
        <v>2002</v>
      </c>
      <c r="C12" s="69" t="s">
        <v>4568</v>
      </c>
      <c r="D12" s="70">
        <v>46010</v>
      </c>
      <c r="E12" s="68" t="s">
        <v>30</v>
      </c>
      <c r="F12" s="68" t="s">
        <v>22</v>
      </c>
      <c r="G12" s="68" t="s">
        <v>1962</v>
      </c>
      <c r="H12" s="68" t="s">
        <v>2003</v>
      </c>
      <c r="I12" s="68" t="s">
        <v>933</v>
      </c>
      <c r="J12" s="68" t="s">
        <v>2004</v>
      </c>
      <c r="K12" s="68" t="s">
        <v>890</v>
      </c>
      <c r="L12" s="68" t="s">
        <v>2005</v>
      </c>
      <c r="M12" s="68" t="s">
        <v>2749</v>
      </c>
      <c r="N12" s="68" t="s">
        <v>24</v>
      </c>
      <c r="O12" s="71" t="s">
        <v>935</v>
      </c>
      <c r="P12" s="72">
        <v>46002</v>
      </c>
      <c r="Q12" s="68" t="s">
        <v>3159</v>
      </c>
      <c r="R12" s="68" t="s">
        <v>1220</v>
      </c>
      <c r="S12" s="68" t="s">
        <v>4534</v>
      </c>
      <c r="T12" s="72" t="s">
        <v>4570</v>
      </c>
      <c r="U12" s="68"/>
      <c r="V12" s="68"/>
    </row>
    <row r="13" spans="1:22" ht="90">
      <c r="A13" s="1">
        <v>12</v>
      </c>
      <c r="B13" s="1" t="s">
        <v>2009</v>
      </c>
      <c r="E13" s="1" t="s">
        <v>30</v>
      </c>
      <c r="F13" s="1" t="s">
        <v>22</v>
      </c>
      <c r="G13" s="1" t="s">
        <v>1962</v>
      </c>
      <c r="H13" s="1" t="s">
        <v>2006</v>
      </c>
      <c r="I13" s="1" t="s">
        <v>933</v>
      </c>
      <c r="J13" s="1" t="s">
        <v>2007</v>
      </c>
      <c r="K13" s="1" t="s">
        <v>255</v>
      </c>
      <c r="L13" s="1" t="s">
        <v>2008</v>
      </c>
      <c r="M13" s="1" t="s">
        <v>6061</v>
      </c>
      <c r="N13" s="3" t="s">
        <v>274</v>
      </c>
      <c r="O13" s="2" t="s">
        <v>935</v>
      </c>
      <c r="P13" s="12">
        <v>46002</v>
      </c>
    </row>
    <row r="14" spans="1:22" ht="90">
      <c r="A14" s="1">
        <v>13</v>
      </c>
      <c r="B14" s="1" t="s">
        <v>2012</v>
      </c>
      <c r="E14" s="1" t="s">
        <v>30</v>
      </c>
      <c r="F14" s="1" t="s">
        <v>22</v>
      </c>
      <c r="G14" s="1" t="s">
        <v>1962</v>
      </c>
      <c r="H14" s="1" t="s">
        <v>2010</v>
      </c>
      <c r="I14" s="1" t="s">
        <v>933</v>
      </c>
      <c r="J14" s="1" t="s">
        <v>2011</v>
      </c>
      <c r="K14" s="1" t="s">
        <v>255</v>
      </c>
      <c r="L14" s="1" t="s">
        <v>1262</v>
      </c>
      <c r="M14" s="1" t="s">
        <v>1857</v>
      </c>
      <c r="N14" s="3" t="s">
        <v>24</v>
      </c>
      <c r="O14" s="2" t="s">
        <v>935</v>
      </c>
      <c r="P14" s="12">
        <v>46002</v>
      </c>
    </row>
    <row r="15" spans="1:22" ht="120">
      <c r="A15" s="1">
        <v>14</v>
      </c>
      <c r="B15" s="1" t="s">
        <v>2013</v>
      </c>
      <c r="E15" s="1" t="s">
        <v>30</v>
      </c>
      <c r="F15" s="1" t="s">
        <v>22</v>
      </c>
      <c r="G15" s="1" t="s">
        <v>1962</v>
      </c>
      <c r="H15" s="1" t="s">
        <v>2014</v>
      </c>
      <c r="I15" s="1" t="s">
        <v>933</v>
      </c>
      <c r="J15" s="1" t="s">
        <v>2015</v>
      </c>
      <c r="K15" s="1" t="s">
        <v>255</v>
      </c>
      <c r="L15" s="1" t="s">
        <v>1862</v>
      </c>
      <c r="M15" s="1" t="s">
        <v>2016</v>
      </c>
      <c r="N15" s="3" t="s">
        <v>274</v>
      </c>
      <c r="O15" s="2" t="s">
        <v>935</v>
      </c>
      <c r="P15" s="12">
        <v>46002</v>
      </c>
    </row>
    <row r="16" spans="1:22" ht="90">
      <c r="A16" s="1">
        <v>15</v>
      </c>
      <c r="B16" s="1" t="s">
        <v>2017</v>
      </c>
      <c r="E16" s="1" t="s">
        <v>30</v>
      </c>
      <c r="F16" s="1" t="s">
        <v>22</v>
      </c>
      <c r="G16" s="1" t="s">
        <v>1962</v>
      </c>
      <c r="H16" s="1" t="s">
        <v>2018</v>
      </c>
      <c r="I16" s="1" t="s">
        <v>933</v>
      </c>
      <c r="J16" s="1" t="s">
        <v>2111</v>
      </c>
      <c r="K16" s="1" t="s">
        <v>255</v>
      </c>
      <c r="L16" s="1" t="s">
        <v>918</v>
      </c>
      <c r="M16" s="1" t="s">
        <v>6072</v>
      </c>
      <c r="N16" s="3" t="s">
        <v>274</v>
      </c>
      <c r="O16" s="2" t="s">
        <v>935</v>
      </c>
      <c r="P16" s="12">
        <v>46002</v>
      </c>
    </row>
  </sheetData>
  <autoFilter ref="A1:V16">
    <filterColumn colId="13"/>
  </autoFilter>
  <hyperlinks>
    <hyperlink ref="C3" r:id="rId1" display="https://hanssupport.atlassian.net/browse/BA-302"/>
    <hyperlink ref="C5" r:id="rId2" display="https://hanssupport.atlassian.net/browse/BA-303"/>
    <hyperlink ref="C6" r:id="rId3" display="https://hanssupport.atlassian.net/browse/BA-304"/>
    <hyperlink ref="C7" r:id="rId4" display="https://hanssupport.atlassian.net/browse/BA-305"/>
    <hyperlink ref="C10" r:id="rId5" display="https://hanssupport.atlassian.net/browse/BA-306"/>
    <hyperlink ref="C12" r:id="rId6" display="https://hanssupport.atlassian.net/browse/BA-442"/>
  </hyperlinks>
  <pageMargins left="0.7" right="0.7" top="0.75" bottom="0.75" header="0.3" footer="0.3"/>
  <pageSetup paperSize="9" orientation="portrait" verticalDpi="0" r:id="rId7"/>
</worksheet>
</file>

<file path=xl/worksheets/sheet29.xml><?xml version="1.0" encoding="utf-8"?>
<worksheet xmlns="http://schemas.openxmlformats.org/spreadsheetml/2006/main" xmlns:r="http://schemas.openxmlformats.org/officeDocument/2006/relationships">
  <dimension ref="A1:V24"/>
  <sheetViews>
    <sheetView topLeftCell="J1" workbookViewId="0">
      <pane ySplit="1" topLeftCell="A21" activePane="bottomLeft" state="frozen"/>
      <selection pane="bottomLeft" activeCell="M24" sqref="M24"/>
    </sheetView>
  </sheetViews>
  <sheetFormatPr defaultRowHeight="15"/>
  <cols>
    <col min="1" max="1" width="10.28515625" style="45" customWidth="1"/>
    <col min="2" max="2" width="18.140625" style="45" customWidth="1"/>
    <col min="3" max="3" width="12.140625" style="45" customWidth="1"/>
    <col min="4" max="4" width="20.28515625" style="45" customWidth="1"/>
    <col min="5" max="5" width="15.42578125" style="45" customWidth="1"/>
    <col min="6" max="6" width="14.7109375" style="45" customWidth="1"/>
    <col min="7" max="7" width="28" style="45" customWidth="1"/>
    <col min="8" max="8" width="61.28515625" style="45" customWidth="1"/>
    <col min="9" max="9" width="43.7109375" style="45" customWidth="1"/>
    <col min="10" max="10" width="62.85546875" style="45" customWidth="1"/>
    <col min="11" max="11" width="32.7109375" style="45" customWidth="1"/>
    <col min="12" max="12" width="58" style="45" customWidth="1"/>
    <col min="13" max="13" width="48.85546875" style="45" customWidth="1"/>
    <col min="14" max="14" width="14.5703125" style="45" customWidth="1"/>
    <col min="15" max="15" width="34.7109375" style="45" customWidth="1"/>
    <col min="16" max="16" width="20.7109375" style="45" customWidth="1"/>
    <col min="17" max="17" width="17.42578125" style="45" customWidth="1"/>
    <col min="18" max="19" width="17.5703125" style="45" customWidth="1"/>
    <col min="20" max="20" width="23.42578125" style="45" customWidth="1"/>
    <col min="21" max="21" width="26.28515625" style="45" customWidth="1"/>
    <col min="22" max="22" width="19"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2019</v>
      </c>
      <c r="C2" s="1"/>
      <c r="D2" s="1"/>
      <c r="E2" s="1" t="s">
        <v>30</v>
      </c>
      <c r="F2" s="1" t="s">
        <v>22</v>
      </c>
      <c r="G2" s="1" t="s">
        <v>2020</v>
      </c>
      <c r="H2" s="1" t="s">
        <v>2021</v>
      </c>
      <c r="I2" s="1" t="s">
        <v>933</v>
      </c>
      <c r="J2" s="1" t="s">
        <v>2022</v>
      </c>
      <c r="K2" s="1" t="s">
        <v>1074</v>
      </c>
      <c r="L2" s="1" t="s">
        <v>2023</v>
      </c>
      <c r="M2" s="1" t="s">
        <v>2024</v>
      </c>
      <c r="N2" s="3" t="s">
        <v>24</v>
      </c>
      <c r="O2" s="2" t="s">
        <v>935</v>
      </c>
      <c r="P2" s="12">
        <v>46002</v>
      </c>
      <c r="Q2" s="1"/>
      <c r="R2" s="1"/>
      <c r="S2" s="1"/>
      <c r="T2" s="1"/>
      <c r="U2" s="1"/>
      <c r="V2" s="1"/>
    </row>
    <row r="3" spans="1:22" ht="120">
      <c r="A3" s="68">
        <v>2</v>
      </c>
      <c r="B3" s="68" t="s">
        <v>2025</v>
      </c>
      <c r="C3" s="69" t="s">
        <v>2756</v>
      </c>
      <c r="D3" s="70">
        <v>46010</v>
      </c>
      <c r="E3" s="68" t="s">
        <v>30</v>
      </c>
      <c r="F3" s="68" t="s">
        <v>22</v>
      </c>
      <c r="G3" s="68" t="s">
        <v>2020</v>
      </c>
      <c r="H3" s="68" t="s">
        <v>2026</v>
      </c>
      <c r="I3" s="68" t="s">
        <v>933</v>
      </c>
      <c r="J3" s="68" t="s">
        <v>2028</v>
      </c>
      <c r="K3" s="68" t="s">
        <v>2027</v>
      </c>
      <c r="L3" s="68" t="s">
        <v>1645</v>
      </c>
      <c r="M3" s="68" t="s">
        <v>2029</v>
      </c>
      <c r="N3" s="68" t="s">
        <v>24</v>
      </c>
      <c r="O3" s="71" t="s">
        <v>935</v>
      </c>
      <c r="P3" s="72">
        <v>46002</v>
      </c>
      <c r="Q3" s="68" t="s">
        <v>3159</v>
      </c>
      <c r="R3" s="68" t="s">
        <v>1220</v>
      </c>
      <c r="S3" s="68" t="s">
        <v>5667</v>
      </c>
      <c r="T3" s="72" t="s">
        <v>5666</v>
      </c>
      <c r="U3" s="84"/>
      <c r="V3" s="84"/>
    </row>
    <row r="4" spans="1:22" ht="135">
      <c r="A4" s="1">
        <v>3</v>
      </c>
      <c r="B4" s="1" t="s">
        <v>2030</v>
      </c>
      <c r="C4" s="1"/>
      <c r="D4" s="1"/>
      <c r="E4" s="1" t="s">
        <v>30</v>
      </c>
      <c r="F4" s="1" t="s">
        <v>22</v>
      </c>
      <c r="G4" s="1" t="s">
        <v>2020</v>
      </c>
      <c r="H4" s="1" t="s">
        <v>2031</v>
      </c>
      <c r="I4" s="1" t="s">
        <v>933</v>
      </c>
      <c r="J4" s="1" t="s">
        <v>2032</v>
      </c>
      <c r="K4" s="1" t="s">
        <v>255</v>
      </c>
      <c r="L4" s="1" t="s">
        <v>1649</v>
      </c>
      <c r="M4" s="1" t="s">
        <v>1524</v>
      </c>
      <c r="N4" s="3" t="s">
        <v>274</v>
      </c>
      <c r="O4" s="2" t="s">
        <v>935</v>
      </c>
      <c r="P4" s="12">
        <v>46002</v>
      </c>
    </row>
    <row r="5" spans="1:22" ht="165">
      <c r="A5" s="68">
        <v>4</v>
      </c>
      <c r="B5" s="68" t="s">
        <v>2033</v>
      </c>
      <c r="C5" s="69" t="s">
        <v>2757</v>
      </c>
      <c r="D5" s="70">
        <v>46010</v>
      </c>
      <c r="E5" s="68" t="s">
        <v>30</v>
      </c>
      <c r="F5" s="68" t="s">
        <v>22</v>
      </c>
      <c r="G5" s="68" t="s">
        <v>2020</v>
      </c>
      <c r="H5" s="68" t="s">
        <v>2034</v>
      </c>
      <c r="I5" s="68" t="s">
        <v>933</v>
      </c>
      <c r="J5" s="68" t="s">
        <v>2035</v>
      </c>
      <c r="K5" s="68" t="s">
        <v>1905</v>
      </c>
      <c r="L5" s="68" t="s">
        <v>2036</v>
      </c>
      <c r="M5" s="68" t="s">
        <v>2037</v>
      </c>
      <c r="N5" s="68" t="s">
        <v>24</v>
      </c>
      <c r="O5" s="71" t="s">
        <v>935</v>
      </c>
      <c r="P5" s="72">
        <v>46002</v>
      </c>
      <c r="Q5" s="68" t="s">
        <v>3159</v>
      </c>
      <c r="R5" s="68" t="s">
        <v>1220</v>
      </c>
      <c r="S5" s="68" t="s">
        <v>5667</v>
      </c>
      <c r="T5" s="72" t="s">
        <v>5666</v>
      </c>
      <c r="U5" s="84"/>
      <c r="V5" s="84"/>
    </row>
    <row r="6" spans="1:22" ht="195">
      <c r="A6" s="68">
        <v>5</v>
      </c>
      <c r="B6" s="68" t="s">
        <v>2038</v>
      </c>
      <c r="C6" s="69" t="s">
        <v>2758</v>
      </c>
      <c r="D6" s="70">
        <v>46010</v>
      </c>
      <c r="E6" s="68" t="s">
        <v>30</v>
      </c>
      <c r="F6" s="68" t="s">
        <v>22</v>
      </c>
      <c r="G6" s="68" t="s">
        <v>2020</v>
      </c>
      <c r="H6" s="68" t="s">
        <v>2039</v>
      </c>
      <c r="I6" s="68" t="s">
        <v>933</v>
      </c>
      <c r="J6" s="68" t="s">
        <v>2040</v>
      </c>
      <c r="K6" s="68" t="s">
        <v>1672</v>
      </c>
      <c r="L6" s="68" t="s">
        <v>2041</v>
      </c>
      <c r="M6" s="68" t="s">
        <v>2042</v>
      </c>
      <c r="N6" s="68" t="s">
        <v>24</v>
      </c>
      <c r="O6" s="71" t="s">
        <v>935</v>
      </c>
      <c r="P6" s="72">
        <v>46002</v>
      </c>
      <c r="Q6" s="68" t="s">
        <v>3159</v>
      </c>
      <c r="R6" s="68" t="s">
        <v>1220</v>
      </c>
      <c r="S6" s="68" t="s">
        <v>5667</v>
      </c>
      <c r="T6" s="72" t="s">
        <v>5666</v>
      </c>
      <c r="U6" s="84"/>
      <c r="V6" s="84"/>
    </row>
    <row r="7" spans="1:22" ht="90">
      <c r="A7" s="1">
        <v>6</v>
      </c>
      <c r="B7" s="1" t="s">
        <v>2043</v>
      </c>
      <c r="C7" s="1"/>
      <c r="D7" s="1"/>
      <c r="E7" s="1" t="s">
        <v>30</v>
      </c>
      <c r="F7" s="1" t="s">
        <v>22</v>
      </c>
      <c r="G7" s="1" t="s">
        <v>2020</v>
      </c>
      <c r="H7" s="1" t="s">
        <v>2044</v>
      </c>
      <c r="I7" s="1" t="s">
        <v>933</v>
      </c>
      <c r="J7" s="1" t="s">
        <v>2045</v>
      </c>
      <c r="K7" s="1" t="s">
        <v>1211</v>
      </c>
      <c r="L7" s="1" t="s">
        <v>1213</v>
      </c>
      <c r="M7" s="1" t="s">
        <v>258</v>
      </c>
      <c r="N7" s="3" t="s">
        <v>24</v>
      </c>
      <c r="O7" s="2" t="s">
        <v>935</v>
      </c>
      <c r="P7" s="12">
        <v>46002</v>
      </c>
    </row>
    <row r="8" spans="1:22" ht="90">
      <c r="A8" s="1">
        <v>7</v>
      </c>
      <c r="B8" s="1" t="s">
        <v>2046</v>
      </c>
      <c r="C8" s="1"/>
      <c r="D8" s="1"/>
      <c r="E8" s="1" t="s">
        <v>30</v>
      </c>
      <c r="F8" s="1" t="s">
        <v>22</v>
      </c>
      <c r="G8" s="1" t="s">
        <v>2020</v>
      </c>
      <c r="H8" s="1" t="s">
        <v>2047</v>
      </c>
      <c r="I8" s="1" t="s">
        <v>933</v>
      </c>
      <c r="J8" s="1" t="s">
        <v>2045</v>
      </c>
      <c r="K8" s="1" t="s">
        <v>2048</v>
      </c>
      <c r="L8" s="1" t="s">
        <v>2049</v>
      </c>
      <c r="M8" s="1" t="s">
        <v>258</v>
      </c>
      <c r="N8" s="3" t="s">
        <v>24</v>
      </c>
      <c r="O8" s="2" t="s">
        <v>935</v>
      </c>
      <c r="P8" s="12">
        <v>46002</v>
      </c>
    </row>
    <row r="9" spans="1:22" ht="90">
      <c r="A9" s="1">
        <v>8</v>
      </c>
      <c r="B9" s="1" t="s">
        <v>2050</v>
      </c>
      <c r="C9" s="1"/>
      <c r="D9" s="1"/>
      <c r="E9" s="1" t="s">
        <v>30</v>
      </c>
      <c r="F9" s="1" t="s">
        <v>22</v>
      </c>
      <c r="G9" s="1" t="s">
        <v>2020</v>
      </c>
      <c r="H9" s="1" t="s">
        <v>2051</v>
      </c>
      <c r="I9" s="1" t="s">
        <v>933</v>
      </c>
      <c r="J9" s="1" t="s">
        <v>2052</v>
      </c>
      <c r="K9" s="1" t="s">
        <v>2057</v>
      </c>
      <c r="L9" s="1" t="s">
        <v>2053</v>
      </c>
      <c r="M9" s="1" t="s">
        <v>258</v>
      </c>
      <c r="N9" s="3" t="s">
        <v>24</v>
      </c>
      <c r="O9" s="2" t="s">
        <v>935</v>
      </c>
      <c r="P9" s="12">
        <v>46002</v>
      </c>
    </row>
    <row r="10" spans="1:22" ht="90">
      <c r="A10" s="68">
        <v>9</v>
      </c>
      <c r="B10" s="68" t="s">
        <v>2054</v>
      </c>
      <c r="C10" s="69" t="s">
        <v>2759</v>
      </c>
      <c r="D10" s="70">
        <v>46010</v>
      </c>
      <c r="E10" s="68" t="s">
        <v>30</v>
      </c>
      <c r="F10" s="68" t="s">
        <v>22</v>
      </c>
      <c r="G10" s="68" t="s">
        <v>2020</v>
      </c>
      <c r="H10" s="68" t="s">
        <v>2055</v>
      </c>
      <c r="I10" s="68" t="s">
        <v>933</v>
      </c>
      <c r="J10" s="68" t="s">
        <v>2056</v>
      </c>
      <c r="K10" s="68" t="s">
        <v>2058</v>
      </c>
      <c r="L10" s="68" t="s">
        <v>2059</v>
      </c>
      <c r="M10" s="68" t="s">
        <v>2060</v>
      </c>
      <c r="N10" s="68" t="s">
        <v>24</v>
      </c>
      <c r="O10" s="71" t="s">
        <v>935</v>
      </c>
      <c r="P10" s="72">
        <v>46002</v>
      </c>
      <c r="Q10" s="68" t="s">
        <v>3159</v>
      </c>
      <c r="R10" s="68" t="s">
        <v>1220</v>
      </c>
      <c r="S10" s="68" t="s">
        <v>5667</v>
      </c>
      <c r="T10" s="72" t="s">
        <v>5666</v>
      </c>
      <c r="U10" s="84"/>
      <c r="V10" s="84"/>
    </row>
    <row r="11" spans="1:22" ht="90">
      <c r="A11" s="1">
        <v>10</v>
      </c>
      <c r="B11" s="1" t="s">
        <v>2061</v>
      </c>
      <c r="C11" s="1"/>
      <c r="D11" s="1"/>
      <c r="E11" s="1" t="s">
        <v>30</v>
      </c>
      <c r="F11" s="1" t="s">
        <v>22</v>
      </c>
      <c r="G11" s="1" t="s">
        <v>2020</v>
      </c>
      <c r="H11" s="1" t="s">
        <v>2062</v>
      </c>
      <c r="I11" s="1" t="s">
        <v>933</v>
      </c>
      <c r="J11" s="1" t="s">
        <v>2063</v>
      </c>
      <c r="K11" s="1" t="s">
        <v>2064</v>
      </c>
      <c r="L11" s="1" t="s">
        <v>2065</v>
      </c>
      <c r="M11" s="1" t="s">
        <v>258</v>
      </c>
      <c r="N11" s="3" t="s">
        <v>24</v>
      </c>
      <c r="O11" s="2" t="s">
        <v>935</v>
      </c>
      <c r="P11" s="12">
        <v>46002</v>
      </c>
    </row>
    <row r="12" spans="1:22" ht="90">
      <c r="A12" s="1">
        <v>11</v>
      </c>
      <c r="B12" s="1" t="s">
        <v>2066</v>
      </c>
      <c r="C12" s="1"/>
      <c r="D12" s="1"/>
      <c r="E12" s="1" t="s">
        <v>30</v>
      </c>
      <c r="F12" s="1" t="s">
        <v>22</v>
      </c>
      <c r="G12" s="1" t="s">
        <v>2020</v>
      </c>
      <c r="H12" s="1" t="s">
        <v>2067</v>
      </c>
      <c r="I12" s="1" t="s">
        <v>933</v>
      </c>
      <c r="J12" s="1" t="s">
        <v>2068</v>
      </c>
      <c r="K12" s="1" t="s">
        <v>2069</v>
      </c>
      <c r="L12" s="1" t="s">
        <v>2070</v>
      </c>
      <c r="M12" s="1" t="s">
        <v>258</v>
      </c>
      <c r="N12" s="3" t="s">
        <v>24</v>
      </c>
      <c r="O12" s="2" t="s">
        <v>935</v>
      </c>
      <c r="P12" s="12">
        <v>46002</v>
      </c>
    </row>
    <row r="13" spans="1:22" ht="90">
      <c r="A13" s="1">
        <v>12</v>
      </c>
      <c r="B13" s="1" t="s">
        <v>2071</v>
      </c>
      <c r="C13" s="1"/>
      <c r="D13" s="1"/>
      <c r="E13" s="1" t="s">
        <v>30</v>
      </c>
      <c r="F13" s="1" t="s">
        <v>22</v>
      </c>
      <c r="G13" s="1" t="s">
        <v>2020</v>
      </c>
      <c r="H13" s="1" t="s">
        <v>2072</v>
      </c>
      <c r="I13" s="1" t="s">
        <v>933</v>
      </c>
      <c r="J13" s="1" t="s">
        <v>2073</v>
      </c>
      <c r="K13" s="1" t="s">
        <v>2074</v>
      </c>
      <c r="L13" s="1" t="s">
        <v>1831</v>
      </c>
      <c r="M13" s="1" t="s">
        <v>1832</v>
      </c>
      <c r="N13" s="3" t="s">
        <v>24</v>
      </c>
      <c r="O13" s="2" t="s">
        <v>935</v>
      </c>
      <c r="P13" s="12">
        <v>46002</v>
      </c>
    </row>
    <row r="14" spans="1:22" ht="120">
      <c r="A14" s="1">
        <v>13</v>
      </c>
      <c r="B14" s="1" t="s">
        <v>2075</v>
      </c>
      <c r="C14" s="1"/>
      <c r="D14" s="1"/>
      <c r="E14" s="1" t="s">
        <v>30</v>
      </c>
      <c r="F14" s="1" t="s">
        <v>22</v>
      </c>
      <c r="G14" s="1" t="s">
        <v>2020</v>
      </c>
      <c r="H14" s="1" t="s">
        <v>2076</v>
      </c>
      <c r="I14" s="1" t="s">
        <v>933</v>
      </c>
      <c r="J14" s="1" t="s">
        <v>2077</v>
      </c>
      <c r="K14" s="1" t="s">
        <v>866</v>
      </c>
      <c r="L14" s="1" t="s">
        <v>1835</v>
      </c>
      <c r="M14" s="1" t="s">
        <v>1588</v>
      </c>
      <c r="N14" s="3" t="s">
        <v>24</v>
      </c>
      <c r="O14" s="2" t="s">
        <v>935</v>
      </c>
      <c r="P14" s="12">
        <v>46002</v>
      </c>
    </row>
    <row r="15" spans="1:22" ht="120">
      <c r="A15" s="1">
        <v>14</v>
      </c>
      <c r="B15" s="1" t="s">
        <v>2078</v>
      </c>
      <c r="C15" s="1"/>
      <c r="D15" s="1"/>
      <c r="E15" s="1" t="s">
        <v>30</v>
      </c>
      <c r="F15" s="1" t="s">
        <v>22</v>
      </c>
      <c r="G15" s="1" t="s">
        <v>2020</v>
      </c>
      <c r="H15" s="1" t="s">
        <v>2079</v>
      </c>
      <c r="I15" s="1" t="s">
        <v>933</v>
      </c>
      <c r="J15" s="1" t="s">
        <v>2080</v>
      </c>
      <c r="K15" s="1" t="s">
        <v>1597</v>
      </c>
      <c r="L15" s="1" t="s">
        <v>1696</v>
      </c>
      <c r="M15" s="1" t="s">
        <v>2081</v>
      </c>
      <c r="N15" s="3" t="s">
        <v>24</v>
      </c>
      <c r="O15" s="2" t="s">
        <v>935</v>
      </c>
      <c r="P15" s="12">
        <v>46002</v>
      </c>
    </row>
    <row r="16" spans="1:22" ht="165">
      <c r="A16" s="1">
        <v>15</v>
      </c>
      <c r="B16" s="1" t="s">
        <v>2082</v>
      </c>
      <c r="C16" s="1"/>
      <c r="D16" s="1"/>
      <c r="E16" s="1" t="s">
        <v>30</v>
      </c>
      <c r="F16" s="1" t="s">
        <v>22</v>
      </c>
      <c r="G16" s="1" t="s">
        <v>2020</v>
      </c>
      <c r="H16" s="1" t="s">
        <v>2921</v>
      </c>
      <c r="I16" s="1" t="s">
        <v>933</v>
      </c>
      <c r="J16" s="1" t="s">
        <v>2923</v>
      </c>
      <c r="K16" s="1" t="s">
        <v>2083</v>
      </c>
      <c r="L16" s="1" t="s">
        <v>2084</v>
      </c>
      <c r="M16" s="30" t="s">
        <v>2761</v>
      </c>
      <c r="N16" s="3" t="s">
        <v>24</v>
      </c>
      <c r="O16" s="2" t="s">
        <v>935</v>
      </c>
      <c r="P16" s="12">
        <v>46002</v>
      </c>
    </row>
    <row r="17" spans="1:22" ht="90">
      <c r="A17" s="1">
        <v>16</v>
      </c>
      <c r="B17" s="1" t="s">
        <v>2085</v>
      </c>
      <c r="C17" s="1"/>
      <c r="D17" s="1"/>
      <c r="E17" s="1" t="s">
        <v>30</v>
      </c>
      <c r="F17" s="1" t="s">
        <v>22</v>
      </c>
      <c r="G17" s="1" t="s">
        <v>2020</v>
      </c>
      <c r="H17" s="1" t="s">
        <v>2086</v>
      </c>
      <c r="I17" s="1" t="s">
        <v>933</v>
      </c>
      <c r="J17" s="1" t="s">
        <v>2088</v>
      </c>
      <c r="K17" s="1" t="s">
        <v>1700</v>
      </c>
      <c r="L17" s="1" t="s">
        <v>2089</v>
      </c>
      <c r="M17" s="1" t="s">
        <v>2090</v>
      </c>
      <c r="N17" s="3" t="s">
        <v>24</v>
      </c>
      <c r="O17" s="2" t="s">
        <v>935</v>
      </c>
      <c r="P17" s="12">
        <v>46003</v>
      </c>
    </row>
    <row r="18" spans="1:22" ht="120">
      <c r="A18" s="1">
        <v>17</v>
      </c>
      <c r="B18" s="1" t="s">
        <v>2091</v>
      </c>
      <c r="C18" s="1"/>
      <c r="D18" s="1"/>
      <c r="E18" s="1" t="s">
        <v>30</v>
      </c>
      <c r="F18" s="1" t="s">
        <v>22</v>
      </c>
      <c r="G18" s="1" t="s">
        <v>2020</v>
      </c>
      <c r="H18" s="1" t="s">
        <v>2092</v>
      </c>
      <c r="I18" s="1" t="s">
        <v>933</v>
      </c>
      <c r="J18" s="1" t="s">
        <v>2093</v>
      </c>
      <c r="K18" s="1" t="s">
        <v>1024</v>
      </c>
      <c r="L18" s="1" t="s">
        <v>882</v>
      </c>
      <c r="M18" s="1" t="s">
        <v>1773</v>
      </c>
      <c r="N18" s="3" t="s">
        <v>24</v>
      </c>
      <c r="O18" s="2" t="s">
        <v>935</v>
      </c>
      <c r="P18" s="12">
        <v>46003</v>
      </c>
    </row>
    <row r="19" spans="1:22" ht="90">
      <c r="A19" s="68">
        <v>18</v>
      </c>
      <c r="B19" s="68" t="s">
        <v>2094</v>
      </c>
      <c r="C19" s="69" t="s">
        <v>2763</v>
      </c>
      <c r="D19" s="70">
        <v>46010</v>
      </c>
      <c r="E19" s="68" t="s">
        <v>30</v>
      </c>
      <c r="F19" s="68" t="s">
        <v>22</v>
      </c>
      <c r="G19" s="68" t="s">
        <v>2020</v>
      </c>
      <c r="H19" s="68" t="s">
        <v>2760</v>
      </c>
      <c r="I19" s="68" t="s">
        <v>933</v>
      </c>
      <c r="J19" s="68" t="s">
        <v>2762</v>
      </c>
      <c r="K19" s="68" t="s">
        <v>255</v>
      </c>
      <c r="L19" s="124" t="s">
        <v>2755</v>
      </c>
      <c r="M19" s="124" t="s">
        <v>2755</v>
      </c>
      <c r="N19" s="68" t="s">
        <v>24</v>
      </c>
      <c r="O19" s="71" t="s">
        <v>935</v>
      </c>
      <c r="P19" s="72">
        <v>46003</v>
      </c>
      <c r="Q19" s="68" t="s">
        <v>3159</v>
      </c>
      <c r="R19" s="68" t="s">
        <v>1220</v>
      </c>
      <c r="S19" s="68" t="s">
        <v>5667</v>
      </c>
      <c r="T19" s="72" t="s">
        <v>5666</v>
      </c>
      <c r="U19" s="84"/>
      <c r="V19" s="84"/>
    </row>
    <row r="20" spans="1:22" ht="150">
      <c r="A20" s="1">
        <v>19</v>
      </c>
      <c r="B20" s="1" t="s">
        <v>2095</v>
      </c>
      <c r="C20" s="1"/>
      <c r="D20" s="1"/>
      <c r="E20" s="1" t="s">
        <v>30</v>
      </c>
      <c r="F20" s="1" t="s">
        <v>22</v>
      </c>
      <c r="G20" s="1" t="s">
        <v>2020</v>
      </c>
      <c r="H20" s="1" t="s">
        <v>2096</v>
      </c>
      <c r="I20" s="1" t="s">
        <v>933</v>
      </c>
      <c r="J20" s="1" t="s">
        <v>2097</v>
      </c>
      <c r="K20" s="1" t="s">
        <v>890</v>
      </c>
      <c r="L20" s="1" t="s">
        <v>2005</v>
      </c>
      <c r="M20" s="1" t="s">
        <v>2098</v>
      </c>
      <c r="N20" s="3" t="s">
        <v>274</v>
      </c>
      <c r="O20" s="2" t="s">
        <v>935</v>
      </c>
      <c r="P20" s="12">
        <v>46003</v>
      </c>
    </row>
    <row r="21" spans="1:22" ht="90">
      <c r="A21" s="1">
        <v>20</v>
      </c>
      <c r="B21" s="1" t="s">
        <v>2102</v>
      </c>
      <c r="C21" s="1"/>
      <c r="D21" s="1"/>
      <c r="E21" s="1" t="s">
        <v>30</v>
      </c>
      <c r="F21" s="1" t="s">
        <v>22</v>
      </c>
      <c r="G21" s="1" t="s">
        <v>2020</v>
      </c>
      <c r="H21" s="1" t="s">
        <v>2099</v>
      </c>
      <c r="I21" s="1" t="s">
        <v>933</v>
      </c>
      <c r="J21" s="1" t="s">
        <v>2100</v>
      </c>
      <c r="K21" s="1" t="s">
        <v>255</v>
      </c>
      <c r="L21" s="1" t="s">
        <v>2101</v>
      </c>
      <c r="M21" s="1" t="s">
        <v>6061</v>
      </c>
      <c r="N21" s="3" t="s">
        <v>274</v>
      </c>
      <c r="O21" s="2" t="s">
        <v>935</v>
      </c>
      <c r="P21" s="12">
        <v>46003</v>
      </c>
    </row>
    <row r="22" spans="1:22" ht="90">
      <c r="A22" s="1">
        <v>21</v>
      </c>
      <c r="B22" s="1" t="s">
        <v>2105</v>
      </c>
      <c r="C22" s="1"/>
      <c r="D22" s="1"/>
      <c r="E22" s="1" t="s">
        <v>30</v>
      </c>
      <c r="F22" s="1" t="s">
        <v>22</v>
      </c>
      <c r="G22" s="1" t="s">
        <v>2020</v>
      </c>
      <c r="H22" s="1" t="s">
        <v>2103</v>
      </c>
      <c r="I22" s="1" t="s">
        <v>933</v>
      </c>
      <c r="J22" s="1" t="s">
        <v>2104</v>
      </c>
      <c r="K22" s="1" t="s">
        <v>255</v>
      </c>
      <c r="L22" s="1" t="s">
        <v>1262</v>
      </c>
      <c r="M22" s="1" t="s">
        <v>1857</v>
      </c>
      <c r="N22" s="3" t="s">
        <v>24</v>
      </c>
      <c r="O22" s="2" t="s">
        <v>935</v>
      </c>
      <c r="P22" s="12">
        <v>46003</v>
      </c>
    </row>
    <row r="23" spans="1:22" ht="240">
      <c r="A23" s="68">
        <v>22</v>
      </c>
      <c r="B23" s="68" t="s">
        <v>2108</v>
      </c>
      <c r="C23" s="69" t="s">
        <v>2766</v>
      </c>
      <c r="D23" s="70">
        <v>46010</v>
      </c>
      <c r="E23" s="68" t="s">
        <v>30</v>
      </c>
      <c r="F23" s="68" t="s">
        <v>22</v>
      </c>
      <c r="G23" s="68" t="s">
        <v>2020</v>
      </c>
      <c r="H23" s="68" t="s">
        <v>2764</v>
      </c>
      <c r="I23" s="68" t="s">
        <v>933</v>
      </c>
      <c r="J23" s="68" t="s">
        <v>2106</v>
      </c>
      <c r="K23" s="68" t="s">
        <v>255</v>
      </c>
      <c r="L23" s="68" t="s">
        <v>2765</v>
      </c>
      <c r="M23" s="68" t="s">
        <v>2107</v>
      </c>
      <c r="N23" s="68" t="s">
        <v>24</v>
      </c>
      <c r="O23" s="71" t="s">
        <v>935</v>
      </c>
      <c r="P23" s="72">
        <v>46003</v>
      </c>
      <c r="Q23" s="68" t="s">
        <v>3159</v>
      </c>
      <c r="R23" s="68" t="s">
        <v>1220</v>
      </c>
      <c r="S23" s="68" t="s">
        <v>5667</v>
      </c>
      <c r="T23" s="72" t="s">
        <v>5666</v>
      </c>
      <c r="U23" s="84"/>
      <c r="V23" s="84"/>
    </row>
    <row r="24" spans="1:22" ht="90">
      <c r="A24" s="1">
        <v>23</v>
      </c>
      <c r="B24" s="1" t="s">
        <v>2109</v>
      </c>
      <c r="C24" s="1"/>
      <c r="D24" s="1"/>
      <c r="E24" s="1" t="s">
        <v>30</v>
      </c>
      <c r="F24" s="1" t="s">
        <v>22</v>
      </c>
      <c r="G24" s="1" t="s">
        <v>2020</v>
      </c>
      <c r="H24" s="1" t="s">
        <v>2110</v>
      </c>
      <c r="I24" s="1" t="s">
        <v>933</v>
      </c>
      <c r="J24" s="1" t="s">
        <v>2112</v>
      </c>
      <c r="K24" s="1" t="s">
        <v>255</v>
      </c>
      <c r="L24" s="1" t="s">
        <v>918</v>
      </c>
      <c r="M24" s="1" t="s">
        <v>6072</v>
      </c>
      <c r="N24" s="3" t="s">
        <v>274</v>
      </c>
      <c r="O24" s="2" t="s">
        <v>935</v>
      </c>
      <c r="P24" s="12">
        <v>46003</v>
      </c>
    </row>
  </sheetData>
  <autoFilter ref="A1:V24"/>
  <hyperlinks>
    <hyperlink ref="C3" r:id="rId1" display="https://hanssupport.atlassian.net/browse/BA-308"/>
    <hyperlink ref="C5" r:id="rId2" display="https://hanssupport.atlassian.net/browse/BA-309"/>
    <hyperlink ref="C6" r:id="rId3" display="https://hanssupport.atlassian.net/browse/BA-310"/>
    <hyperlink ref="C10" r:id="rId4" display="https://hanssupport.atlassian.net/browse/BA-312"/>
    <hyperlink ref="C19" r:id="rId5" display="https://hanssupport.atlassian.net/browse/BA-313"/>
    <hyperlink ref="C23" r:id="rId6" display="https://hanssupport.atlassian.net/browse/BA-314"/>
  </hyperlinks>
  <pageMargins left="0.7" right="0.7" top="0.75" bottom="0.75" header="0.3" footer="0.3"/>
  <pageSetup paperSize="9" orientation="portrait" verticalDpi="0" r:id="rId7"/>
</worksheet>
</file>

<file path=xl/worksheets/sheet30.xml><?xml version="1.0" encoding="utf-8"?>
<worksheet xmlns="http://schemas.openxmlformats.org/spreadsheetml/2006/main" xmlns:r="http://schemas.openxmlformats.org/officeDocument/2006/relationships">
  <dimension ref="A1:V61"/>
  <sheetViews>
    <sheetView workbookViewId="0">
      <pane ySplit="1" topLeftCell="A2" activePane="bottomLeft" state="frozen"/>
      <selection activeCell="I1" sqref="I1"/>
      <selection pane="bottomLeft"/>
    </sheetView>
  </sheetViews>
  <sheetFormatPr defaultRowHeight="15"/>
  <cols>
    <col min="1" max="1" width="11" style="1" customWidth="1"/>
    <col min="2" max="2" width="24.140625" style="1" customWidth="1"/>
    <col min="3" max="3" width="12.28515625" style="1" customWidth="1"/>
    <col min="4" max="4" width="20.42578125" style="1" customWidth="1"/>
    <col min="5" max="5" width="14.28515625" style="1" customWidth="1"/>
    <col min="6" max="6" width="12.85546875" style="1" customWidth="1"/>
    <col min="7" max="7" width="27.5703125" style="1" customWidth="1"/>
    <col min="8" max="8" width="53.7109375" style="1" customWidth="1"/>
    <col min="9" max="9" width="43.5703125" style="1" customWidth="1"/>
    <col min="10" max="10" width="57.28515625" style="1" customWidth="1"/>
    <col min="11" max="11" width="41.42578125" style="1" customWidth="1"/>
    <col min="12" max="12" width="66.42578125" style="1" customWidth="1"/>
    <col min="13" max="13" width="58.140625" style="1" customWidth="1"/>
    <col min="14" max="14" width="15.5703125" style="1" customWidth="1"/>
    <col min="15" max="15" width="34.85546875" style="1" customWidth="1"/>
    <col min="16" max="16" width="19.5703125" style="1" customWidth="1"/>
    <col min="17" max="17" width="16.5703125" style="1" customWidth="1"/>
    <col min="18" max="18" width="25.42578125" style="1" customWidth="1"/>
    <col min="19" max="19" width="27.28515625" style="1" customWidth="1"/>
    <col min="20" max="20" width="32.28515625" style="1" customWidth="1"/>
    <col min="21" max="21" width="27.7109375" style="1" customWidth="1"/>
    <col min="22" max="22" width="19.28515625"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2113</v>
      </c>
      <c r="E2" s="1" t="s">
        <v>30</v>
      </c>
      <c r="F2" s="1" t="s">
        <v>22</v>
      </c>
      <c r="G2" s="1" t="s">
        <v>2114</v>
      </c>
      <c r="H2" s="1" t="s">
        <v>2115</v>
      </c>
      <c r="I2" s="1" t="s">
        <v>933</v>
      </c>
      <c r="J2" s="1" t="s">
        <v>2118</v>
      </c>
      <c r="K2" s="1" t="s">
        <v>1074</v>
      </c>
      <c r="L2" s="1" t="s">
        <v>2119</v>
      </c>
      <c r="M2" s="1" t="s">
        <v>2120</v>
      </c>
      <c r="N2" s="3" t="s">
        <v>24</v>
      </c>
      <c r="O2" s="2" t="s">
        <v>935</v>
      </c>
      <c r="P2" s="12">
        <v>46003</v>
      </c>
    </row>
    <row r="3" spans="1:22" ht="90">
      <c r="A3" s="1">
        <v>2</v>
      </c>
      <c r="B3" s="1" t="s">
        <v>2116</v>
      </c>
      <c r="E3" s="1" t="s">
        <v>30</v>
      </c>
      <c r="F3" s="1" t="s">
        <v>22</v>
      </c>
      <c r="G3" s="1" t="s">
        <v>2114</v>
      </c>
      <c r="H3" s="1" t="s">
        <v>2117</v>
      </c>
      <c r="I3" s="1" t="s">
        <v>933</v>
      </c>
      <c r="J3" s="1" t="s">
        <v>2121</v>
      </c>
      <c r="K3" s="1" t="s">
        <v>2122</v>
      </c>
      <c r="L3" s="1" t="s">
        <v>2123</v>
      </c>
      <c r="M3" s="1" t="s">
        <v>2124</v>
      </c>
      <c r="N3" s="3" t="s">
        <v>24</v>
      </c>
      <c r="O3" s="2" t="s">
        <v>935</v>
      </c>
      <c r="P3" s="12">
        <v>46003</v>
      </c>
    </row>
    <row r="4" spans="1:22" ht="135">
      <c r="A4" s="1">
        <v>3</v>
      </c>
      <c r="B4" s="1" t="s">
        <v>2125</v>
      </c>
      <c r="E4" s="1" t="s">
        <v>30</v>
      </c>
      <c r="F4" s="1" t="s">
        <v>22</v>
      </c>
      <c r="G4" s="1" t="s">
        <v>2114</v>
      </c>
      <c r="H4" s="1" t="s">
        <v>2126</v>
      </c>
      <c r="I4" s="1" t="s">
        <v>933</v>
      </c>
      <c r="J4" s="1" t="s">
        <v>2127</v>
      </c>
      <c r="K4" s="1" t="s">
        <v>2128</v>
      </c>
      <c r="L4" s="1" t="s">
        <v>2129</v>
      </c>
      <c r="M4" s="53" t="s">
        <v>2130</v>
      </c>
      <c r="N4" s="3" t="s">
        <v>274</v>
      </c>
      <c r="O4" s="2" t="s">
        <v>935</v>
      </c>
      <c r="P4" s="12">
        <v>46003</v>
      </c>
    </row>
    <row r="5" spans="1:22" ht="90">
      <c r="A5" s="21">
        <v>4</v>
      </c>
      <c r="B5" s="1" t="s">
        <v>2131</v>
      </c>
      <c r="C5" s="21"/>
      <c r="D5" s="21"/>
      <c r="E5" s="21" t="s">
        <v>30</v>
      </c>
      <c r="F5" s="21" t="s">
        <v>22</v>
      </c>
      <c r="G5" s="21" t="s">
        <v>2114</v>
      </c>
      <c r="H5" s="1" t="s">
        <v>2132</v>
      </c>
      <c r="I5" s="1" t="s">
        <v>933</v>
      </c>
      <c r="J5" s="1" t="s">
        <v>2133</v>
      </c>
      <c r="K5" s="1" t="s">
        <v>2134</v>
      </c>
      <c r="L5" s="1" t="s">
        <v>2135</v>
      </c>
      <c r="M5" s="1" t="s">
        <v>2136</v>
      </c>
      <c r="N5" s="3" t="s">
        <v>24</v>
      </c>
      <c r="O5" s="2" t="s">
        <v>935</v>
      </c>
      <c r="P5" s="12">
        <v>46003</v>
      </c>
    </row>
    <row r="6" spans="1:22" ht="135">
      <c r="A6" s="21">
        <v>5</v>
      </c>
      <c r="B6" s="1" t="s">
        <v>2137</v>
      </c>
      <c r="C6" s="21"/>
      <c r="D6" s="21"/>
      <c r="E6" s="21" t="s">
        <v>30</v>
      </c>
      <c r="F6" s="21" t="s">
        <v>22</v>
      </c>
      <c r="G6" s="21" t="s">
        <v>2114</v>
      </c>
      <c r="H6" s="1" t="s">
        <v>2138</v>
      </c>
      <c r="I6" s="1" t="s">
        <v>933</v>
      </c>
      <c r="J6" s="1" t="s">
        <v>2139</v>
      </c>
      <c r="K6" s="1" t="s">
        <v>2140</v>
      </c>
      <c r="L6" s="1" t="s">
        <v>2141</v>
      </c>
      <c r="M6" s="53" t="s">
        <v>2142</v>
      </c>
      <c r="N6" s="3" t="s">
        <v>274</v>
      </c>
      <c r="O6" s="2" t="s">
        <v>935</v>
      </c>
      <c r="P6" s="12">
        <v>46003</v>
      </c>
    </row>
    <row r="7" spans="1:22" ht="105">
      <c r="A7" s="21">
        <v>6</v>
      </c>
      <c r="B7" s="1" t="s">
        <v>2143</v>
      </c>
      <c r="C7" s="21"/>
      <c r="D7" s="21"/>
      <c r="E7" s="21" t="s">
        <v>30</v>
      </c>
      <c r="F7" s="21" t="s">
        <v>22</v>
      </c>
      <c r="G7" s="21" t="s">
        <v>2114</v>
      </c>
      <c r="H7" s="1" t="s">
        <v>2144</v>
      </c>
      <c r="I7" s="1" t="s">
        <v>933</v>
      </c>
      <c r="J7" s="1" t="s">
        <v>2145</v>
      </c>
      <c r="K7" s="1" t="s">
        <v>2146</v>
      </c>
      <c r="L7" s="1" t="s">
        <v>2147</v>
      </c>
      <c r="M7" s="1" t="s">
        <v>2148</v>
      </c>
      <c r="N7" s="3" t="s">
        <v>24</v>
      </c>
      <c r="O7" s="2" t="s">
        <v>935</v>
      </c>
      <c r="P7" s="12">
        <v>46003</v>
      </c>
    </row>
    <row r="8" spans="1:22" ht="105">
      <c r="A8" s="21">
        <v>7</v>
      </c>
      <c r="B8" s="1" t="s">
        <v>2149</v>
      </c>
      <c r="C8" s="21"/>
      <c r="D8" s="21"/>
      <c r="E8" s="21" t="s">
        <v>30</v>
      </c>
      <c r="F8" s="21" t="s">
        <v>22</v>
      </c>
      <c r="G8" s="21" t="s">
        <v>2114</v>
      </c>
      <c r="H8" s="1" t="s">
        <v>2150</v>
      </c>
      <c r="I8" s="1" t="s">
        <v>933</v>
      </c>
      <c r="J8" s="1" t="s">
        <v>2151</v>
      </c>
      <c r="K8" s="1" t="s">
        <v>2152</v>
      </c>
      <c r="L8" s="1" t="s">
        <v>2153</v>
      </c>
      <c r="M8" s="1" t="s">
        <v>2154</v>
      </c>
      <c r="N8" s="3" t="s">
        <v>24</v>
      </c>
      <c r="O8" s="2" t="s">
        <v>935</v>
      </c>
      <c r="P8" s="12">
        <v>46003</v>
      </c>
    </row>
    <row r="9" spans="1:22" ht="135">
      <c r="A9" s="21">
        <v>8</v>
      </c>
      <c r="B9" s="1" t="s">
        <v>2155</v>
      </c>
      <c r="C9" s="23" t="s">
        <v>3344</v>
      </c>
      <c r="D9" s="36">
        <v>46015</v>
      </c>
      <c r="E9" s="21" t="s">
        <v>30</v>
      </c>
      <c r="F9" s="21" t="s">
        <v>22</v>
      </c>
      <c r="G9" s="21" t="s">
        <v>2114</v>
      </c>
      <c r="H9" s="1" t="s">
        <v>2156</v>
      </c>
      <c r="I9" s="1" t="s">
        <v>933</v>
      </c>
      <c r="J9" s="1" t="s">
        <v>2388</v>
      </c>
      <c r="K9" s="1" t="s">
        <v>2157</v>
      </c>
      <c r="L9" s="1" t="s">
        <v>3343</v>
      </c>
      <c r="M9" s="1" t="s">
        <v>2389</v>
      </c>
      <c r="N9" s="19" t="s">
        <v>47</v>
      </c>
      <c r="O9" s="2" t="s">
        <v>935</v>
      </c>
      <c r="P9" s="12">
        <v>46007</v>
      </c>
      <c r="Q9" s="1" t="s">
        <v>3159</v>
      </c>
    </row>
    <row r="10" spans="1:22" ht="225">
      <c r="A10" s="21">
        <v>9</v>
      </c>
      <c r="B10" s="1" t="s">
        <v>2158</v>
      </c>
      <c r="C10" s="23" t="s">
        <v>3345</v>
      </c>
      <c r="D10" s="36">
        <v>46015</v>
      </c>
      <c r="E10" s="21" t="s">
        <v>30</v>
      </c>
      <c r="F10" s="21" t="s">
        <v>22</v>
      </c>
      <c r="G10" s="21" t="s">
        <v>2114</v>
      </c>
      <c r="H10" s="1" t="s">
        <v>2160</v>
      </c>
      <c r="I10" s="1" t="s">
        <v>933</v>
      </c>
      <c r="J10" s="1" t="s">
        <v>2159</v>
      </c>
      <c r="K10" s="1" t="s">
        <v>890</v>
      </c>
      <c r="L10" s="1" t="s">
        <v>2161</v>
      </c>
      <c r="M10" s="1" t="s">
        <v>6051</v>
      </c>
      <c r="N10" s="19" t="s">
        <v>47</v>
      </c>
      <c r="O10" s="2" t="s">
        <v>935</v>
      </c>
      <c r="P10" s="12">
        <v>46003</v>
      </c>
      <c r="Q10" s="1" t="s">
        <v>3159</v>
      </c>
    </row>
    <row r="11" spans="1:22" ht="105">
      <c r="A11" s="21">
        <v>10</v>
      </c>
      <c r="B11" s="1" t="s">
        <v>2162</v>
      </c>
      <c r="C11" s="21"/>
      <c r="D11" s="21"/>
      <c r="E11" s="21" t="s">
        <v>30</v>
      </c>
      <c r="F11" s="21" t="s">
        <v>22</v>
      </c>
      <c r="G11" s="21" t="s">
        <v>2114</v>
      </c>
      <c r="H11" s="1" t="s">
        <v>2163</v>
      </c>
      <c r="I11" s="1" t="s">
        <v>933</v>
      </c>
      <c r="J11" s="1" t="s">
        <v>2164</v>
      </c>
      <c r="K11" s="1" t="s">
        <v>2165</v>
      </c>
      <c r="L11" s="1" t="s">
        <v>2166</v>
      </c>
      <c r="M11" s="1" t="s">
        <v>2167</v>
      </c>
      <c r="N11" s="54" t="s">
        <v>24</v>
      </c>
      <c r="O11" s="2" t="s">
        <v>935</v>
      </c>
      <c r="P11" s="12">
        <v>46003</v>
      </c>
    </row>
    <row r="12" spans="1:22" ht="105">
      <c r="A12" s="21">
        <v>11</v>
      </c>
      <c r="B12" s="1" t="s">
        <v>2168</v>
      </c>
      <c r="C12" s="21"/>
      <c r="D12" s="21"/>
      <c r="E12" s="21" t="s">
        <v>30</v>
      </c>
      <c r="F12" s="21" t="s">
        <v>22</v>
      </c>
      <c r="G12" s="21" t="s">
        <v>2114</v>
      </c>
      <c r="H12" s="1" t="s">
        <v>2169</v>
      </c>
      <c r="I12" s="1" t="s">
        <v>933</v>
      </c>
      <c r="J12" s="1" t="s">
        <v>2170</v>
      </c>
      <c r="K12" s="1" t="s">
        <v>2171</v>
      </c>
      <c r="L12" s="1" t="s">
        <v>2172</v>
      </c>
      <c r="M12" s="1" t="s">
        <v>2173</v>
      </c>
      <c r="N12" s="54" t="s">
        <v>24</v>
      </c>
      <c r="O12" s="2" t="s">
        <v>935</v>
      </c>
      <c r="P12" s="12">
        <v>46003</v>
      </c>
    </row>
    <row r="13" spans="1:22" ht="105">
      <c r="A13" s="21">
        <v>12</v>
      </c>
      <c r="B13" s="1" t="s">
        <v>2174</v>
      </c>
      <c r="C13" s="21"/>
      <c r="D13" s="21"/>
      <c r="E13" s="21" t="s">
        <v>30</v>
      </c>
      <c r="F13" s="21" t="s">
        <v>22</v>
      </c>
      <c r="G13" s="21" t="s">
        <v>2114</v>
      </c>
      <c r="H13" s="1" t="s">
        <v>2179</v>
      </c>
      <c r="I13" s="1" t="s">
        <v>933</v>
      </c>
      <c r="J13" s="1" t="s">
        <v>2175</v>
      </c>
      <c r="K13" s="1" t="s">
        <v>2176</v>
      </c>
      <c r="L13" s="1" t="s">
        <v>2177</v>
      </c>
      <c r="M13" s="1" t="s">
        <v>2178</v>
      </c>
      <c r="N13" s="54" t="s">
        <v>24</v>
      </c>
      <c r="O13" s="2" t="s">
        <v>935</v>
      </c>
      <c r="P13" s="12">
        <v>46006</v>
      </c>
    </row>
    <row r="14" spans="1:22" ht="105">
      <c r="A14" s="21">
        <v>13</v>
      </c>
      <c r="B14" s="1" t="s">
        <v>2180</v>
      </c>
      <c r="C14" s="21"/>
      <c r="D14" s="21"/>
      <c r="E14" s="21" t="s">
        <v>30</v>
      </c>
      <c r="F14" s="21" t="s">
        <v>22</v>
      </c>
      <c r="G14" s="21" t="s">
        <v>2114</v>
      </c>
      <c r="H14" s="1" t="s">
        <v>2181</v>
      </c>
      <c r="I14" s="1" t="s">
        <v>933</v>
      </c>
      <c r="J14" s="1" t="s">
        <v>2182</v>
      </c>
      <c r="K14" s="1" t="s">
        <v>2183</v>
      </c>
      <c r="L14" s="1" t="s">
        <v>2184</v>
      </c>
      <c r="M14" s="1" t="s">
        <v>2185</v>
      </c>
      <c r="N14" s="54" t="s">
        <v>24</v>
      </c>
      <c r="O14" s="2" t="s">
        <v>935</v>
      </c>
      <c r="P14" s="12">
        <v>46006</v>
      </c>
    </row>
    <row r="15" spans="1:22" ht="105">
      <c r="A15" s="21">
        <v>14</v>
      </c>
      <c r="B15" s="1" t="s">
        <v>2186</v>
      </c>
      <c r="C15" s="21"/>
      <c r="D15" s="21"/>
      <c r="E15" s="21" t="s">
        <v>30</v>
      </c>
      <c r="F15" s="21" t="s">
        <v>22</v>
      </c>
      <c r="G15" s="21" t="s">
        <v>2114</v>
      </c>
      <c r="H15" s="1" t="s">
        <v>2187</v>
      </c>
      <c r="I15" s="1" t="s">
        <v>933</v>
      </c>
      <c r="J15" s="1" t="s">
        <v>2188</v>
      </c>
      <c r="K15" s="1" t="s">
        <v>2189</v>
      </c>
      <c r="L15" s="1" t="s">
        <v>2190</v>
      </c>
      <c r="M15" s="1" t="s">
        <v>2191</v>
      </c>
      <c r="N15" s="54" t="s">
        <v>24</v>
      </c>
      <c r="O15" s="2" t="s">
        <v>935</v>
      </c>
      <c r="P15" s="12">
        <v>46006</v>
      </c>
    </row>
    <row r="16" spans="1:22" ht="105">
      <c r="A16" s="21">
        <v>15</v>
      </c>
      <c r="B16" s="1" t="s">
        <v>2192</v>
      </c>
      <c r="C16" s="21"/>
      <c r="D16" s="21"/>
      <c r="E16" s="21" t="s">
        <v>30</v>
      </c>
      <c r="F16" s="21" t="s">
        <v>22</v>
      </c>
      <c r="G16" s="21" t="s">
        <v>2114</v>
      </c>
      <c r="H16" s="1" t="s">
        <v>2193</v>
      </c>
      <c r="I16" s="1" t="s">
        <v>933</v>
      </c>
      <c r="J16" s="1" t="s">
        <v>2194</v>
      </c>
      <c r="K16" s="1" t="s">
        <v>2195</v>
      </c>
      <c r="L16" s="1" t="s">
        <v>2196</v>
      </c>
      <c r="M16" s="1" t="s">
        <v>2197</v>
      </c>
      <c r="N16" s="54" t="s">
        <v>24</v>
      </c>
      <c r="O16" s="2" t="s">
        <v>935</v>
      </c>
      <c r="P16" s="12">
        <v>46006</v>
      </c>
    </row>
    <row r="17" spans="1:17" ht="120">
      <c r="A17" s="21">
        <v>16</v>
      </c>
      <c r="B17" s="1" t="s">
        <v>2198</v>
      </c>
      <c r="C17" s="23" t="s">
        <v>3346</v>
      </c>
      <c r="D17" s="36">
        <v>46015</v>
      </c>
      <c r="E17" s="21" t="s">
        <v>30</v>
      </c>
      <c r="F17" s="21" t="s">
        <v>22</v>
      </c>
      <c r="G17" s="21" t="s">
        <v>2114</v>
      </c>
      <c r="H17" s="1" t="s">
        <v>2205</v>
      </c>
      <c r="I17" s="1" t="s">
        <v>933</v>
      </c>
      <c r="J17" s="1" t="s">
        <v>2200</v>
      </c>
      <c r="K17" s="1" t="s">
        <v>2306</v>
      </c>
      <c r="L17" s="1" t="s">
        <v>2307</v>
      </c>
      <c r="M17" s="1" t="s">
        <v>2308</v>
      </c>
      <c r="N17" s="55" t="s">
        <v>47</v>
      </c>
      <c r="O17" s="2" t="s">
        <v>935</v>
      </c>
      <c r="P17" s="12">
        <v>46006</v>
      </c>
      <c r="Q17" s="1" t="s">
        <v>3159</v>
      </c>
    </row>
    <row r="18" spans="1:17" ht="120">
      <c r="A18" s="21">
        <v>17</v>
      </c>
      <c r="B18" s="1" t="s">
        <v>2199</v>
      </c>
      <c r="C18" s="23" t="s">
        <v>3347</v>
      </c>
      <c r="D18" s="36">
        <v>46015</v>
      </c>
      <c r="E18" s="21" t="s">
        <v>30</v>
      </c>
      <c r="F18" s="21" t="s">
        <v>22</v>
      </c>
      <c r="G18" s="21" t="s">
        <v>2114</v>
      </c>
      <c r="H18" s="1" t="s">
        <v>2204</v>
      </c>
      <c r="I18" s="1" t="s">
        <v>933</v>
      </c>
      <c r="J18" s="1" t="s">
        <v>2201</v>
      </c>
      <c r="K18" s="1" t="s">
        <v>2309</v>
      </c>
      <c r="L18" s="1" t="s">
        <v>2310</v>
      </c>
      <c r="M18" s="1" t="s">
        <v>2311</v>
      </c>
      <c r="N18" s="55" t="s">
        <v>47</v>
      </c>
      <c r="O18" s="2" t="s">
        <v>935</v>
      </c>
      <c r="P18" s="12">
        <v>46006</v>
      </c>
      <c r="Q18" s="1" t="s">
        <v>3159</v>
      </c>
    </row>
    <row r="19" spans="1:17" ht="150">
      <c r="A19" s="21">
        <v>18</v>
      </c>
      <c r="B19" s="1" t="s">
        <v>2202</v>
      </c>
      <c r="C19" s="21"/>
      <c r="D19" s="21"/>
      <c r="E19" s="21" t="s">
        <v>30</v>
      </c>
      <c r="F19" s="21" t="s">
        <v>22</v>
      </c>
      <c r="G19" s="21" t="s">
        <v>2114</v>
      </c>
      <c r="H19" s="1" t="s">
        <v>2203</v>
      </c>
      <c r="I19" s="1" t="s">
        <v>933</v>
      </c>
      <c r="J19" s="1" t="s">
        <v>2206</v>
      </c>
      <c r="K19" s="1" t="s">
        <v>2207</v>
      </c>
      <c r="L19" s="1" t="s">
        <v>2220</v>
      </c>
      <c r="M19" s="56" t="s">
        <v>2221</v>
      </c>
      <c r="N19" s="3" t="s">
        <v>274</v>
      </c>
      <c r="O19" s="2" t="s">
        <v>935</v>
      </c>
      <c r="P19" s="12">
        <v>46006</v>
      </c>
    </row>
    <row r="20" spans="1:17" ht="150">
      <c r="A20" s="21">
        <v>19</v>
      </c>
      <c r="B20" s="1" t="s">
        <v>2208</v>
      </c>
      <c r="C20" s="21"/>
      <c r="D20" s="21"/>
      <c r="E20" s="21" t="s">
        <v>30</v>
      </c>
      <c r="F20" s="21" t="s">
        <v>22</v>
      </c>
      <c r="G20" s="21" t="s">
        <v>2114</v>
      </c>
      <c r="H20" s="1" t="s">
        <v>2209</v>
      </c>
      <c r="I20" s="1" t="s">
        <v>933</v>
      </c>
      <c r="J20" s="1" t="s">
        <v>2210</v>
      </c>
      <c r="K20" s="1" t="s">
        <v>2211</v>
      </c>
      <c r="L20" s="1" t="s">
        <v>2219</v>
      </c>
      <c r="M20" s="56" t="s">
        <v>2222</v>
      </c>
      <c r="N20" s="3" t="s">
        <v>274</v>
      </c>
      <c r="O20" s="2" t="s">
        <v>935</v>
      </c>
      <c r="P20" s="12">
        <v>46006</v>
      </c>
    </row>
    <row r="21" spans="1:17" ht="150">
      <c r="A21" s="21">
        <v>20</v>
      </c>
      <c r="B21" s="1" t="s">
        <v>2212</v>
      </c>
      <c r="C21" s="21"/>
      <c r="D21" s="21"/>
      <c r="E21" s="21" t="s">
        <v>30</v>
      </c>
      <c r="F21" s="21" t="s">
        <v>22</v>
      </c>
      <c r="G21" s="21" t="s">
        <v>2114</v>
      </c>
      <c r="H21" s="1" t="s">
        <v>2213</v>
      </c>
      <c r="I21" s="1" t="s">
        <v>933</v>
      </c>
      <c r="J21" s="1" t="s">
        <v>2214</v>
      </c>
      <c r="K21" s="1" t="s">
        <v>2215</v>
      </c>
      <c r="L21" s="1" t="s">
        <v>2218</v>
      </c>
      <c r="M21" s="56" t="s">
        <v>2217</v>
      </c>
      <c r="N21" s="3" t="s">
        <v>274</v>
      </c>
      <c r="O21" s="2" t="s">
        <v>935</v>
      </c>
      <c r="P21" s="12">
        <v>46006</v>
      </c>
    </row>
    <row r="22" spans="1:17" ht="105">
      <c r="A22" s="21">
        <v>21</v>
      </c>
      <c r="B22" s="1" t="s">
        <v>2216</v>
      </c>
      <c r="C22" s="21"/>
      <c r="D22" s="21"/>
      <c r="E22" s="21" t="s">
        <v>30</v>
      </c>
      <c r="F22" s="21" t="s">
        <v>22</v>
      </c>
      <c r="G22" s="21" t="s">
        <v>2114</v>
      </c>
      <c r="H22" s="1" t="s">
        <v>2223</v>
      </c>
      <c r="I22" s="1" t="s">
        <v>933</v>
      </c>
      <c r="J22" s="1" t="s">
        <v>2224</v>
      </c>
      <c r="K22" s="1" t="s">
        <v>2225</v>
      </c>
      <c r="L22" s="1" t="s">
        <v>2227</v>
      </c>
      <c r="M22" s="1" t="s">
        <v>2226</v>
      </c>
      <c r="N22" s="54" t="s">
        <v>24</v>
      </c>
      <c r="O22" s="2" t="s">
        <v>935</v>
      </c>
      <c r="P22" s="12">
        <v>46006</v>
      </c>
    </row>
    <row r="23" spans="1:17" ht="135">
      <c r="A23" s="21">
        <v>22</v>
      </c>
      <c r="B23" s="1" t="s">
        <v>2228</v>
      </c>
      <c r="C23" s="23" t="s">
        <v>3348</v>
      </c>
      <c r="D23" s="36">
        <v>46015</v>
      </c>
      <c r="E23" s="21" t="s">
        <v>30</v>
      </c>
      <c r="F23" s="21" t="s">
        <v>22</v>
      </c>
      <c r="G23" s="21" t="s">
        <v>2114</v>
      </c>
      <c r="H23" s="1" t="s">
        <v>2229</v>
      </c>
      <c r="I23" s="1" t="s">
        <v>933</v>
      </c>
      <c r="J23" s="1" t="s">
        <v>2230</v>
      </c>
      <c r="K23" s="1" t="s">
        <v>2231</v>
      </c>
      <c r="L23" s="1" t="s">
        <v>2250</v>
      </c>
      <c r="M23" s="1" t="s">
        <v>2232</v>
      </c>
      <c r="N23" s="19" t="s">
        <v>47</v>
      </c>
      <c r="O23" s="2" t="s">
        <v>935</v>
      </c>
      <c r="P23" s="12">
        <v>46006</v>
      </c>
      <c r="Q23" s="1" t="s">
        <v>3159</v>
      </c>
    </row>
    <row r="24" spans="1:17" ht="150">
      <c r="A24" s="21">
        <v>23</v>
      </c>
      <c r="B24" s="1" t="s">
        <v>2233</v>
      </c>
      <c r="C24" s="21"/>
      <c r="D24" s="21"/>
      <c r="E24" s="21" t="s">
        <v>30</v>
      </c>
      <c r="F24" s="21" t="s">
        <v>22</v>
      </c>
      <c r="G24" s="21" t="s">
        <v>2114</v>
      </c>
      <c r="H24" s="1" t="s">
        <v>2234</v>
      </c>
      <c r="I24" s="1" t="s">
        <v>933</v>
      </c>
      <c r="J24" s="1" t="s">
        <v>2235</v>
      </c>
      <c r="K24" s="1" t="s">
        <v>2236</v>
      </c>
      <c r="L24" s="1" t="s">
        <v>2249</v>
      </c>
      <c r="M24" s="56" t="s">
        <v>2237</v>
      </c>
      <c r="N24" s="3" t="s">
        <v>274</v>
      </c>
      <c r="O24" s="2" t="s">
        <v>935</v>
      </c>
      <c r="P24" s="12">
        <v>46006</v>
      </c>
    </row>
    <row r="25" spans="1:17" ht="150">
      <c r="A25" s="21">
        <v>24</v>
      </c>
      <c r="B25" s="1" t="s">
        <v>2238</v>
      </c>
      <c r="C25" s="21"/>
      <c r="D25" s="21"/>
      <c r="E25" s="21" t="s">
        <v>30</v>
      </c>
      <c r="F25" s="21" t="s">
        <v>22</v>
      </c>
      <c r="G25" s="21" t="s">
        <v>2114</v>
      </c>
      <c r="H25" s="1" t="s">
        <v>2239</v>
      </c>
      <c r="I25" s="1" t="s">
        <v>933</v>
      </c>
      <c r="J25" s="1" t="s">
        <v>2240</v>
      </c>
      <c r="K25" s="1" t="s">
        <v>2241</v>
      </c>
      <c r="L25" s="1" t="s">
        <v>2248</v>
      </c>
      <c r="M25" s="56" t="s">
        <v>2242</v>
      </c>
      <c r="N25" s="3" t="s">
        <v>274</v>
      </c>
      <c r="O25" s="2" t="s">
        <v>935</v>
      </c>
      <c r="P25" s="12">
        <v>46006</v>
      </c>
    </row>
    <row r="26" spans="1:17" ht="150">
      <c r="A26" s="21">
        <v>25</v>
      </c>
      <c r="B26" s="1" t="s">
        <v>2243</v>
      </c>
      <c r="C26" s="21"/>
      <c r="D26" s="21"/>
      <c r="E26" s="21" t="s">
        <v>30</v>
      </c>
      <c r="F26" s="21" t="s">
        <v>22</v>
      </c>
      <c r="G26" s="21" t="s">
        <v>2114</v>
      </c>
      <c r="H26" s="1" t="s">
        <v>2244</v>
      </c>
      <c r="I26" s="1" t="s">
        <v>933</v>
      </c>
      <c r="J26" s="1" t="s">
        <v>2245</v>
      </c>
      <c r="K26" s="1" t="s">
        <v>2246</v>
      </c>
      <c r="L26" s="1" t="s">
        <v>2247</v>
      </c>
      <c r="M26" s="56" t="s">
        <v>2251</v>
      </c>
      <c r="N26" s="3" t="s">
        <v>274</v>
      </c>
      <c r="O26" s="2" t="s">
        <v>935</v>
      </c>
      <c r="P26" s="12">
        <v>46006</v>
      </c>
    </row>
    <row r="27" spans="1:17" ht="150">
      <c r="A27" s="21">
        <v>26</v>
      </c>
      <c r="B27" s="1" t="s">
        <v>2252</v>
      </c>
      <c r="C27" s="21"/>
      <c r="D27" s="21"/>
      <c r="E27" s="21" t="s">
        <v>30</v>
      </c>
      <c r="F27" s="21" t="s">
        <v>22</v>
      </c>
      <c r="G27" s="21" t="s">
        <v>2114</v>
      </c>
      <c r="H27" s="1" t="s">
        <v>2253</v>
      </c>
      <c r="I27" s="1" t="s">
        <v>933</v>
      </c>
      <c r="J27" s="1" t="s">
        <v>2254</v>
      </c>
      <c r="K27" s="1" t="s">
        <v>2255</v>
      </c>
      <c r="L27" s="1" t="s">
        <v>2256</v>
      </c>
      <c r="M27" s="56" t="s">
        <v>2257</v>
      </c>
      <c r="N27" s="3" t="s">
        <v>274</v>
      </c>
      <c r="O27" s="2" t="s">
        <v>935</v>
      </c>
      <c r="P27" s="12">
        <v>46006</v>
      </c>
    </row>
    <row r="28" spans="1:17" ht="150">
      <c r="A28" s="21">
        <v>27</v>
      </c>
      <c r="B28" s="1" t="s">
        <v>2258</v>
      </c>
      <c r="C28" s="21"/>
      <c r="D28" s="21"/>
      <c r="E28" s="21" t="s">
        <v>30</v>
      </c>
      <c r="F28" s="21" t="s">
        <v>22</v>
      </c>
      <c r="G28" s="21" t="s">
        <v>2114</v>
      </c>
      <c r="H28" s="1" t="s">
        <v>2259</v>
      </c>
      <c r="I28" s="1" t="s">
        <v>933</v>
      </c>
      <c r="J28" s="1" t="s">
        <v>2260</v>
      </c>
      <c r="K28" s="1" t="s">
        <v>2261</v>
      </c>
      <c r="L28" s="1" t="s">
        <v>2262</v>
      </c>
      <c r="M28" s="56" t="s">
        <v>2263</v>
      </c>
      <c r="N28" s="3" t="s">
        <v>274</v>
      </c>
      <c r="O28" s="2" t="s">
        <v>935</v>
      </c>
      <c r="P28" s="12">
        <v>46006</v>
      </c>
    </row>
    <row r="29" spans="1:17" ht="150">
      <c r="A29" s="21">
        <v>28</v>
      </c>
      <c r="B29" s="1" t="s">
        <v>2264</v>
      </c>
      <c r="C29" s="21"/>
      <c r="D29" s="21"/>
      <c r="E29" s="21" t="s">
        <v>30</v>
      </c>
      <c r="F29" s="21" t="s">
        <v>22</v>
      </c>
      <c r="G29" s="21" t="s">
        <v>2114</v>
      </c>
      <c r="H29" s="1" t="s">
        <v>2265</v>
      </c>
      <c r="I29" s="1" t="s">
        <v>933</v>
      </c>
      <c r="J29" s="1" t="s">
        <v>2266</v>
      </c>
      <c r="K29" s="1" t="s">
        <v>2267</v>
      </c>
      <c r="L29" s="1" t="s">
        <v>2268</v>
      </c>
      <c r="M29" s="56" t="s">
        <v>2269</v>
      </c>
      <c r="N29" s="3" t="s">
        <v>274</v>
      </c>
      <c r="O29" s="2" t="s">
        <v>935</v>
      </c>
      <c r="P29" s="12">
        <v>46006</v>
      </c>
    </row>
    <row r="30" spans="1:17" ht="150">
      <c r="A30" s="21">
        <v>29</v>
      </c>
      <c r="B30" s="1" t="s">
        <v>2270</v>
      </c>
      <c r="C30" s="21"/>
      <c r="D30" s="21"/>
      <c r="E30" s="21" t="s">
        <v>30</v>
      </c>
      <c r="F30" s="21" t="s">
        <v>22</v>
      </c>
      <c r="G30" s="21" t="s">
        <v>2114</v>
      </c>
      <c r="H30" s="1" t="s">
        <v>2271</v>
      </c>
      <c r="I30" s="1" t="s">
        <v>933</v>
      </c>
      <c r="J30" s="1" t="s">
        <v>2272</v>
      </c>
      <c r="K30" s="1" t="s">
        <v>2273</v>
      </c>
      <c r="L30" s="1" t="s">
        <v>2274</v>
      </c>
      <c r="M30" s="56" t="s">
        <v>2275</v>
      </c>
      <c r="N30" s="3" t="s">
        <v>274</v>
      </c>
      <c r="O30" s="2" t="s">
        <v>935</v>
      </c>
      <c r="P30" s="12">
        <v>46006</v>
      </c>
    </row>
    <row r="31" spans="1:17" ht="150">
      <c r="A31" s="21">
        <v>30</v>
      </c>
      <c r="B31" s="1" t="s">
        <v>2276</v>
      </c>
      <c r="C31" s="21"/>
      <c r="D31" s="21"/>
      <c r="E31" s="21" t="s">
        <v>30</v>
      </c>
      <c r="F31" s="21" t="s">
        <v>22</v>
      </c>
      <c r="G31" s="21" t="s">
        <v>2114</v>
      </c>
      <c r="H31" s="1" t="s">
        <v>2277</v>
      </c>
      <c r="I31" s="1" t="s">
        <v>933</v>
      </c>
      <c r="J31" s="1" t="s">
        <v>2278</v>
      </c>
      <c r="K31" s="1" t="s">
        <v>2279</v>
      </c>
      <c r="L31" s="1" t="s">
        <v>2280</v>
      </c>
      <c r="M31" s="56" t="s">
        <v>2281</v>
      </c>
      <c r="N31" s="3" t="s">
        <v>274</v>
      </c>
      <c r="O31" s="2" t="s">
        <v>935</v>
      </c>
      <c r="P31" s="12">
        <v>46006</v>
      </c>
    </row>
    <row r="32" spans="1:17" ht="150">
      <c r="A32" s="21">
        <v>31</v>
      </c>
      <c r="B32" s="1" t="s">
        <v>2282</v>
      </c>
      <c r="C32" s="21"/>
      <c r="D32" s="21"/>
      <c r="E32" s="21" t="s">
        <v>30</v>
      </c>
      <c r="F32" s="21" t="s">
        <v>22</v>
      </c>
      <c r="G32" s="21" t="s">
        <v>2114</v>
      </c>
      <c r="H32" s="1" t="s">
        <v>2283</v>
      </c>
      <c r="I32" s="1" t="s">
        <v>933</v>
      </c>
      <c r="J32" s="1" t="s">
        <v>2284</v>
      </c>
      <c r="K32" s="1" t="s">
        <v>2285</v>
      </c>
      <c r="L32" s="1" t="s">
        <v>2286</v>
      </c>
      <c r="M32" s="56" t="s">
        <v>2287</v>
      </c>
      <c r="N32" s="3" t="s">
        <v>274</v>
      </c>
      <c r="O32" s="2" t="s">
        <v>935</v>
      </c>
      <c r="P32" s="12">
        <v>46006</v>
      </c>
    </row>
    <row r="33" spans="1:17" ht="150">
      <c r="A33" s="21">
        <v>32</v>
      </c>
      <c r="B33" s="1" t="s">
        <v>2288</v>
      </c>
      <c r="C33" s="21"/>
      <c r="D33" s="21"/>
      <c r="E33" s="21" t="s">
        <v>30</v>
      </c>
      <c r="F33" s="21" t="s">
        <v>22</v>
      </c>
      <c r="G33" s="21" t="s">
        <v>2114</v>
      </c>
      <c r="H33" s="1" t="s">
        <v>2289</v>
      </c>
      <c r="I33" s="1" t="s">
        <v>933</v>
      </c>
      <c r="J33" s="1" t="s">
        <v>2290</v>
      </c>
      <c r="K33" s="1" t="s">
        <v>2291</v>
      </c>
      <c r="L33" s="1" t="s">
        <v>2292</v>
      </c>
      <c r="M33" s="56" t="s">
        <v>2293</v>
      </c>
      <c r="N33" s="3" t="s">
        <v>274</v>
      </c>
      <c r="O33" s="2" t="s">
        <v>935</v>
      </c>
      <c r="P33" s="12">
        <v>46006</v>
      </c>
    </row>
    <row r="34" spans="1:17" ht="150">
      <c r="A34" s="21">
        <v>33</v>
      </c>
      <c r="B34" s="1" t="s">
        <v>2294</v>
      </c>
      <c r="C34" s="21"/>
      <c r="D34" s="21"/>
      <c r="E34" s="21" t="s">
        <v>30</v>
      </c>
      <c r="F34" s="21" t="s">
        <v>22</v>
      </c>
      <c r="G34" s="21" t="s">
        <v>2114</v>
      </c>
      <c r="H34" s="1" t="s">
        <v>2295</v>
      </c>
      <c r="I34" s="1" t="s">
        <v>933</v>
      </c>
      <c r="J34" s="1" t="s">
        <v>2296</v>
      </c>
      <c r="K34" s="1" t="s">
        <v>2297</v>
      </c>
      <c r="L34" s="1" t="s">
        <v>2298</v>
      </c>
      <c r="M34" s="56" t="s">
        <v>2299</v>
      </c>
      <c r="N34" s="3" t="s">
        <v>274</v>
      </c>
      <c r="O34" s="2" t="s">
        <v>935</v>
      </c>
      <c r="P34" s="12">
        <v>46006</v>
      </c>
    </row>
    <row r="35" spans="1:17" ht="150">
      <c r="A35" s="21">
        <v>34</v>
      </c>
      <c r="B35" s="1" t="s">
        <v>2300</v>
      </c>
      <c r="C35" s="21"/>
      <c r="D35" s="21"/>
      <c r="E35" s="21" t="s">
        <v>30</v>
      </c>
      <c r="F35" s="21" t="s">
        <v>22</v>
      </c>
      <c r="G35" s="21" t="s">
        <v>2114</v>
      </c>
      <c r="H35" s="1" t="s">
        <v>2301</v>
      </c>
      <c r="I35" s="1" t="s">
        <v>933</v>
      </c>
      <c r="J35" s="1" t="s">
        <v>2302</v>
      </c>
      <c r="K35" s="1" t="s">
        <v>2303</v>
      </c>
      <c r="L35" s="1" t="s">
        <v>2304</v>
      </c>
      <c r="M35" s="56" t="s">
        <v>2305</v>
      </c>
      <c r="N35" s="3" t="s">
        <v>274</v>
      </c>
      <c r="O35" s="2" t="s">
        <v>935</v>
      </c>
      <c r="P35" s="12">
        <v>46006</v>
      </c>
    </row>
    <row r="36" spans="1:17" ht="135">
      <c r="A36" s="21">
        <v>35</v>
      </c>
      <c r="B36" s="1" t="s">
        <v>2312</v>
      </c>
      <c r="C36" s="23" t="s">
        <v>3349</v>
      </c>
      <c r="D36" s="36">
        <v>46015</v>
      </c>
      <c r="E36" s="21" t="s">
        <v>30</v>
      </c>
      <c r="F36" s="21" t="s">
        <v>22</v>
      </c>
      <c r="G36" s="21" t="s">
        <v>2114</v>
      </c>
      <c r="H36" s="1" t="s">
        <v>2313</v>
      </c>
      <c r="I36" s="1" t="s">
        <v>933</v>
      </c>
      <c r="J36" s="1" t="s">
        <v>2314</v>
      </c>
      <c r="K36" s="1" t="s">
        <v>2315</v>
      </c>
      <c r="L36" s="1" t="s">
        <v>2316</v>
      </c>
      <c r="M36" s="1" t="s">
        <v>2317</v>
      </c>
      <c r="N36" s="55" t="s">
        <v>47</v>
      </c>
      <c r="O36" s="2" t="s">
        <v>935</v>
      </c>
      <c r="P36" s="12">
        <v>46006</v>
      </c>
      <c r="Q36" s="1" t="s">
        <v>3159</v>
      </c>
    </row>
    <row r="37" spans="1:17" ht="165">
      <c r="A37" s="21">
        <v>36</v>
      </c>
      <c r="B37" s="1" t="s">
        <v>2318</v>
      </c>
      <c r="C37" s="23" t="s">
        <v>3350</v>
      </c>
      <c r="D37" s="36">
        <v>46015</v>
      </c>
      <c r="E37" s="21" t="s">
        <v>30</v>
      </c>
      <c r="F37" s="21" t="s">
        <v>22</v>
      </c>
      <c r="G37" s="21" t="s">
        <v>2114</v>
      </c>
      <c r="H37" s="1" t="s">
        <v>2319</v>
      </c>
      <c r="I37" s="1" t="s">
        <v>933</v>
      </c>
      <c r="J37" s="1" t="s">
        <v>2321</v>
      </c>
      <c r="K37" s="1" t="s">
        <v>2322</v>
      </c>
      <c r="L37" s="1" t="s">
        <v>2323</v>
      </c>
      <c r="M37" s="1" t="s">
        <v>2354</v>
      </c>
      <c r="N37" s="55" t="s">
        <v>47</v>
      </c>
      <c r="O37" s="2" t="s">
        <v>935</v>
      </c>
      <c r="P37" s="12">
        <v>46006</v>
      </c>
      <c r="Q37" s="1" t="s">
        <v>3159</v>
      </c>
    </row>
    <row r="38" spans="1:17" ht="90">
      <c r="A38" s="21">
        <v>37</v>
      </c>
      <c r="B38" s="1" t="s">
        <v>2324</v>
      </c>
      <c r="C38" s="21"/>
      <c r="D38" s="21"/>
      <c r="E38" s="21" t="s">
        <v>30</v>
      </c>
      <c r="F38" s="21" t="s">
        <v>22</v>
      </c>
      <c r="G38" s="21" t="s">
        <v>2114</v>
      </c>
      <c r="H38" s="1" t="s">
        <v>2325</v>
      </c>
      <c r="I38" s="1" t="s">
        <v>933</v>
      </c>
      <c r="J38" s="1" t="s">
        <v>2320</v>
      </c>
      <c r="N38" s="20" t="s">
        <v>333</v>
      </c>
      <c r="O38" s="2" t="s">
        <v>935</v>
      </c>
      <c r="P38" s="12"/>
    </row>
    <row r="39" spans="1:17" ht="105">
      <c r="A39" s="21">
        <v>38</v>
      </c>
      <c r="B39" s="1" t="s">
        <v>2326</v>
      </c>
      <c r="C39" s="21"/>
      <c r="D39" s="21"/>
      <c r="E39" s="21" t="s">
        <v>30</v>
      </c>
      <c r="F39" s="21" t="s">
        <v>22</v>
      </c>
      <c r="G39" s="21" t="s">
        <v>2114</v>
      </c>
      <c r="H39" s="1" t="s">
        <v>2327</v>
      </c>
      <c r="I39" s="1" t="s">
        <v>933</v>
      </c>
      <c r="J39" s="1" t="s">
        <v>2328</v>
      </c>
      <c r="K39" s="14" t="s">
        <v>255</v>
      </c>
      <c r="L39" s="14" t="s">
        <v>2329</v>
      </c>
      <c r="M39" s="1" t="s">
        <v>2330</v>
      </c>
      <c r="N39" s="3" t="s">
        <v>274</v>
      </c>
      <c r="O39" s="2" t="s">
        <v>935</v>
      </c>
      <c r="P39" s="12">
        <v>46006</v>
      </c>
    </row>
    <row r="40" spans="1:17" ht="240">
      <c r="A40" s="21">
        <v>39</v>
      </c>
      <c r="B40" s="1" t="s">
        <v>2331</v>
      </c>
      <c r="C40" s="21"/>
      <c r="D40" s="21"/>
      <c r="E40" s="21" t="s">
        <v>30</v>
      </c>
      <c r="F40" s="21" t="s">
        <v>22</v>
      </c>
      <c r="G40" s="21" t="s">
        <v>2114</v>
      </c>
      <c r="H40" s="1" t="s">
        <v>2337</v>
      </c>
      <c r="I40" s="1" t="s">
        <v>933</v>
      </c>
      <c r="J40" s="1" t="s">
        <v>2333</v>
      </c>
      <c r="K40" s="57" t="s">
        <v>2332</v>
      </c>
      <c r="L40" s="14" t="s">
        <v>2334</v>
      </c>
      <c r="M40" s="14" t="s">
        <v>2335</v>
      </c>
      <c r="N40" s="3" t="s">
        <v>274</v>
      </c>
      <c r="O40" s="2" t="s">
        <v>935</v>
      </c>
      <c r="P40" s="12">
        <v>46006</v>
      </c>
    </row>
    <row r="41" spans="1:17" ht="270">
      <c r="A41" s="21">
        <v>40</v>
      </c>
      <c r="B41" s="1" t="s">
        <v>2336</v>
      </c>
      <c r="C41" s="23" t="s">
        <v>3627</v>
      </c>
      <c r="D41" s="36">
        <v>46015</v>
      </c>
      <c r="E41" s="21" t="s">
        <v>30</v>
      </c>
      <c r="F41" s="21" t="s">
        <v>22</v>
      </c>
      <c r="G41" s="21" t="s">
        <v>2114</v>
      </c>
      <c r="H41" s="1" t="s">
        <v>2341</v>
      </c>
      <c r="I41" s="1" t="s">
        <v>933</v>
      </c>
      <c r="J41" s="1" t="s">
        <v>2338</v>
      </c>
      <c r="K41" s="57" t="s">
        <v>2339</v>
      </c>
      <c r="L41" s="14" t="s">
        <v>2343</v>
      </c>
      <c r="M41" s="14" t="s">
        <v>3438</v>
      </c>
      <c r="N41" s="19" t="s">
        <v>47</v>
      </c>
      <c r="O41" s="2" t="s">
        <v>935</v>
      </c>
      <c r="P41" s="12">
        <v>46006</v>
      </c>
      <c r="Q41" s="1" t="s">
        <v>3159</v>
      </c>
    </row>
    <row r="42" spans="1:17" ht="135">
      <c r="A42" s="21">
        <v>41</v>
      </c>
      <c r="B42" s="1" t="s">
        <v>2340</v>
      </c>
      <c r="C42" s="21"/>
      <c r="D42" s="21"/>
      <c r="E42" s="21" t="s">
        <v>30</v>
      </c>
      <c r="F42" s="21" t="s">
        <v>22</v>
      </c>
      <c r="G42" s="21" t="s">
        <v>2114</v>
      </c>
      <c r="H42" s="1" t="s">
        <v>2342</v>
      </c>
      <c r="I42" s="1" t="s">
        <v>933</v>
      </c>
      <c r="J42" s="1" t="s">
        <v>2344</v>
      </c>
      <c r="K42" s="14" t="s">
        <v>255</v>
      </c>
      <c r="L42" s="14" t="s">
        <v>2345</v>
      </c>
      <c r="M42" s="14" t="s">
        <v>2346</v>
      </c>
      <c r="N42" s="3" t="s">
        <v>24</v>
      </c>
      <c r="O42" s="2" t="s">
        <v>935</v>
      </c>
      <c r="P42" s="12">
        <v>46006</v>
      </c>
    </row>
    <row r="43" spans="1:17" ht="180">
      <c r="A43" s="21">
        <v>42</v>
      </c>
      <c r="B43" s="1" t="s">
        <v>2347</v>
      </c>
      <c r="C43" s="21"/>
      <c r="D43" s="21"/>
      <c r="E43" s="21" t="s">
        <v>30</v>
      </c>
      <c r="F43" s="21" t="s">
        <v>22</v>
      </c>
      <c r="G43" s="21" t="s">
        <v>2114</v>
      </c>
      <c r="H43" s="1" t="s">
        <v>2348</v>
      </c>
      <c r="I43" s="1" t="s">
        <v>933</v>
      </c>
      <c r="J43" s="1" t="s">
        <v>2349</v>
      </c>
      <c r="K43" s="1" t="s">
        <v>2350</v>
      </c>
      <c r="L43" s="1" t="s">
        <v>2352</v>
      </c>
      <c r="M43" s="14" t="s">
        <v>2353</v>
      </c>
      <c r="N43" s="3" t="s">
        <v>274</v>
      </c>
      <c r="O43" s="2" t="s">
        <v>935</v>
      </c>
      <c r="P43" s="12">
        <v>46006</v>
      </c>
    </row>
    <row r="44" spans="1:17" ht="120">
      <c r="A44" s="21">
        <v>43</v>
      </c>
      <c r="B44" s="1" t="s">
        <v>2351</v>
      </c>
      <c r="C44" s="23" t="s">
        <v>3628</v>
      </c>
      <c r="D44" s="36">
        <v>46015</v>
      </c>
      <c r="E44" s="21" t="s">
        <v>30</v>
      </c>
      <c r="F44" s="21" t="s">
        <v>22</v>
      </c>
      <c r="G44" s="21" t="s">
        <v>2114</v>
      </c>
      <c r="H44" s="1" t="s">
        <v>2356</v>
      </c>
      <c r="I44" s="1" t="s">
        <v>933</v>
      </c>
      <c r="J44" s="1" t="s">
        <v>2338</v>
      </c>
      <c r="K44" s="1" t="s">
        <v>2355</v>
      </c>
      <c r="L44" s="14" t="s">
        <v>2357</v>
      </c>
      <c r="M44" s="31" t="s">
        <v>2358</v>
      </c>
      <c r="N44" s="19" t="s">
        <v>47</v>
      </c>
      <c r="O44" s="2" t="s">
        <v>935</v>
      </c>
      <c r="P44" s="12">
        <v>46007</v>
      </c>
      <c r="Q44" s="1" t="s">
        <v>3159</v>
      </c>
    </row>
    <row r="45" spans="1:17" ht="120">
      <c r="A45" s="21">
        <v>44</v>
      </c>
      <c r="B45" s="1" t="s">
        <v>2359</v>
      </c>
      <c r="C45" s="23" t="s">
        <v>3629</v>
      </c>
      <c r="D45" s="36">
        <v>46015</v>
      </c>
      <c r="E45" s="21" t="s">
        <v>30</v>
      </c>
      <c r="F45" s="21" t="s">
        <v>22</v>
      </c>
      <c r="G45" s="21" t="s">
        <v>2114</v>
      </c>
      <c r="H45" s="1" t="s">
        <v>2365</v>
      </c>
      <c r="I45" s="1" t="s">
        <v>933</v>
      </c>
      <c r="J45" s="1" t="s">
        <v>2361</v>
      </c>
      <c r="K45" s="1" t="s">
        <v>2360</v>
      </c>
      <c r="L45" s="14" t="s">
        <v>2362</v>
      </c>
      <c r="M45" s="31" t="s">
        <v>2363</v>
      </c>
      <c r="N45" s="19" t="s">
        <v>47</v>
      </c>
      <c r="O45" s="2" t="s">
        <v>935</v>
      </c>
      <c r="P45" s="12">
        <v>46007</v>
      </c>
    </row>
    <row r="46" spans="1:17" ht="150">
      <c r="A46" s="21">
        <v>45</v>
      </c>
      <c r="B46" s="1" t="s">
        <v>2364</v>
      </c>
      <c r="C46" s="21"/>
      <c r="D46" s="21"/>
      <c r="E46" s="21" t="s">
        <v>30</v>
      </c>
      <c r="F46" s="21" t="s">
        <v>22</v>
      </c>
      <c r="G46" s="21" t="s">
        <v>2114</v>
      </c>
      <c r="H46" s="1" t="s">
        <v>2366</v>
      </c>
      <c r="I46" s="1" t="s">
        <v>933</v>
      </c>
      <c r="J46" s="1" t="s">
        <v>2368</v>
      </c>
      <c r="K46" s="1" t="s">
        <v>2367</v>
      </c>
      <c r="L46" s="1" t="s">
        <v>2369</v>
      </c>
      <c r="M46" s="14" t="s">
        <v>2370</v>
      </c>
      <c r="N46" s="20" t="s">
        <v>333</v>
      </c>
      <c r="O46" s="2" t="s">
        <v>935</v>
      </c>
      <c r="P46" s="12">
        <v>46007</v>
      </c>
    </row>
    <row r="47" spans="1:17" ht="90">
      <c r="A47" s="21">
        <v>46</v>
      </c>
      <c r="B47" s="1" t="s">
        <v>2371</v>
      </c>
      <c r="C47" s="21"/>
      <c r="D47" s="21"/>
      <c r="E47" s="21" t="s">
        <v>30</v>
      </c>
      <c r="F47" s="21" t="s">
        <v>22</v>
      </c>
      <c r="G47" s="21" t="s">
        <v>2114</v>
      </c>
      <c r="H47" s="1" t="s">
        <v>2372</v>
      </c>
      <c r="I47" s="1" t="s">
        <v>933</v>
      </c>
      <c r="J47" s="1" t="s">
        <v>2373</v>
      </c>
      <c r="K47" s="21" t="s">
        <v>255</v>
      </c>
      <c r="L47" s="1" t="s">
        <v>2374</v>
      </c>
      <c r="M47" s="14" t="s">
        <v>258</v>
      </c>
      <c r="N47" s="3" t="s">
        <v>24</v>
      </c>
      <c r="O47" s="2" t="s">
        <v>935</v>
      </c>
      <c r="P47" s="12">
        <v>46007</v>
      </c>
    </row>
    <row r="48" spans="1:17" ht="150">
      <c r="A48" s="21">
        <v>47</v>
      </c>
      <c r="B48" s="1" t="s">
        <v>2375</v>
      </c>
      <c r="C48" s="23" t="s">
        <v>3630</v>
      </c>
      <c r="D48" s="36">
        <v>46015</v>
      </c>
      <c r="E48" s="21" t="s">
        <v>30</v>
      </c>
      <c r="F48" s="21" t="s">
        <v>22</v>
      </c>
      <c r="G48" s="21" t="s">
        <v>2114</v>
      </c>
      <c r="H48" s="1" t="s">
        <v>2376</v>
      </c>
      <c r="I48" s="1" t="s">
        <v>933</v>
      </c>
      <c r="J48" s="1" t="s">
        <v>2377</v>
      </c>
      <c r="K48" s="21" t="s">
        <v>255</v>
      </c>
      <c r="L48" s="1" t="s">
        <v>2378</v>
      </c>
      <c r="M48" s="31" t="s">
        <v>2379</v>
      </c>
      <c r="N48" s="19" t="s">
        <v>47</v>
      </c>
      <c r="O48" s="2" t="s">
        <v>935</v>
      </c>
      <c r="P48" s="12">
        <v>46007</v>
      </c>
      <c r="Q48" s="1" t="s">
        <v>3159</v>
      </c>
    </row>
    <row r="49" spans="1:17" ht="90">
      <c r="A49" s="21">
        <v>48</v>
      </c>
      <c r="B49" s="1" t="s">
        <v>2380</v>
      </c>
      <c r="C49" s="21"/>
      <c r="D49" s="21"/>
      <c r="E49" s="21" t="s">
        <v>30</v>
      </c>
      <c r="F49" s="21" t="s">
        <v>22</v>
      </c>
      <c r="G49" s="21" t="s">
        <v>2114</v>
      </c>
      <c r="H49" s="1" t="s">
        <v>2381</v>
      </c>
      <c r="I49" s="1" t="s">
        <v>933</v>
      </c>
      <c r="J49" s="1" t="s">
        <v>2382</v>
      </c>
      <c r="K49" s="1" t="s">
        <v>255</v>
      </c>
      <c r="L49" s="1" t="s">
        <v>2383</v>
      </c>
      <c r="M49" s="1" t="s">
        <v>6061</v>
      </c>
      <c r="N49" s="47" t="s">
        <v>274</v>
      </c>
      <c r="O49" s="2" t="s">
        <v>935</v>
      </c>
      <c r="P49" s="12">
        <v>46007</v>
      </c>
    </row>
    <row r="50" spans="1:17" ht="105">
      <c r="A50" s="21">
        <v>49</v>
      </c>
      <c r="B50" s="1" t="s">
        <v>2384</v>
      </c>
      <c r="C50" s="21"/>
      <c r="D50" s="21"/>
      <c r="E50" s="21" t="s">
        <v>30</v>
      </c>
      <c r="F50" s="21" t="s">
        <v>22</v>
      </c>
      <c r="G50" s="21" t="s">
        <v>2114</v>
      </c>
      <c r="H50" s="1" t="s">
        <v>2385</v>
      </c>
      <c r="I50" s="1" t="s">
        <v>933</v>
      </c>
      <c r="J50" s="1" t="s">
        <v>2386</v>
      </c>
      <c r="K50" s="1" t="s">
        <v>255</v>
      </c>
      <c r="L50" s="1" t="s">
        <v>2387</v>
      </c>
      <c r="M50" s="1" t="s">
        <v>258</v>
      </c>
      <c r="N50" s="3" t="s">
        <v>24</v>
      </c>
      <c r="O50" s="2" t="s">
        <v>935</v>
      </c>
      <c r="P50" s="12">
        <v>46007</v>
      </c>
    </row>
    <row r="51" spans="1:17" ht="105">
      <c r="A51" s="50">
        <v>50</v>
      </c>
      <c r="B51" s="49" t="s">
        <v>2390</v>
      </c>
      <c r="C51" s="50"/>
      <c r="D51" s="50"/>
      <c r="E51" s="50" t="s">
        <v>30</v>
      </c>
      <c r="F51" s="50" t="s">
        <v>22</v>
      </c>
      <c r="G51" s="50" t="s">
        <v>2114</v>
      </c>
      <c r="H51" s="49" t="s">
        <v>2391</v>
      </c>
      <c r="I51" s="49" t="s">
        <v>933</v>
      </c>
      <c r="J51" s="49" t="s">
        <v>2392</v>
      </c>
      <c r="K51" s="49" t="s">
        <v>255</v>
      </c>
      <c r="L51" s="49" t="s">
        <v>2393</v>
      </c>
      <c r="M51" s="49" t="s">
        <v>2394</v>
      </c>
      <c r="N51" s="47" t="s">
        <v>274</v>
      </c>
      <c r="O51" s="51" t="s">
        <v>935</v>
      </c>
      <c r="P51" s="52">
        <v>46007</v>
      </c>
    </row>
    <row r="52" spans="1:17" ht="120">
      <c r="A52" s="21">
        <v>51</v>
      </c>
      <c r="B52" s="1" t="s">
        <v>2395</v>
      </c>
      <c r="C52" s="23" t="s">
        <v>3631</v>
      </c>
      <c r="D52" s="36">
        <v>46015</v>
      </c>
      <c r="E52" s="21" t="s">
        <v>30</v>
      </c>
      <c r="F52" s="21" t="s">
        <v>22</v>
      </c>
      <c r="G52" s="21" t="s">
        <v>2114</v>
      </c>
      <c r="H52" s="1" t="s">
        <v>2397</v>
      </c>
      <c r="I52" s="1" t="s">
        <v>933</v>
      </c>
      <c r="J52" s="1" t="s">
        <v>2398</v>
      </c>
      <c r="K52" s="1" t="s">
        <v>2396</v>
      </c>
      <c r="L52" s="1" t="s">
        <v>2399</v>
      </c>
      <c r="M52" s="1" t="s">
        <v>2400</v>
      </c>
      <c r="N52" s="19" t="s">
        <v>47</v>
      </c>
      <c r="O52" s="2" t="s">
        <v>935</v>
      </c>
      <c r="P52" s="12">
        <v>46007</v>
      </c>
      <c r="Q52" s="1" t="s">
        <v>3159</v>
      </c>
    </row>
    <row r="53" spans="1:17" ht="120">
      <c r="A53" s="21">
        <v>52</v>
      </c>
      <c r="B53" s="1" t="s">
        <v>2401</v>
      </c>
      <c r="C53" s="23" t="s">
        <v>3632</v>
      </c>
      <c r="D53" s="36">
        <v>46015</v>
      </c>
      <c r="E53" s="21" t="s">
        <v>30</v>
      </c>
      <c r="F53" s="21" t="s">
        <v>22</v>
      </c>
      <c r="G53" s="21" t="s">
        <v>2114</v>
      </c>
      <c r="H53" s="1" t="s">
        <v>2402</v>
      </c>
      <c r="I53" s="1" t="s">
        <v>933</v>
      </c>
      <c r="J53" s="1" t="s">
        <v>2403</v>
      </c>
      <c r="K53" s="1" t="s">
        <v>2404</v>
      </c>
      <c r="L53" s="1" t="s">
        <v>2405</v>
      </c>
      <c r="M53" s="1" t="s">
        <v>2406</v>
      </c>
      <c r="N53" s="19" t="s">
        <v>47</v>
      </c>
      <c r="O53" s="2" t="s">
        <v>935</v>
      </c>
      <c r="P53" s="12">
        <v>46007</v>
      </c>
      <c r="Q53" s="1" t="s">
        <v>3159</v>
      </c>
    </row>
    <row r="54" spans="1:17" ht="105">
      <c r="A54" s="21">
        <v>53</v>
      </c>
      <c r="B54" s="1" t="s">
        <v>2407</v>
      </c>
      <c r="C54" s="21"/>
      <c r="D54" s="21"/>
      <c r="E54" s="21" t="s">
        <v>30</v>
      </c>
      <c r="F54" s="21" t="s">
        <v>22</v>
      </c>
      <c r="G54" s="21" t="s">
        <v>2114</v>
      </c>
      <c r="H54" s="1" t="s">
        <v>2408</v>
      </c>
      <c r="I54" s="1" t="s">
        <v>933</v>
      </c>
      <c r="J54" s="1" t="s">
        <v>2409</v>
      </c>
      <c r="K54" s="1" t="s">
        <v>2410</v>
      </c>
      <c r="L54" s="1" t="s">
        <v>2411</v>
      </c>
      <c r="M54" s="1" t="s">
        <v>2412</v>
      </c>
      <c r="N54" s="3" t="s">
        <v>24</v>
      </c>
      <c r="O54" s="2" t="s">
        <v>935</v>
      </c>
      <c r="P54" s="12">
        <v>46007</v>
      </c>
    </row>
    <row r="55" spans="1:17" ht="105">
      <c r="A55" s="21">
        <v>54</v>
      </c>
      <c r="B55" s="1" t="s">
        <v>2413</v>
      </c>
      <c r="C55" s="21"/>
      <c r="D55" s="21"/>
      <c r="E55" s="21" t="s">
        <v>30</v>
      </c>
      <c r="F55" s="21" t="s">
        <v>22</v>
      </c>
      <c r="G55" s="21" t="s">
        <v>2114</v>
      </c>
      <c r="H55" s="1" t="s">
        <v>2414</v>
      </c>
      <c r="I55" s="1" t="s">
        <v>933</v>
      </c>
      <c r="J55" s="1" t="s">
        <v>2415</v>
      </c>
      <c r="K55" s="1" t="s">
        <v>2416</v>
      </c>
      <c r="L55" s="1" t="s">
        <v>2417</v>
      </c>
      <c r="M55" s="1" t="s">
        <v>2418</v>
      </c>
      <c r="N55" s="3" t="s">
        <v>24</v>
      </c>
      <c r="O55" s="2" t="s">
        <v>935</v>
      </c>
      <c r="P55" s="12">
        <v>46007</v>
      </c>
    </row>
    <row r="56" spans="1:17" ht="105">
      <c r="A56" s="21">
        <v>55</v>
      </c>
      <c r="B56" s="1" t="s">
        <v>2419</v>
      </c>
      <c r="C56" s="21"/>
      <c r="D56" s="21"/>
      <c r="E56" s="21" t="s">
        <v>30</v>
      </c>
      <c r="F56" s="21" t="s">
        <v>22</v>
      </c>
      <c r="G56" s="21" t="s">
        <v>2114</v>
      </c>
      <c r="H56" s="1" t="s">
        <v>2420</v>
      </c>
      <c r="I56" s="1" t="s">
        <v>933</v>
      </c>
      <c r="J56" s="1" t="s">
        <v>2421</v>
      </c>
      <c r="K56" s="1" t="s">
        <v>2424</v>
      </c>
      <c r="L56" s="1" t="s">
        <v>2422</v>
      </c>
      <c r="M56" s="1" t="s">
        <v>2423</v>
      </c>
      <c r="N56" s="3" t="s">
        <v>24</v>
      </c>
      <c r="O56" s="2" t="s">
        <v>935</v>
      </c>
      <c r="P56" s="12">
        <v>46007</v>
      </c>
    </row>
    <row r="57" spans="1:17" ht="105">
      <c r="A57" s="21">
        <v>56</v>
      </c>
      <c r="B57" s="1" t="s">
        <v>2425</v>
      </c>
      <c r="C57" s="21"/>
      <c r="D57" s="21"/>
      <c r="E57" s="21" t="s">
        <v>30</v>
      </c>
      <c r="F57" s="21" t="s">
        <v>22</v>
      </c>
      <c r="G57" s="21" t="s">
        <v>2114</v>
      </c>
      <c r="H57" s="1" t="s">
        <v>2426</v>
      </c>
      <c r="I57" s="1" t="s">
        <v>933</v>
      </c>
      <c r="J57" s="1" t="s">
        <v>2427</v>
      </c>
      <c r="K57" s="1" t="s">
        <v>2176</v>
      </c>
      <c r="L57" s="1" t="s">
        <v>2177</v>
      </c>
      <c r="M57" s="1" t="s">
        <v>2178</v>
      </c>
      <c r="N57" s="3" t="s">
        <v>24</v>
      </c>
      <c r="O57" s="2" t="s">
        <v>935</v>
      </c>
      <c r="P57" s="12">
        <v>46007</v>
      </c>
    </row>
    <row r="58" spans="1:17" ht="120">
      <c r="A58" s="21">
        <v>57</v>
      </c>
      <c r="B58" s="1" t="s">
        <v>2428</v>
      </c>
      <c r="C58" s="21"/>
      <c r="D58" s="21"/>
      <c r="E58" s="21" t="s">
        <v>30</v>
      </c>
      <c r="F58" s="21" t="s">
        <v>22</v>
      </c>
      <c r="G58" s="21" t="s">
        <v>2114</v>
      </c>
      <c r="H58" s="14" t="s">
        <v>2430</v>
      </c>
      <c r="I58" s="1" t="s">
        <v>933</v>
      </c>
      <c r="J58" s="1" t="s">
        <v>2431</v>
      </c>
      <c r="K58" s="1" t="s">
        <v>2429</v>
      </c>
      <c r="L58" s="14" t="s">
        <v>2432</v>
      </c>
      <c r="M58" s="1" t="s">
        <v>2440</v>
      </c>
      <c r="N58" s="3" t="s">
        <v>24</v>
      </c>
      <c r="O58" s="2" t="s">
        <v>935</v>
      </c>
      <c r="P58" s="12">
        <v>46007</v>
      </c>
    </row>
    <row r="59" spans="1:17" ht="90">
      <c r="A59" s="21">
        <v>58</v>
      </c>
      <c r="B59" s="1" t="s">
        <v>2433</v>
      </c>
      <c r="C59" s="21"/>
      <c r="D59" s="21"/>
      <c r="E59" s="21" t="s">
        <v>30</v>
      </c>
      <c r="F59" s="21" t="s">
        <v>22</v>
      </c>
      <c r="G59" s="21" t="s">
        <v>2114</v>
      </c>
      <c r="H59" s="14" t="s">
        <v>2434</v>
      </c>
      <c r="I59" s="1" t="s">
        <v>933</v>
      </c>
      <c r="J59" s="1" t="s">
        <v>2435</v>
      </c>
      <c r="K59" s="14" t="s">
        <v>255</v>
      </c>
      <c r="L59" s="14" t="s">
        <v>2436</v>
      </c>
      <c r="M59" s="1" t="s">
        <v>2439</v>
      </c>
      <c r="N59" s="3" t="s">
        <v>24</v>
      </c>
      <c r="O59" s="2" t="s">
        <v>935</v>
      </c>
      <c r="P59" s="12">
        <v>46007</v>
      </c>
    </row>
    <row r="60" spans="1:17" ht="150">
      <c r="A60" s="21">
        <v>59</v>
      </c>
      <c r="B60" s="1" t="s">
        <v>2437</v>
      </c>
      <c r="C60" s="21"/>
      <c r="D60" s="21"/>
      <c r="E60" s="21" t="s">
        <v>30</v>
      </c>
      <c r="F60" s="21" t="s">
        <v>22</v>
      </c>
      <c r="G60" s="21" t="s">
        <v>2114</v>
      </c>
      <c r="H60" s="1" t="s">
        <v>2438</v>
      </c>
      <c r="I60" s="1" t="s">
        <v>933</v>
      </c>
      <c r="J60" s="1" t="s">
        <v>2444</v>
      </c>
      <c r="K60" s="21" t="s">
        <v>255</v>
      </c>
      <c r="L60" s="1" t="s">
        <v>2378</v>
      </c>
      <c r="M60" s="14" t="s">
        <v>2441</v>
      </c>
      <c r="N60" s="3" t="s">
        <v>24</v>
      </c>
      <c r="O60" s="2" t="s">
        <v>935</v>
      </c>
      <c r="P60" s="12">
        <v>46007</v>
      </c>
    </row>
    <row r="61" spans="1:17" ht="105">
      <c r="A61" s="21">
        <v>60</v>
      </c>
      <c r="B61" s="1" t="s">
        <v>2442</v>
      </c>
      <c r="C61" s="21"/>
      <c r="D61" s="21"/>
      <c r="E61" s="21" t="s">
        <v>30</v>
      </c>
      <c r="F61" s="21" t="s">
        <v>22</v>
      </c>
      <c r="G61" s="21" t="s">
        <v>2114</v>
      </c>
      <c r="H61" s="1" t="s">
        <v>2443</v>
      </c>
      <c r="I61" s="1" t="s">
        <v>933</v>
      </c>
      <c r="J61" s="1" t="s">
        <v>2445</v>
      </c>
      <c r="K61" s="1" t="s">
        <v>255</v>
      </c>
      <c r="L61" s="1" t="s">
        <v>2387</v>
      </c>
      <c r="M61" s="1" t="s">
        <v>258</v>
      </c>
      <c r="N61" s="3" t="s">
        <v>24</v>
      </c>
      <c r="O61" s="2" t="s">
        <v>935</v>
      </c>
      <c r="P61" s="12">
        <v>46007</v>
      </c>
    </row>
  </sheetData>
  <autoFilter ref="A1:V61"/>
  <hyperlinks>
    <hyperlink ref="C9" r:id="rId1" display="https://hanssupport.atlassian.net/browse/BA-336"/>
    <hyperlink ref="C10" r:id="rId2" display="https://hanssupport.atlassian.net/browse/BA-337"/>
    <hyperlink ref="C17" r:id="rId3" display="https://hanssupport.atlassian.net/browse/BA-339"/>
    <hyperlink ref="C18" r:id="rId4" display="https://hanssupport.atlassian.net/browse/BA-340"/>
    <hyperlink ref="C23" r:id="rId5" display="https://hanssupport.atlassian.net/browse/BA-341"/>
    <hyperlink ref="C36" r:id="rId6" display="https://hanssupport.atlassian.net/browse/BA-342"/>
    <hyperlink ref="C37" r:id="rId7" display="https://hanssupport.atlassian.net/browse/BA-343"/>
    <hyperlink ref="C41" r:id="rId8" display="https://hanssupport.atlassian.net/browse/BA-349"/>
    <hyperlink ref="C44" r:id="rId9" display="https://hanssupport.atlassian.net/browse/BA-350"/>
    <hyperlink ref="C45" r:id="rId10" display="https://hanssupport.atlassian.net/browse/BA-350"/>
    <hyperlink ref="C48" r:id="rId11" display="https://hanssupport.atlassian.net/browse/BA-351"/>
    <hyperlink ref="C52" r:id="rId12" display="https://hanssupport.atlassian.net/browse/BA-352"/>
    <hyperlink ref="C53" r:id="rId13" display="https://hanssupport.atlassian.net/browse/BA-353"/>
  </hyperlinks>
  <pageMargins left="0.7" right="0.7" top="0.75" bottom="0.75" header="0.3" footer="0.3"/>
  <pageSetup paperSize="9" orientation="portrait" verticalDpi="0" r:id="rId14"/>
</worksheet>
</file>

<file path=xl/worksheets/sheet31.xml><?xml version="1.0" encoding="utf-8"?>
<worksheet xmlns="http://schemas.openxmlformats.org/spreadsheetml/2006/main" xmlns:r="http://schemas.openxmlformats.org/officeDocument/2006/relationships">
  <dimension ref="A1:V60"/>
  <sheetViews>
    <sheetView topLeftCell="K1" workbookViewId="0">
      <pane ySplit="1" topLeftCell="A42" activePane="bottomLeft" state="frozen"/>
      <selection pane="bottomLeft" activeCell="N44" sqref="N44"/>
    </sheetView>
  </sheetViews>
  <sheetFormatPr defaultRowHeight="15"/>
  <cols>
    <col min="1" max="1" width="8" style="1" customWidth="1"/>
    <col min="2" max="2" width="24.85546875" style="1" customWidth="1"/>
    <col min="3" max="3" width="13.140625" style="1" customWidth="1"/>
    <col min="4" max="4" width="20.42578125" style="1" customWidth="1"/>
    <col min="5" max="5" width="13.7109375" style="1" customWidth="1"/>
    <col min="6" max="6" width="11.5703125" style="1" customWidth="1"/>
    <col min="7" max="7" width="25.85546875" style="1" customWidth="1"/>
    <col min="8" max="8" width="59.7109375" style="1" customWidth="1"/>
    <col min="9" max="9" width="44" style="1" customWidth="1"/>
    <col min="10" max="10" width="63.140625" style="1" customWidth="1"/>
    <col min="11" max="11" width="31.7109375" style="1" customWidth="1"/>
    <col min="12" max="12" width="60.140625" style="1" customWidth="1"/>
    <col min="13" max="13" width="51.5703125" style="1" customWidth="1"/>
    <col min="14" max="14" width="17.140625" style="1" customWidth="1"/>
    <col min="15" max="15" width="36.5703125" style="1" customWidth="1"/>
    <col min="16" max="16" width="20.28515625" style="1" customWidth="1"/>
    <col min="17" max="17" width="18.7109375" style="1" customWidth="1"/>
    <col min="18" max="18" width="21.140625" style="1" customWidth="1"/>
    <col min="19" max="19" width="19.28515625" style="1" customWidth="1"/>
    <col min="20" max="20" width="25.5703125" style="1" customWidth="1"/>
    <col min="21" max="21" width="27.28515625" style="1" customWidth="1"/>
    <col min="22" max="22" width="20.140625"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2446</v>
      </c>
      <c r="E2" s="1" t="s">
        <v>30</v>
      </c>
      <c r="F2" s="1" t="s">
        <v>22</v>
      </c>
      <c r="G2" s="1" t="s">
        <v>2447</v>
      </c>
      <c r="H2" s="1" t="s">
        <v>2448</v>
      </c>
      <c r="I2" s="1" t="s">
        <v>933</v>
      </c>
      <c r="J2" s="1" t="s">
        <v>2449</v>
      </c>
      <c r="K2" s="1" t="s">
        <v>1074</v>
      </c>
      <c r="L2" s="1" t="s">
        <v>2450</v>
      </c>
      <c r="M2" s="1" t="s">
        <v>2451</v>
      </c>
      <c r="N2" s="3" t="s">
        <v>24</v>
      </c>
      <c r="O2" s="2" t="s">
        <v>935</v>
      </c>
      <c r="P2" s="12">
        <v>46007</v>
      </c>
    </row>
    <row r="3" spans="1:22" ht="120">
      <c r="A3" s="1">
        <v>2</v>
      </c>
      <c r="B3" s="1" t="s">
        <v>2452</v>
      </c>
      <c r="C3" s="23" t="s">
        <v>3633</v>
      </c>
      <c r="D3" s="36">
        <v>46015</v>
      </c>
      <c r="E3" s="1" t="s">
        <v>30</v>
      </c>
      <c r="F3" s="1" t="s">
        <v>22</v>
      </c>
      <c r="G3" s="1" t="s">
        <v>2447</v>
      </c>
      <c r="H3" s="1" t="s">
        <v>2453</v>
      </c>
      <c r="I3" s="1" t="s">
        <v>933</v>
      </c>
      <c r="J3" s="1" t="s">
        <v>2454</v>
      </c>
      <c r="K3" s="1" t="s">
        <v>2455</v>
      </c>
      <c r="L3" s="1" t="s">
        <v>1645</v>
      </c>
      <c r="M3" s="1" t="s">
        <v>2456</v>
      </c>
      <c r="N3" s="19" t="s">
        <v>47</v>
      </c>
      <c r="O3" s="2" t="s">
        <v>935</v>
      </c>
      <c r="P3" s="12">
        <v>46007</v>
      </c>
      <c r="Q3" s="1" t="s">
        <v>3159</v>
      </c>
    </row>
    <row r="4" spans="1:22" ht="135">
      <c r="A4" s="1">
        <v>3</v>
      </c>
      <c r="B4" s="1" t="s">
        <v>2458</v>
      </c>
      <c r="E4" s="1" t="s">
        <v>30</v>
      </c>
      <c r="F4" s="1" t="s">
        <v>22</v>
      </c>
      <c r="G4" s="1" t="s">
        <v>2447</v>
      </c>
      <c r="H4" s="1" t="s">
        <v>2457</v>
      </c>
      <c r="I4" s="1" t="s">
        <v>933</v>
      </c>
      <c r="J4" s="1" t="s">
        <v>2459</v>
      </c>
      <c r="K4" s="1" t="s">
        <v>255</v>
      </c>
      <c r="L4" s="1" t="s">
        <v>2460</v>
      </c>
      <c r="M4" s="1" t="s">
        <v>2461</v>
      </c>
      <c r="N4" s="3" t="s">
        <v>274</v>
      </c>
      <c r="O4" s="2" t="s">
        <v>935</v>
      </c>
      <c r="P4" s="12">
        <v>46007</v>
      </c>
    </row>
    <row r="5" spans="1:22" ht="165">
      <c r="A5" s="1">
        <v>4</v>
      </c>
      <c r="B5" s="1" t="s">
        <v>2462</v>
      </c>
      <c r="C5" s="23" t="s">
        <v>3634</v>
      </c>
      <c r="D5" s="36">
        <v>46015</v>
      </c>
      <c r="E5" s="1" t="s">
        <v>30</v>
      </c>
      <c r="F5" s="1" t="s">
        <v>22</v>
      </c>
      <c r="G5" s="1" t="s">
        <v>2447</v>
      </c>
      <c r="H5" s="1" t="s">
        <v>2464</v>
      </c>
      <c r="I5" s="1" t="s">
        <v>933</v>
      </c>
      <c r="J5" s="1" t="s">
        <v>2465</v>
      </c>
      <c r="K5" s="1" t="s">
        <v>2463</v>
      </c>
      <c r="L5" s="1" t="s">
        <v>2466</v>
      </c>
      <c r="M5" s="14" t="s">
        <v>2467</v>
      </c>
      <c r="N5" s="19" t="s">
        <v>47</v>
      </c>
      <c r="O5" s="2" t="s">
        <v>935</v>
      </c>
      <c r="P5" s="12">
        <v>46008</v>
      </c>
      <c r="Q5" s="1" t="s">
        <v>3159</v>
      </c>
    </row>
    <row r="6" spans="1:22" ht="165">
      <c r="A6" s="1">
        <v>5</v>
      </c>
      <c r="B6" s="1" t="s">
        <v>2468</v>
      </c>
      <c r="C6" s="23" t="s">
        <v>3635</v>
      </c>
      <c r="D6" s="36">
        <v>46017</v>
      </c>
      <c r="E6" s="1" t="s">
        <v>30</v>
      </c>
      <c r="F6" s="1" t="s">
        <v>22</v>
      </c>
      <c r="G6" s="1" t="s">
        <v>2447</v>
      </c>
      <c r="H6" s="1" t="s">
        <v>2469</v>
      </c>
      <c r="I6" s="1" t="s">
        <v>933</v>
      </c>
      <c r="J6" s="1" t="s">
        <v>3439</v>
      </c>
      <c r="K6" s="1" t="s">
        <v>2470</v>
      </c>
      <c r="L6" s="1" t="s">
        <v>2471</v>
      </c>
      <c r="M6" s="31" t="s">
        <v>2472</v>
      </c>
      <c r="N6" s="19" t="s">
        <v>47</v>
      </c>
      <c r="O6" s="2" t="s">
        <v>935</v>
      </c>
      <c r="P6" s="12">
        <v>46008</v>
      </c>
      <c r="Q6" s="1" t="s">
        <v>3159</v>
      </c>
    </row>
    <row r="7" spans="1:22" ht="105">
      <c r="A7" s="1">
        <v>6</v>
      </c>
      <c r="B7" s="1" t="s">
        <v>2473</v>
      </c>
      <c r="E7" s="1" t="s">
        <v>30</v>
      </c>
      <c r="F7" s="1" t="s">
        <v>22</v>
      </c>
      <c r="G7" s="1" t="s">
        <v>2474</v>
      </c>
      <c r="H7" s="1" t="s">
        <v>2475</v>
      </c>
      <c r="I7" s="1" t="s">
        <v>933</v>
      </c>
      <c r="J7" s="1" t="s">
        <v>2476</v>
      </c>
      <c r="K7" s="1" t="s">
        <v>2477</v>
      </c>
      <c r="L7" s="1" t="s">
        <v>2478</v>
      </c>
      <c r="M7" s="1" t="s">
        <v>2479</v>
      </c>
      <c r="N7" s="3" t="s">
        <v>24</v>
      </c>
      <c r="O7" s="2" t="s">
        <v>935</v>
      </c>
      <c r="P7" s="12">
        <v>46008</v>
      </c>
    </row>
    <row r="8" spans="1:22" ht="120">
      <c r="A8" s="1">
        <v>7</v>
      </c>
      <c r="B8" s="1" t="s">
        <v>2481</v>
      </c>
      <c r="E8" s="1" t="s">
        <v>30</v>
      </c>
      <c r="F8" s="1" t="s">
        <v>22</v>
      </c>
      <c r="G8" s="1" t="s">
        <v>2474</v>
      </c>
      <c r="H8" s="1" t="s">
        <v>2480</v>
      </c>
      <c r="I8" s="1" t="s">
        <v>933</v>
      </c>
      <c r="J8" s="1" t="s">
        <v>2493</v>
      </c>
      <c r="K8" s="1" t="s">
        <v>2482</v>
      </c>
      <c r="L8" s="5" t="s">
        <v>2484</v>
      </c>
      <c r="M8" s="5" t="s">
        <v>2483</v>
      </c>
      <c r="N8" s="3" t="s">
        <v>24</v>
      </c>
      <c r="O8" s="2" t="s">
        <v>935</v>
      </c>
      <c r="P8" s="12">
        <v>46008</v>
      </c>
    </row>
    <row r="9" spans="1:22" ht="105">
      <c r="A9" s="1">
        <v>8</v>
      </c>
      <c r="B9" s="1" t="s">
        <v>2485</v>
      </c>
      <c r="E9" s="1" t="s">
        <v>30</v>
      </c>
      <c r="F9" s="1" t="s">
        <v>22</v>
      </c>
      <c r="G9" s="1" t="s">
        <v>2474</v>
      </c>
      <c r="H9" s="1" t="s">
        <v>2486</v>
      </c>
      <c r="I9" s="1" t="s">
        <v>933</v>
      </c>
      <c r="J9" s="1" t="s">
        <v>2487</v>
      </c>
      <c r="K9" s="1" t="s">
        <v>2488</v>
      </c>
      <c r="L9" s="1" t="s">
        <v>2489</v>
      </c>
      <c r="M9" s="1" t="s">
        <v>2490</v>
      </c>
      <c r="N9" s="3" t="s">
        <v>24</v>
      </c>
      <c r="O9" s="2" t="s">
        <v>935</v>
      </c>
      <c r="P9" s="12">
        <v>46008</v>
      </c>
    </row>
    <row r="10" spans="1:22" ht="120">
      <c r="A10" s="1">
        <v>9</v>
      </c>
      <c r="B10" s="1" t="s">
        <v>2491</v>
      </c>
      <c r="E10" s="1" t="s">
        <v>30</v>
      </c>
      <c r="F10" s="1" t="s">
        <v>22</v>
      </c>
      <c r="G10" s="1" t="s">
        <v>2474</v>
      </c>
      <c r="H10" s="1" t="s">
        <v>2492</v>
      </c>
      <c r="I10" s="1" t="s">
        <v>933</v>
      </c>
      <c r="J10" s="1" t="s">
        <v>2494</v>
      </c>
      <c r="K10" s="1" t="s">
        <v>2495</v>
      </c>
      <c r="L10" s="5" t="s">
        <v>2496</v>
      </c>
      <c r="M10" s="5" t="s">
        <v>2497</v>
      </c>
      <c r="N10" s="3" t="s">
        <v>24</v>
      </c>
      <c r="O10" s="2" t="s">
        <v>935</v>
      </c>
      <c r="P10" s="12">
        <v>46008</v>
      </c>
    </row>
    <row r="11" spans="1:22" ht="120">
      <c r="A11" s="1">
        <v>10</v>
      </c>
      <c r="B11" s="1" t="s">
        <v>2498</v>
      </c>
      <c r="E11" s="1" t="s">
        <v>30</v>
      </c>
      <c r="F11" s="1" t="s">
        <v>22</v>
      </c>
      <c r="G11" s="1" t="s">
        <v>2474</v>
      </c>
      <c r="H11" s="1" t="s">
        <v>2499</v>
      </c>
      <c r="I11" s="1" t="s">
        <v>933</v>
      </c>
      <c r="J11" s="1" t="s">
        <v>2500</v>
      </c>
      <c r="K11" s="1" t="s">
        <v>2501</v>
      </c>
      <c r="L11" s="5" t="s">
        <v>2502</v>
      </c>
      <c r="M11" s="5" t="s">
        <v>2503</v>
      </c>
      <c r="N11" s="3" t="s">
        <v>24</v>
      </c>
      <c r="O11" s="2" t="s">
        <v>935</v>
      </c>
      <c r="P11" s="12">
        <v>46008</v>
      </c>
    </row>
    <row r="12" spans="1:22" ht="120">
      <c r="A12" s="1">
        <v>11</v>
      </c>
      <c r="B12" s="1" t="s">
        <v>2504</v>
      </c>
      <c r="E12" s="1" t="s">
        <v>30</v>
      </c>
      <c r="F12" s="1" t="s">
        <v>22</v>
      </c>
      <c r="G12" s="1" t="s">
        <v>2474</v>
      </c>
      <c r="H12" s="1" t="s">
        <v>2505</v>
      </c>
      <c r="I12" s="1" t="s">
        <v>933</v>
      </c>
      <c r="J12" s="1" t="s">
        <v>2506</v>
      </c>
      <c r="K12" s="1" t="s">
        <v>2507</v>
      </c>
      <c r="L12" s="5" t="s">
        <v>2508</v>
      </c>
      <c r="M12" s="5" t="s">
        <v>2509</v>
      </c>
      <c r="N12" s="3" t="s">
        <v>24</v>
      </c>
      <c r="O12" s="2" t="s">
        <v>935</v>
      </c>
      <c r="P12" s="12">
        <v>46008</v>
      </c>
    </row>
    <row r="13" spans="1:22" ht="90">
      <c r="A13" s="1">
        <v>12</v>
      </c>
      <c r="B13" s="1" t="s">
        <v>2510</v>
      </c>
      <c r="E13" s="1" t="s">
        <v>30</v>
      </c>
      <c r="F13" s="1" t="s">
        <v>22</v>
      </c>
      <c r="G13" s="1" t="s">
        <v>2474</v>
      </c>
      <c r="H13" s="1" t="s">
        <v>2511</v>
      </c>
      <c r="I13" s="1" t="s">
        <v>933</v>
      </c>
      <c r="J13" s="1" t="s">
        <v>2512</v>
      </c>
      <c r="K13" s="1" t="s">
        <v>2513</v>
      </c>
      <c r="L13" s="1" t="s">
        <v>2514</v>
      </c>
      <c r="M13" s="1" t="s">
        <v>2515</v>
      </c>
      <c r="N13" s="3" t="s">
        <v>274</v>
      </c>
      <c r="O13" s="2" t="s">
        <v>935</v>
      </c>
      <c r="P13" s="12">
        <v>46008</v>
      </c>
    </row>
    <row r="14" spans="1:22" ht="120">
      <c r="A14" s="1">
        <v>13</v>
      </c>
      <c r="B14" s="1" t="s">
        <v>2516</v>
      </c>
      <c r="E14" s="1" t="s">
        <v>30</v>
      </c>
      <c r="F14" s="1" t="s">
        <v>22</v>
      </c>
      <c r="G14" s="1" t="s">
        <v>2474</v>
      </c>
      <c r="H14" s="1" t="s">
        <v>2517</v>
      </c>
      <c r="I14" s="1" t="s">
        <v>933</v>
      </c>
      <c r="J14" s="1" t="s">
        <v>2518</v>
      </c>
      <c r="K14" s="1" t="s">
        <v>2519</v>
      </c>
      <c r="L14" s="5" t="s">
        <v>2520</v>
      </c>
      <c r="M14" s="5" t="s">
        <v>2521</v>
      </c>
      <c r="N14" s="3" t="s">
        <v>24</v>
      </c>
      <c r="O14" s="2" t="s">
        <v>935</v>
      </c>
      <c r="P14" s="12">
        <v>46008</v>
      </c>
    </row>
    <row r="15" spans="1:22" ht="120">
      <c r="A15" s="1">
        <v>14</v>
      </c>
      <c r="B15" s="1" t="s">
        <v>2522</v>
      </c>
      <c r="E15" s="1" t="s">
        <v>30</v>
      </c>
      <c r="F15" s="1" t="s">
        <v>22</v>
      </c>
      <c r="G15" s="1" t="s">
        <v>2474</v>
      </c>
      <c r="H15" s="1" t="s">
        <v>2523</v>
      </c>
      <c r="I15" s="1" t="s">
        <v>933</v>
      </c>
      <c r="J15" s="1" t="s">
        <v>2524</v>
      </c>
      <c r="K15" s="1" t="s">
        <v>2525</v>
      </c>
      <c r="L15" s="5" t="s">
        <v>2526</v>
      </c>
      <c r="M15" s="5" t="s">
        <v>2185</v>
      </c>
      <c r="N15" s="3" t="s">
        <v>24</v>
      </c>
      <c r="O15" s="2" t="s">
        <v>935</v>
      </c>
      <c r="P15" s="12">
        <v>46008</v>
      </c>
    </row>
    <row r="16" spans="1:22" ht="120">
      <c r="A16" s="1">
        <v>15</v>
      </c>
      <c r="B16" s="1" t="s">
        <v>2527</v>
      </c>
      <c r="E16" s="1" t="s">
        <v>30</v>
      </c>
      <c r="F16" s="1" t="s">
        <v>22</v>
      </c>
      <c r="G16" s="1" t="s">
        <v>2474</v>
      </c>
      <c r="H16" s="1" t="s">
        <v>2528</v>
      </c>
      <c r="I16" s="1" t="s">
        <v>933</v>
      </c>
      <c r="J16" s="1" t="s">
        <v>2529</v>
      </c>
      <c r="K16" s="1" t="s">
        <v>2530</v>
      </c>
      <c r="L16" s="5" t="s">
        <v>2531</v>
      </c>
      <c r="M16" s="5" t="s">
        <v>2178</v>
      </c>
      <c r="N16" s="3" t="s">
        <v>24</v>
      </c>
      <c r="O16" s="2" t="s">
        <v>935</v>
      </c>
      <c r="P16" s="12">
        <v>46008</v>
      </c>
    </row>
    <row r="17" spans="1:17" ht="165">
      <c r="A17" s="1">
        <v>16</v>
      </c>
      <c r="B17" s="1" t="s">
        <v>2532</v>
      </c>
      <c r="C17" s="23" t="s">
        <v>3636</v>
      </c>
      <c r="D17" s="36">
        <v>46018</v>
      </c>
      <c r="E17" s="1" t="s">
        <v>30</v>
      </c>
      <c r="F17" s="1" t="s">
        <v>22</v>
      </c>
      <c r="G17" s="1" t="s">
        <v>2474</v>
      </c>
      <c r="H17" s="1" t="s">
        <v>2533</v>
      </c>
      <c r="I17" s="1" t="s">
        <v>933</v>
      </c>
      <c r="J17" s="1" t="s">
        <v>2536</v>
      </c>
      <c r="K17" s="5" t="s">
        <v>2541</v>
      </c>
      <c r="L17" s="5" t="s">
        <v>2542</v>
      </c>
      <c r="M17" s="1" t="s">
        <v>2543</v>
      </c>
      <c r="N17" s="19" t="s">
        <v>47</v>
      </c>
      <c r="O17" s="2" t="s">
        <v>935</v>
      </c>
      <c r="P17" s="12">
        <v>46008</v>
      </c>
      <c r="Q17" s="1" t="s">
        <v>3159</v>
      </c>
    </row>
    <row r="18" spans="1:17" ht="165">
      <c r="A18" s="1">
        <v>17</v>
      </c>
      <c r="B18" s="1" t="s">
        <v>2534</v>
      </c>
      <c r="E18" s="1" t="s">
        <v>30</v>
      </c>
      <c r="F18" s="1" t="s">
        <v>22</v>
      </c>
      <c r="G18" s="1" t="s">
        <v>2474</v>
      </c>
      <c r="H18" s="1" t="s">
        <v>2535</v>
      </c>
      <c r="I18" s="1" t="s">
        <v>933</v>
      </c>
      <c r="J18" s="1" t="s">
        <v>2537</v>
      </c>
      <c r="K18" s="5" t="s">
        <v>2544</v>
      </c>
      <c r="L18" s="5" t="s">
        <v>2545</v>
      </c>
      <c r="M18" s="90" t="s">
        <v>2546</v>
      </c>
      <c r="N18" s="3" t="s">
        <v>274</v>
      </c>
      <c r="O18" s="2" t="s">
        <v>935</v>
      </c>
      <c r="P18" s="12">
        <v>46008</v>
      </c>
    </row>
    <row r="19" spans="1:17" ht="165">
      <c r="A19" s="1">
        <v>18</v>
      </c>
      <c r="B19" s="1" t="s">
        <v>2538</v>
      </c>
      <c r="E19" s="1" t="s">
        <v>30</v>
      </c>
      <c r="F19" s="1" t="s">
        <v>22</v>
      </c>
      <c r="G19" s="1" t="s">
        <v>2474</v>
      </c>
      <c r="H19" s="1" t="s">
        <v>2539</v>
      </c>
      <c r="I19" s="1" t="s">
        <v>933</v>
      </c>
      <c r="J19" s="1" t="s">
        <v>2540</v>
      </c>
      <c r="K19" s="1" t="s">
        <v>2547</v>
      </c>
      <c r="L19" s="5" t="s">
        <v>2548</v>
      </c>
      <c r="M19" s="90" t="s">
        <v>2549</v>
      </c>
      <c r="N19" s="3" t="s">
        <v>274</v>
      </c>
      <c r="O19" s="2" t="s">
        <v>935</v>
      </c>
      <c r="P19" s="12">
        <v>46008</v>
      </c>
    </row>
    <row r="20" spans="1:17" ht="90">
      <c r="A20" s="1">
        <v>19</v>
      </c>
      <c r="B20" s="1" t="s">
        <v>2550</v>
      </c>
      <c r="E20" s="1" t="s">
        <v>30</v>
      </c>
      <c r="F20" s="1" t="s">
        <v>22</v>
      </c>
      <c r="G20" s="1" t="s">
        <v>2474</v>
      </c>
      <c r="H20" s="1" t="s">
        <v>2551</v>
      </c>
      <c r="I20" s="1" t="s">
        <v>933</v>
      </c>
      <c r="J20" s="1" t="s">
        <v>2553</v>
      </c>
      <c r="K20" s="1" t="s">
        <v>255</v>
      </c>
      <c r="L20" s="1" t="s">
        <v>405</v>
      </c>
      <c r="M20" s="1" t="s">
        <v>2552</v>
      </c>
      <c r="N20" s="20" t="s">
        <v>333</v>
      </c>
      <c r="O20" s="2" t="s">
        <v>935</v>
      </c>
      <c r="P20" s="12">
        <v>46008</v>
      </c>
    </row>
    <row r="21" spans="1:17" ht="165">
      <c r="A21" s="1">
        <v>20</v>
      </c>
      <c r="B21" s="1" t="s">
        <v>2554</v>
      </c>
      <c r="E21" s="1" t="s">
        <v>30</v>
      </c>
      <c r="F21" s="1" t="s">
        <v>22</v>
      </c>
      <c r="G21" s="1" t="s">
        <v>2474</v>
      </c>
      <c r="H21" s="1" t="s">
        <v>2555</v>
      </c>
      <c r="I21" s="1" t="s">
        <v>933</v>
      </c>
      <c r="J21" s="1" t="s">
        <v>2556</v>
      </c>
      <c r="K21" s="1" t="s">
        <v>2557</v>
      </c>
      <c r="L21" s="5" t="s">
        <v>2558</v>
      </c>
      <c r="M21" s="90" t="s">
        <v>2559</v>
      </c>
      <c r="N21" s="3" t="s">
        <v>274</v>
      </c>
      <c r="O21" s="2" t="s">
        <v>935</v>
      </c>
      <c r="P21" s="12">
        <v>46008</v>
      </c>
    </row>
    <row r="22" spans="1:17" ht="255">
      <c r="A22" s="1">
        <v>21</v>
      </c>
      <c r="B22" s="1" t="s">
        <v>2560</v>
      </c>
      <c r="C22" s="23" t="s">
        <v>3637</v>
      </c>
      <c r="D22" s="36">
        <v>46018</v>
      </c>
      <c r="E22" s="1" t="s">
        <v>30</v>
      </c>
      <c r="F22" s="1" t="s">
        <v>22</v>
      </c>
      <c r="G22" s="1" t="s">
        <v>2474</v>
      </c>
      <c r="H22" s="1" t="s">
        <v>2561</v>
      </c>
      <c r="I22" s="1" t="s">
        <v>933</v>
      </c>
      <c r="J22" s="1" t="s">
        <v>2562</v>
      </c>
      <c r="K22" s="1" t="s">
        <v>2563</v>
      </c>
      <c r="L22" s="1" t="s">
        <v>2564</v>
      </c>
      <c r="M22" s="1" t="s">
        <v>2617</v>
      </c>
      <c r="N22" s="19" t="s">
        <v>47</v>
      </c>
      <c r="O22" s="2" t="s">
        <v>935</v>
      </c>
      <c r="P22" s="12">
        <v>46008</v>
      </c>
      <c r="Q22" s="1" t="s">
        <v>3159</v>
      </c>
    </row>
    <row r="23" spans="1:17" ht="90">
      <c r="A23" s="1">
        <v>22</v>
      </c>
      <c r="B23" s="1" t="s">
        <v>2565</v>
      </c>
      <c r="C23" s="23" t="s">
        <v>3638</v>
      </c>
      <c r="D23" s="36">
        <v>46020</v>
      </c>
      <c r="E23" s="1" t="s">
        <v>30</v>
      </c>
      <c r="F23" s="1" t="s">
        <v>22</v>
      </c>
      <c r="G23" s="1" t="s">
        <v>2474</v>
      </c>
      <c r="H23" s="1" t="s">
        <v>2566</v>
      </c>
      <c r="I23" s="1" t="s">
        <v>933</v>
      </c>
      <c r="J23" s="1" t="s">
        <v>2567</v>
      </c>
      <c r="K23" s="1" t="s">
        <v>2568</v>
      </c>
      <c r="L23" s="1" t="s">
        <v>2569</v>
      </c>
      <c r="M23" s="1" t="s">
        <v>2570</v>
      </c>
      <c r="N23" s="19" t="s">
        <v>47</v>
      </c>
      <c r="O23" s="2" t="s">
        <v>935</v>
      </c>
      <c r="P23" s="12">
        <v>46008</v>
      </c>
      <c r="Q23" s="1" t="s">
        <v>3159</v>
      </c>
    </row>
    <row r="24" spans="1:17" ht="105">
      <c r="A24" s="1">
        <v>23</v>
      </c>
      <c r="B24" s="1" t="s">
        <v>2571</v>
      </c>
      <c r="E24" s="1" t="s">
        <v>30</v>
      </c>
      <c r="F24" s="1" t="s">
        <v>22</v>
      </c>
      <c r="G24" s="1" t="s">
        <v>2474</v>
      </c>
      <c r="H24" s="1" t="s">
        <v>2572</v>
      </c>
      <c r="I24" s="1" t="s">
        <v>933</v>
      </c>
      <c r="J24" s="1" t="s">
        <v>2577</v>
      </c>
      <c r="K24" s="1" t="s">
        <v>2573</v>
      </c>
      <c r="L24" s="1" t="s">
        <v>3641</v>
      </c>
      <c r="M24" s="1" t="s">
        <v>3640</v>
      </c>
      <c r="N24" s="3" t="s">
        <v>24</v>
      </c>
      <c r="O24" s="2" t="s">
        <v>935</v>
      </c>
      <c r="P24" s="12">
        <v>46008</v>
      </c>
    </row>
    <row r="25" spans="1:17" ht="105">
      <c r="A25" s="1">
        <v>24</v>
      </c>
      <c r="B25" s="1" t="s">
        <v>2574</v>
      </c>
      <c r="E25" s="1" t="s">
        <v>30</v>
      </c>
      <c r="F25" s="1" t="s">
        <v>22</v>
      </c>
      <c r="G25" s="1" t="s">
        <v>2474</v>
      </c>
      <c r="H25" s="1" t="s">
        <v>2575</v>
      </c>
      <c r="I25" s="1" t="s">
        <v>933</v>
      </c>
      <c r="J25" s="1" t="s">
        <v>2576</v>
      </c>
      <c r="K25" s="1" t="s">
        <v>2578</v>
      </c>
      <c r="L25" s="1" t="s">
        <v>2579</v>
      </c>
      <c r="M25" s="1" t="s">
        <v>2580</v>
      </c>
      <c r="N25" s="3" t="s">
        <v>24</v>
      </c>
      <c r="O25" s="2" t="s">
        <v>935</v>
      </c>
      <c r="P25" s="12">
        <v>46008</v>
      </c>
    </row>
    <row r="26" spans="1:17" ht="120">
      <c r="A26" s="1">
        <v>25</v>
      </c>
      <c r="B26" s="1" t="s">
        <v>2581</v>
      </c>
      <c r="E26" s="1" t="s">
        <v>30</v>
      </c>
      <c r="F26" s="1" t="s">
        <v>22</v>
      </c>
      <c r="G26" s="1" t="s">
        <v>2474</v>
      </c>
      <c r="H26" s="1" t="s">
        <v>2582</v>
      </c>
      <c r="I26" s="1" t="s">
        <v>933</v>
      </c>
      <c r="J26" s="1" t="s">
        <v>2583</v>
      </c>
      <c r="K26" s="1" t="s">
        <v>2584</v>
      </c>
      <c r="L26" s="5" t="s">
        <v>2585</v>
      </c>
      <c r="M26" s="5" t="s">
        <v>2586</v>
      </c>
      <c r="N26" s="3" t="s">
        <v>24</v>
      </c>
      <c r="O26" s="2" t="s">
        <v>935</v>
      </c>
      <c r="P26" s="12">
        <v>46008</v>
      </c>
    </row>
    <row r="27" spans="1:17" ht="105">
      <c r="A27" s="1">
        <v>26</v>
      </c>
      <c r="B27" s="1" t="s">
        <v>2587</v>
      </c>
      <c r="E27" s="1" t="s">
        <v>30</v>
      </c>
      <c r="F27" s="1" t="s">
        <v>22</v>
      </c>
      <c r="G27" s="1" t="s">
        <v>2474</v>
      </c>
      <c r="H27" s="1" t="s">
        <v>2588</v>
      </c>
      <c r="I27" s="1" t="s">
        <v>933</v>
      </c>
      <c r="J27" s="1" t="s">
        <v>2589</v>
      </c>
      <c r="K27" s="1" t="s">
        <v>2590</v>
      </c>
      <c r="L27" s="1" t="s">
        <v>2591</v>
      </c>
      <c r="M27" s="1" t="s">
        <v>2592</v>
      </c>
      <c r="N27" s="3" t="s">
        <v>24</v>
      </c>
      <c r="O27" s="2" t="s">
        <v>935</v>
      </c>
      <c r="P27" s="12">
        <v>46008</v>
      </c>
    </row>
    <row r="28" spans="1:17" ht="105">
      <c r="A28" s="1">
        <v>27</v>
      </c>
      <c r="B28" s="1" t="s">
        <v>2593</v>
      </c>
      <c r="E28" s="1" t="s">
        <v>30</v>
      </c>
      <c r="F28" s="1" t="s">
        <v>22</v>
      </c>
      <c r="G28" s="1" t="s">
        <v>2474</v>
      </c>
      <c r="H28" s="1" t="s">
        <v>2594</v>
      </c>
      <c r="I28" s="1" t="s">
        <v>933</v>
      </c>
      <c r="J28" s="1" t="s">
        <v>2595</v>
      </c>
      <c r="K28" s="1" t="s">
        <v>2596</v>
      </c>
      <c r="L28" s="1" t="s">
        <v>2597</v>
      </c>
      <c r="M28" s="1" t="s">
        <v>2598</v>
      </c>
      <c r="N28" s="3" t="s">
        <v>24</v>
      </c>
      <c r="O28" s="2" t="s">
        <v>935</v>
      </c>
      <c r="P28" s="12">
        <v>46008</v>
      </c>
    </row>
    <row r="29" spans="1:17" ht="255">
      <c r="A29" s="1">
        <v>28</v>
      </c>
      <c r="B29" s="1" t="s">
        <v>2599</v>
      </c>
      <c r="C29" s="23" t="s">
        <v>3643</v>
      </c>
      <c r="D29" s="36">
        <v>46020</v>
      </c>
      <c r="E29" s="1" t="s">
        <v>30</v>
      </c>
      <c r="F29" s="1" t="s">
        <v>22</v>
      </c>
      <c r="G29" s="1" t="s">
        <v>2474</v>
      </c>
      <c r="H29" s="1" t="s">
        <v>2600</v>
      </c>
      <c r="I29" s="1" t="s">
        <v>933</v>
      </c>
      <c r="J29" s="1" t="s">
        <v>2601</v>
      </c>
      <c r="K29" s="1" t="s">
        <v>2602</v>
      </c>
      <c r="L29" s="1" t="s">
        <v>2603</v>
      </c>
      <c r="M29" s="1" t="s">
        <v>2616</v>
      </c>
      <c r="N29" s="19" t="s">
        <v>47</v>
      </c>
      <c r="O29" s="2" t="s">
        <v>935</v>
      </c>
      <c r="P29" s="12">
        <v>46008</v>
      </c>
      <c r="Q29" s="1" t="s">
        <v>3159</v>
      </c>
    </row>
    <row r="30" spans="1:17" ht="255">
      <c r="A30" s="1">
        <v>29</v>
      </c>
      <c r="B30" s="1" t="s">
        <v>2604</v>
      </c>
      <c r="C30" s="23" t="s">
        <v>3644</v>
      </c>
      <c r="D30" s="36">
        <v>46020</v>
      </c>
      <c r="E30" s="1" t="s">
        <v>30</v>
      </c>
      <c r="F30" s="1" t="s">
        <v>22</v>
      </c>
      <c r="G30" s="1" t="s">
        <v>2474</v>
      </c>
      <c r="H30" s="1" t="s">
        <v>2605</v>
      </c>
      <c r="I30" s="1" t="s">
        <v>933</v>
      </c>
      <c r="J30" s="1" t="s">
        <v>2606</v>
      </c>
      <c r="K30" s="1" t="s">
        <v>2607</v>
      </c>
      <c r="L30" s="1" t="s">
        <v>2608</v>
      </c>
      <c r="M30" s="1" t="s">
        <v>2615</v>
      </c>
      <c r="N30" s="19" t="s">
        <v>47</v>
      </c>
      <c r="O30" s="2" t="s">
        <v>935</v>
      </c>
      <c r="P30" s="12">
        <v>46008</v>
      </c>
      <c r="Q30" s="1" t="s">
        <v>3159</v>
      </c>
    </row>
    <row r="31" spans="1:17" ht="255">
      <c r="A31" s="1">
        <v>30</v>
      </c>
      <c r="B31" s="1" t="s">
        <v>2609</v>
      </c>
      <c r="C31" s="23" t="s">
        <v>3645</v>
      </c>
      <c r="D31" s="36">
        <v>46020</v>
      </c>
      <c r="E31" s="1" t="s">
        <v>30</v>
      </c>
      <c r="F31" s="1" t="s">
        <v>22</v>
      </c>
      <c r="G31" s="1" t="s">
        <v>2474</v>
      </c>
      <c r="H31" s="1" t="s">
        <v>2610</v>
      </c>
      <c r="I31" s="1" t="s">
        <v>933</v>
      </c>
      <c r="J31" s="1" t="s">
        <v>2611</v>
      </c>
      <c r="K31" s="1" t="s">
        <v>2612</v>
      </c>
      <c r="L31" s="1" t="s">
        <v>2613</v>
      </c>
      <c r="M31" s="1" t="s">
        <v>2614</v>
      </c>
      <c r="N31" s="19" t="s">
        <v>47</v>
      </c>
      <c r="O31" s="2" t="s">
        <v>935</v>
      </c>
      <c r="P31" s="12">
        <v>46008</v>
      </c>
      <c r="Q31" s="1" t="s">
        <v>3159</v>
      </c>
    </row>
    <row r="32" spans="1:17" ht="105">
      <c r="A32" s="1">
        <v>31</v>
      </c>
      <c r="B32" s="1" t="s">
        <v>2618</v>
      </c>
      <c r="C32" s="23" t="s">
        <v>3646</v>
      </c>
      <c r="D32" s="36">
        <v>46020</v>
      </c>
      <c r="E32" s="1" t="s">
        <v>30</v>
      </c>
      <c r="F32" s="1" t="s">
        <v>22</v>
      </c>
      <c r="G32" s="1" t="s">
        <v>2474</v>
      </c>
      <c r="H32" s="1" t="s">
        <v>2619</v>
      </c>
      <c r="I32" s="1" t="s">
        <v>933</v>
      </c>
      <c r="J32" s="1" t="s">
        <v>2620</v>
      </c>
      <c r="K32" s="1" t="s">
        <v>2621</v>
      </c>
      <c r="L32" s="1" t="s">
        <v>2622</v>
      </c>
      <c r="M32" s="1" t="s">
        <v>2623</v>
      </c>
      <c r="N32" s="19" t="s">
        <v>47</v>
      </c>
      <c r="O32" s="2" t="s">
        <v>935</v>
      </c>
      <c r="P32" s="12">
        <v>46008</v>
      </c>
      <c r="Q32" s="1" t="s">
        <v>3159</v>
      </c>
    </row>
    <row r="33" spans="1:17" ht="255">
      <c r="A33" s="1">
        <v>32</v>
      </c>
      <c r="B33" s="1" t="s">
        <v>2624</v>
      </c>
      <c r="C33" s="23" t="s">
        <v>3647</v>
      </c>
      <c r="D33" s="36">
        <v>46020</v>
      </c>
      <c r="E33" s="1" t="s">
        <v>30</v>
      </c>
      <c r="F33" s="1" t="s">
        <v>22</v>
      </c>
      <c r="G33" s="1" t="s">
        <v>2474</v>
      </c>
      <c r="H33" s="1" t="s">
        <v>2625</v>
      </c>
      <c r="I33" s="1" t="s">
        <v>933</v>
      </c>
      <c r="J33" s="1" t="s">
        <v>2626</v>
      </c>
      <c r="K33" s="1" t="s">
        <v>2627</v>
      </c>
      <c r="L33" s="1" t="s">
        <v>2628</v>
      </c>
      <c r="M33" s="1" t="s">
        <v>2629</v>
      </c>
      <c r="N33" s="19" t="s">
        <v>47</v>
      </c>
      <c r="O33" s="2" t="s">
        <v>935</v>
      </c>
      <c r="P33" s="12">
        <v>46008</v>
      </c>
      <c r="Q33" s="1" t="s">
        <v>3159</v>
      </c>
    </row>
    <row r="34" spans="1:17" ht="105">
      <c r="A34" s="1">
        <v>33</v>
      </c>
      <c r="B34" s="1" t="s">
        <v>2630</v>
      </c>
      <c r="E34" s="1" t="s">
        <v>30</v>
      </c>
      <c r="F34" s="1" t="s">
        <v>22</v>
      </c>
      <c r="G34" s="1" t="s">
        <v>2474</v>
      </c>
      <c r="H34" s="1" t="s">
        <v>2631</v>
      </c>
      <c r="I34" s="1" t="s">
        <v>933</v>
      </c>
      <c r="J34" s="1" t="s">
        <v>2632</v>
      </c>
      <c r="K34" s="1" t="s">
        <v>2633</v>
      </c>
      <c r="L34" s="1" t="s">
        <v>2634</v>
      </c>
      <c r="M34" s="1" t="s">
        <v>2635</v>
      </c>
      <c r="N34" s="3" t="s">
        <v>24</v>
      </c>
      <c r="O34" s="2" t="s">
        <v>935</v>
      </c>
      <c r="P34" s="12">
        <v>46008</v>
      </c>
    </row>
    <row r="35" spans="1:17" ht="255">
      <c r="A35" s="1">
        <v>34</v>
      </c>
      <c r="B35" s="1" t="s">
        <v>2636</v>
      </c>
      <c r="C35" s="23" t="s">
        <v>3648</v>
      </c>
      <c r="D35" s="36">
        <v>46020</v>
      </c>
      <c r="E35" s="1" t="s">
        <v>30</v>
      </c>
      <c r="F35" s="1" t="s">
        <v>22</v>
      </c>
      <c r="G35" s="1" t="s">
        <v>2474</v>
      </c>
      <c r="H35" s="1" t="s">
        <v>2637</v>
      </c>
      <c r="I35" s="1" t="s">
        <v>933</v>
      </c>
      <c r="J35" s="1" t="s">
        <v>2638</v>
      </c>
      <c r="K35" s="1" t="s">
        <v>2639</v>
      </c>
      <c r="L35" s="1" t="s">
        <v>2640</v>
      </c>
      <c r="M35" s="1" t="s">
        <v>2641</v>
      </c>
      <c r="N35" s="19" t="s">
        <v>47</v>
      </c>
      <c r="O35" s="2" t="s">
        <v>935</v>
      </c>
      <c r="P35" s="12">
        <v>46009</v>
      </c>
      <c r="Q35" s="1" t="s">
        <v>3159</v>
      </c>
    </row>
    <row r="36" spans="1:17" ht="105">
      <c r="A36" s="1">
        <v>35</v>
      </c>
      <c r="B36" s="1" t="s">
        <v>2643</v>
      </c>
      <c r="E36" s="1" t="s">
        <v>30</v>
      </c>
      <c r="F36" s="1" t="s">
        <v>22</v>
      </c>
      <c r="G36" s="1" t="s">
        <v>2474</v>
      </c>
      <c r="H36" s="1" t="s">
        <v>2642</v>
      </c>
      <c r="I36" s="1" t="s">
        <v>933</v>
      </c>
      <c r="J36" s="1" t="s">
        <v>2644</v>
      </c>
      <c r="K36" s="1" t="s">
        <v>2645</v>
      </c>
      <c r="L36" s="1" t="s">
        <v>2646</v>
      </c>
      <c r="M36" s="1" t="s">
        <v>2647</v>
      </c>
      <c r="N36" s="47" t="s">
        <v>24</v>
      </c>
      <c r="O36" s="2" t="s">
        <v>2648</v>
      </c>
      <c r="P36" s="48">
        <v>46008</v>
      </c>
    </row>
    <row r="37" spans="1:17" ht="120">
      <c r="A37" s="1">
        <v>36</v>
      </c>
      <c r="B37" s="1" t="s">
        <v>2649</v>
      </c>
      <c r="E37" s="1" t="s">
        <v>30</v>
      </c>
      <c r="F37" s="1" t="s">
        <v>22</v>
      </c>
      <c r="G37" s="1" t="s">
        <v>2474</v>
      </c>
      <c r="H37" s="1" t="s">
        <v>2650</v>
      </c>
      <c r="I37" s="1" t="s">
        <v>933</v>
      </c>
      <c r="J37" s="1" t="s">
        <v>2651</v>
      </c>
      <c r="K37" s="1" t="s">
        <v>2652</v>
      </c>
      <c r="L37" s="1" t="s">
        <v>2653</v>
      </c>
      <c r="M37" s="56" t="s">
        <v>2654</v>
      </c>
      <c r="N37" s="47" t="s">
        <v>24</v>
      </c>
      <c r="O37" s="2" t="s">
        <v>2648</v>
      </c>
      <c r="P37" s="48">
        <v>46008</v>
      </c>
    </row>
    <row r="38" spans="1:17" ht="255">
      <c r="A38" s="1">
        <v>37</v>
      </c>
      <c r="B38" s="1" t="s">
        <v>2655</v>
      </c>
      <c r="C38" s="23" t="s">
        <v>3649</v>
      </c>
      <c r="D38" s="36">
        <v>46020</v>
      </c>
      <c r="E38" s="1" t="s">
        <v>30</v>
      </c>
      <c r="F38" s="1" t="s">
        <v>22</v>
      </c>
      <c r="G38" s="1" t="s">
        <v>2474</v>
      </c>
      <c r="H38" s="1" t="s">
        <v>2656</v>
      </c>
      <c r="I38" s="1" t="s">
        <v>933</v>
      </c>
      <c r="J38" s="1" t="s">
        <v>2657</v>
      </c>
      <c r="K38" s="1" t="s">
        <v>2658</v>
      </c>
      <c r="L38" s="1" t="s">
        <v>2659</v>
      </c>
      <c r="M38" s="1" t="s">
        <v>2660</v>
      </c>
      <c r="N38" s="19" t="s">
        <v>47</v>
      </c>
      <c r="O38" s="2" t="s">
        <v>935</v>
      </c>
      <c r="P38" s="12">
        <v>46009</v>
      </c>
      <c r="Q38" s="1" t="s">
        <v>3159</v>
      </c>
    </row>
    <row r="39" spans="1:17" ht="105">
      <c r="A39" s="1">
        <v>38</v>
      </c>
      <c r="B39" s="1" t="s">
        <v>2661</v>
      </c>
      <c r="E39" s="1" t="s">
        <v>30</v>
      </c>
      <c r="F39" s="1" t="s">
        <v>22</v>
      </c>
      <c r="G39" s="1" t="s">
        <v>2474</v>
      </c>
      <c r="H39" s="1" t="s">
        <v>2662</v>
      </c>
      <c r="I39" s="1" t="s">
        <v>933</v>
      </c>
      <c r="J39" s="1" t="s">
        <v>2663</v>
      </c>
      <c r="K39" s="1" t="s">
        <v>2664</v>
      </c>
      <c r="L39" s="1" t="s">
        <v>2665</v>
      </c>
      <c r="M39" s="1" t="s">
        <v>2666</v>
      </c>
      <c r="N39" s="47" t="s">
        <v>24</v>
      </c>
      <c r="O39" s="2" t="s">
        <v>935</v>
      </c>
      <c r="P39" s="12">
        <v>46009</v>
      </c>
    </row>
    <row r="40" spans="1:17" ht="120">
      <c r="A40" s="1">
        <v>39</v>
      </c>
      <c r="B40" s="1" t="s">
        <v>2667</v>
      </c>
      <c r="E40" s="1" t="s">
        <v>30</v>
      </c>
      <c r="F40" s="1" t="s">
        <v>22</v>
      </c>
      <c r="G40" s="1" t="s">
        <v>2474</v>
      </c>
      <c r="H40" s="1" t="s">
        <v>2668</v>
      </c>
      <c r="I40" s="1" t="s">
        <v>933</v>
      </c>
      <c r="J40" s="1" t="s">
        <v>2669</v>
      </c>
      <c r="K40" s="1" t="s">
        <v>2670</v>
      </c>
      <c r="L40" s="5" t="s">
        <v>2671</v>
      </c>
      <c r="M40" s="5" t="s">
        <v>2672</v>
      </c>
      <c r="N40" s="47" t="s">
        <v>24</v>
      </c>
      <c r="O40" s="2" t="s">
        <v>935</v>
      </c>
      <c r="P40" s="12">
        <v>46009</v>
      </c>
    </row>
    <row r="41" spans="1:17" ht="105">
      <c r="A41" s="1">
        <v>40</v>
      </c>
      <c r="B41" s="1" t="s">
        <v>2673</v>
      </c>
      <c r="E41" s="1" t="s">
        <v>30</v>
      </c>
      <c r="F41" s="1" t="s">
        <v>22</v>
      </c>
      <c r="G41" s="1" t="s">
        <v>2474</v>
      </c>
      <c r="H41" s="1" t="s">
        <v>2674</v>
      </c>
      <c r="I41" s="1" t="s">
        <v>933</v>
      </c>
      <c r="J41" s="1" t="s">
        <v>2675</v>
      </c>
      <c r="K41" s="1" t="s">
        <v>2678</v>
      </c>
      <c r="L41" s="1" t="s">
        <v>2676</v>
      </c>
      <c r="M41" s="1" t="s">
        <v>2677</v>
      </c>
      <c r="N41" s="47" t="s">
        <v>24</v>
      </c>
      <c r="O41" s="2" t="s">
        <v>935</v>
      </c>
      <c r="P41" s="12">
        <v>46009</v>
      </c>
    </row>
    <row r="42" spans="1:17" ht="120">
      <c r="A42" s="1">
        <v>41</v>
      </c>
      <c r="B42" s="1" t="s">
        <v>2679</v>
      </c>
      <c r="E42" s="1" t="s">
        <v>30</v>
      </c>
      <c r="F42" s="1" t="s">
        <v>22</v>
      </c>
      <c r="G42" s="1" t="s">
        <v>2474</v>
      </c>
      <c r="H42" s="1" t="s">
        <v>2680</v>
      </c>
      <c r="I42" s="1" t="s">
        <v>933</v>
      </c>
      <c r="J42" s="1" t="s">
        <v>2681</v>
      </c>
      <c r="K42" s="1" t="s">
        <v>2684</v>
      </c>
      <c r="L42" s="5" t="s">
        <v>2682</v>
      </c>
      <c r="M42" s="5" t="s">
        <v>2683</v>
      </c>
      <c r="N42" s="47" t="s">
        <v>24</v>
      </c>
      <c r="O42" s="2" t="s">
        <v>935</v>
      </c>
      <c r="P42" s="12">
        <v>46009</v>
      </c>
    </row>
    <row r="43" spans="1:17" ht="105">
      <c r="A43" s="1">
        <v>42</v>
      </c>
      <c r="B43" s="1" t="s">
        <v>2685</v>
      </c>
      <c r="C43" s="23" t="s">
        <v>3650</v>
      </c>
      <c r="D43" s="36">
        <v>46020</v>
      </c>
      <c r="E43" s="1" t="s">
        <v>30</v>
      </c>
      <c r="F43" s="1" t="s">
        <v>22</v>
      </c>
      <c r="G43" s="1" t="s">
        <v>2474</v>
      </c>
      <c r="H43" s="1" t="s">
        <v>2686</v>
      </c>
      <c r="I43" s="1" t="s">
        <v>933</v>
      </c>
      <c r="J43" s="1" t="s">
        <v>2687</v>
      </c>
      <c r="K43" s="1" t="s">
        <v>2688</v>
      </c>
      <c r="L43" s="1" t="s">
        <v>2689</v>
      </c>
      <c r="M43" s="1" t="s">
        <v>2690</v>
      </c>
      <c r="N43" s="19" t="s">
        <v>47</v>
      </c>
      <c r="O43" s="2" t="s">
        <v>935</v>
      </c>
      <c r="P43" s="12">
        <v>46009</v>
      </c>
      <c r="Q43" s="1" t="s">
        <v>3159</v>
      </c>
    </row>
    <row r="44" spans="1:17" ht="165">
      <c r="A44" s="1">
        <v>43</v>
      </c>
      <c r="B44" s="1" t="s">
        <v>2691</v>
      </c>
      <c r="C44" s="23"/>
      <c r="D44" s="36"/>
      <c r="E44" s="1" t="s">
        <v>30</v>
      </c>
      <c r="F44" s="1" t="s">
        <v>22</v>
      </c>
      <c r="G44" s="1" t="s">
        <v>2474</v>
      </c>
      <c r="H44" s="5" t="s">
        <v>2692</v>
      </c>
      <c r="I44" s="5" t="s">
        <v>933</v>
      </c>
      <c r="J44" s="5" t="s">
        <v>2693</v>
      </c>
      <c r="K44" s="5" t="s">
        <v>2697</v>
      </c>
      <c r="L44" s="5" t="s">
        <v>2700</v>
      </c>
      <c r="M44" s="5" t="s">
        <v>2702</v>
      </c>
      <c r="N44" s="3" t="s">
        <v>274</v>
      </c>
      <c r="O44" s="2" t="s">
        <v>935</v>
      </c>
      <c r="P44" s="12">
        <v>46009</v>
      </c>
    </row>
    <row r="45" spans="1:17" ht="165">
      <c r="A45" s="1">
        <v>44</v>
      </c>
      <c r="B45" s="1" t="s">
        <v>2694</v>
      </c>
      <c r="E45" s="1" t="s">
        <v>30</v>
      </c>
      <c r="F45" s="1" t="s">
        <v>22</v>
      </c>
      <c r="G45" s="1" t="s">
        <v>2474</v>
      </c>
      <c r="H45" s="5" t="s">
        <v>2695</v>
      </c>
      <c r="I45" s="5" t="s">
        <v>933</v>
      </c>
      <c r="J45" s="5" t="s">
        <v>2696</v>
      </c>
      <c r="K45" s="5" t="s">
        <v>2698</v>
      </c>
      <c r="L45" s="5" t="s">
        <v>2699</v>
      </c>
      <c r="M45" s="5" t="s">
        <v>2701</v>
      </c>
      <c r="N45" s="3" t="s">
        <v>274</v>
      </c>
      <c r="O45" s="2" t="s">
        <v>935</v>
      </c>
      <c r="P45" s="12">
        <v>46009</v>
      </c>
    </row>
    <row r="46" spans="1:17" ht="120">
      <c r="A46" s="1">
        <v>45</v>
      </c>
      <c r="B46" s="1" t="s">
        <v>2703</v>
      </c>
      <c r="E46" s="1" t="s">
        <v>30</v>
      </c>
      <c r="F46" s="1" t="s">
        <v>22</v>
      </c>
      <c r="G46" s="1" t="s">
        <v>2474</v>
      </c>
      <c r="H46" s="1" t="s">
        <v>2704</v>
      </c>
      <c r="I46" s="1" t="s">
        <v>933</v>
      </c>
      <c r="J46" s="1" t="s">
        <v>2705</v>
      </c>
      <c r="K46" s="1" t="s">
        <v>2706</v>
      </c>
      <c r="L46" s="1" t="s">
        <v>2707</v>
      </c>
      <c r="M46" s="56" t="s">
        <v>2708</v>
      </c>
      <c r="N46" s="47" t="s">
        <v>24</v>
      </c>
      <c r="O46" s="2" t="s">
        <v>935</v>
      </c>
      <c r="P46" s="12">
        <v>46009</v>
      </c>
    </row>
    <row r="47" spans="1:17" ht="255">
      <c r="A47" s="1">
        <v>46</v>
      </c>
      <c r="B47" s="1" t="s">
        <v>2709</v>
      </c>
      <c r="C47" s="23" t="s">
        <v>3651</v>
      </c>
      <c r="D47" s="36">
        <v>46020</v>
      </c>
      <c r="E47" s="1" t="s">
        <v>30</v>
      </c>
      <c r="F47" s="1" t="s">
        <v>22</v>
      </c>
      <c r="G47" s="1" t="s">
        <v>2474</v>
      </c>
      <c r="H47" s="5" t="s">
        <v>2716</v>
      </c>
      <c r="I47" s="5" t="s">
        <v>933</v>
      </c>
      <c r="J47" s="5" t="s">
        <v>2710</v>
      </c>
      <c r="K47" s="46" t="s">
        <v>2711</v>
      </c>
      <c r="L47" s="9" t="s">
        <v>2712</v>
      </c>
      <c r="M47" s="9" t="s">
        <v>2713</v>
      </c>
      <c r="N47" s="19" t="s">
        <v>47</v>
      </c>
      <c r="O47" s="2" t="s">
        <v>935</v>
      </c>
      <c r="P47" s="12">
        <v>46009</v>
      </c>
      <c r="Q47" s="1" t="s">
        <v>3159</v>
      </c>
    </row>
    <row r="48" spans="1:17" ht="255">
      <c r="A48" s="1">
        <v>47</v>
      </c>
      <c r="B48" s="1" t="s">
        <v>2714</v>
      </c>
      <c r="C48" s="23" t="s">
        <v>3652</v>
      </c>
      <c r="D48" s="36">
        <v>46020</v>
      </c>
      <c r="E48" s="1" t="s">
        <v>30</v>
      </c>
      <c r="F48" s="1" t="s">
        <v>22</v>
      </c>
      <c r="G48" s="1" t="s">
        <v>2474</v>
      </c>
      <c r="H48" s="5" t="s">
        <v>2715</v>
      </c>
      <c r="I48" s="5" t="s">
        <v>933</v>
      </c>
      <c r="J48" s="5" t="s">
        <v>2717</v>
      </c>
      <c r="K48" s="46" t="s">
        <v>2718</v>
      </c>
      <c r="L48" s="9" t="s">
        <v>2719</v>
      </c>
      <c r="M48" s="9" t="s">
        <v>2720</v>
      </c>
      <c r="N48" s="19" t="s">
        <v>47</v>
      </c>
      <c r="O48" s="2" t="s">
        <v>935</v>
      </c>
      <c r="P48" s="12">
        <v>46009</v>
      </c>
      <c r="Q48" s="1" t="s">
        <v>3159</v>
      </c>
    </row>
    <row r="49" spans="1:17" ht="270">
      <c r="A49" s="1">
        <v>48</v>
      </c>
      <c r="B49" s="1" t="s">
        <v>2721</v>
      </c>
      <c r="C49" s="23" t="s">
        <v>3653</v>
      </c>
      <c r="D49" s="36">
        <v>46020</v>
      </c>
      <c r="E49" s="1" t="s">
        <v>30</v>
      </c>
      <c r="F49" s="1" t="s">
        <v>22</v>
      </c>
      <c r="G49" s="1" t="s">
        <v>2474</v>
      </c>
      <c r="H49" s="5" t="s">
        <v>2722</v>
      </c>
      <c r="I49" s="5" t="s">
        <v>933</v>
      </c>
      <c r="J49" s="5" t="s">
        <v>2723</v>
      </c>
      <c r="K49" s="46" t="s">
        <v>2724</v>
      </c>
      <c r="L49" s="9" t="s">
        <v>2725</v>
      </c>
      <c r="M49" s="9" t="s">
        <v>2726</v>
      </c>
      <c r="N49" s="19" t="s">
        <v>47</v>
      </c>
      <c r="O49" s="2" t="s">
        <v>935</v>
      </c>
      <c r="P49" s="12">
        <v>46009</v>
      </c>
      <c r="Q49" s="1" t="s">
        <v>3159</v>
      </c>
    </row>
    <row r="50" spans="1:17" ht="135">
      <c r="A50" s="1">
        <v>49</v>
      </c>
      <c r="B50" s="1" t="s">
        <v>2767</v>
      </c>
      <c r="E50" s="1" t="s">
        <v>30</v>
      </c>
      <c r="F50" s="1" t="s">
        <v>22</v>
      </c>
      <c r="G50" s="1" t="s">
        <v>2474</v>
      </c>
      <c r="H50" s="5" t="s">
        <v>2768</v>
      </c>
      <c r="I50" s="5" t="s">
        <v>933</v>
      </c>
      <c r="J50" s="1" t="s">
        <v>2783</v>
      </c>
      <c r="K50" s="1" t="s">
        <v>2769</v>
      </c>
      <c r="L50" s="1" t="s">
        <v>2770</v>
      </c>
      <c r="M50" s="1" t="s">
        <v>2771</v>
      </c>
      <c r="N50" s="20" t="s">
        <v>333</v>
      </c>
      <c r="O50" s="2" t="s">
        <v>935</v>
      </c>
      <c r="P50" s="12">
        <v>46010</v>
      </c>
    </row>
    <row r="51" spans="1:17" ht="135">
      <c r="A51" s="1">
        <v>50</v>
      </c>
      <c r="B51" s="1" t="s">
        <v>2772</v>
      </c>
      <c r="E51" s="1" t="s">
        <v>30</v>
      </c>
      <c r="F51" s="1" t="s">
        <v>22</v>
      </c>
      <c r="G51" s="1" t="s">
        <v>2474</v>
      </c>
      <c r="H51" s="5" t="s">
        <v>2773</v>
      </c>
      <c r="I51" s="5" t="s">
        <v>933</v>
      </c>
      <c r="J51" s="1" t="s">
        <v>2774</v>
      </c>
      <c r="K51" s="1" t="s">
        <v>2769</v>
      </c>
      <c r="L51" s="1" t="s">
        <v>2784</v>
      </c>
      <c r="M51" s="1" t="s">
        <v>2785</v>
      </c>
      <c r="N51" s="20" t="s">
        <v>333</v>
      </c>
      <c r="O51" s="2" t="s">
        <v>935</v>
      </c>
      <c r="P51" s="12">
        <v>46010</v>
      </c>
    </row>
    <row r="52" spans="1:17" ht="150">
      <c r="A52" s="1">
        <v>51</v>
      </c>
      <c r="B52" s="1" t="s">
        <v>2775</v>
      </c>
      <c r="E52" s="1" t="s">
        <v>30</v>
      </c>
      <c r="F52" s="1" t="s">
        <v>22</v>
      </c>
      <c r="G52" s="1" t="s">
        <v>2474</v>
      </c>
      <c r="H52" s="5" t="s">
        <v>2776</v>
      </c>
      <c r="I52" s="5" t="s">
        <v>933</v>
      </c>
      <c r="J52" s="1" t="s">
        <v>2777</v>
      </c>
      <c r="K52" s="1" t="s">
        <v>255</v>
      </c>
      <c r="L52" s="1" t="s">
        <v>2786</v>
      </c>
      <c r="M52" s="1" t="s">
        <v>2787</v>
      </c>
      <c r="N52" s="20" t="s">
        <v>333</v>
      </c>
      <c r="O52" s="2" t="s">
        <v>935</v>
      </c>
      <c r="P52" s="12">
        <v>46010</v>
      </c>
    </row>
    <row r="53" spans="1:17" ht="150">
      <c r="A53" s="1">
        <v>52</v>
      </c>
      <c r="B53" s="1" t="s">
        <v>2778</v>
      </c>
      <c r="E53" s="1" t="s">
        <v>30</v>
      </c>
      <c r="F53" s="1" t="s">
        <v>22</v>
      </c>
      <c r="G53" s="1" t="s">
        <v>2474</v>
      </c>
      <c r="H53" s="5" t="s">
        <v>2779</v>
      </c>
      <c r="I53" s="5" t="s">
        <v>933</v>
      </c>
      <c r="J53" s="1" t="s">
        <v>2780</v>
      </c>
      <c r="K53" s="1" t="s">
        <v>255</v>
      </c>
      <c r="L53" s="1" t="s">
        <v>2781</v>
      </c>
      <c r="M53" s="1" t="s">
        <v>2782</v>
      </c>
      <c r="N53" s="20" t="s">
        <v>333</v>
      </c>
      <c r="O53" s="2" t="s">
        <v>935</v>
      </c>
      <c r="P53" s="12">
        <v>46010</v>
      </c>
    </row>
    <row r="54" spans="1:17" ht="195">
      <c r="A54" s="1">
        <v>53</v>
      </c>
      <c r="B54" s="1" t="s">
        <v>2788</v>
      </c>
      <c r="C54" s="23" t="s">
        <v>3654</v>
      </c>
      <c r="D54" s="36">
        <v>46020</v>
      </c>
      <c r="E54" s="1" t="s">
        <v>30</v>
      </c>
      <c r="F54" s="1" t="s">
        <v>22</v>
      </c>
      <c r="G54" s="1" t="s">
        <v>2474</v>
      </c>
      <c r="H54" s="5" t="s">
        <v>2789</v>
      </c>
      <c r="I54" s="5" t="s">
        <v>933</v>
      </c>
      <c r="J54" s="5" t="s">
        <v>2791</v>
      </c>
      <c r="K54" s="5" t="s">
        <v>2790</v>
      </c>
      <c r="L54" s="5" t="s">
        <v>2792</v>
      </c>
      <c r="M54" s="5" t="s">
        <v>2793</v>
      </c>
      <c r="N54" s="19" t="s">
        <v>47</v>
      </c>
      <c r="O54" s="2" t="s">
        <v>935</v>
      </c>
      <c r="P54" s="12">
        <v>46010</v>
      </c>
      <c r="Q54" s="1" t="s">
        <v>3159</v>
      </c>
    </row>
    <row r="55" spans="1:17" ht="105">
      <c r="A55" s="1">
        <v>54</v>
      </c>
      <c r="B55" s="1" t="s">
        <v>2794</v>
      </c>
      <c r="C55" s="23" t="s">
        <v>3655</v>
      </c>
      <c r="D55" s="36">
        <v>46020</v>
      </c>
      <c r="E55" s="1" t="s">
        <v>30</v>
      </c>
      <c r="F55" s="1" t="s">
        <v>22</v>
      </c>
      <c r="G55" s="1" t="s">
        <v>2474</v>
      </c>
      <c r="H55" s="5" t="s">
        <v>2796</v>
      </c>
      <c r="I55" s="5" t="s">
        <v>933</v>
      </c>
      <c r="J55" s="5" t="s">
        <v>2797</v>
      </c>
      <c r="K55" s="1" t="s">
        <v>2795</v>
      </c>
      <c r="L55" s="1" t="s">
        <v>2798</v>
      </c>
      <c r="M55" s="1" t="s">
        <v>2799</v>
      </c>
      <c r="N55" s="19" t="s">
        <v>47</v>
      </c>
      <c r="O55" s="2" t="s">
        <v>935</v>
      </c>
      <c r="P55" s="12">
        <v>46010</v>
      </c>
      <c r="Q55" s="1" t="s">
        <v>3159</v>
      </c>
    </row>
    <row r="56" spans="1:17" ht="90">
      <c r="A56" s="1">
        <v>55</v>
      </c>
      <c r="B56" s="1" t="s">
        <v>2804</v>
      </c>
      <c r="E56" s="1" t="s">
        <v>30</v>
      </c>
      <c r="F56" s="1" t="s">
        <v>22</v>
      </c>
      <c r="G56" s="1" t="s">
        <v>2474</v>
      </c>
      <c r="H56" s="5" t="s">
        <v>2800</v>
      </c>
      <c r="I56" s="5" t="s">
        <v>933</v>
      </c>
      <c r="J56" s="5" t="s">
        <v>2801</v>
      </c>
      <c r="K56" s="1" t="s">
        <v>255</v>
      </c>
      <c r="L56" s="1" t="s">
        <v>2802</v>
      </c>
      <c r="M56" s="1" t="s">
        <v>2803</v>
      </c>
      <c r="N56" s="47" t="s">
        <v>24</v>
      </c>
      <c r="O56" s="2" t="s">
        <v>935</v>
      </c>
      <c r="P56" s="12">
        <v>46011</v>
      </c>
    </row>
    <row r="57" spans="1:17" ht="225">
      <c r="A57" s="1">
        <v>56</v>
      </c>
      <c r="B57" s="1" t="s">
        <v>2807</v>
      </c>
      <c r="C57" s="23" t="s">
        <v>3656</v>
      </c>
      <c r="D57" s="36">
        <v>46020</v>
      </c>
      <c r="E57" s="1" t="s">
        <v>30</v>
      </c>
      <c r="F57" s="1" t="s">
        <v>22</v>
      </c>
      <c r="G57" s="1" t="s">
        <v>2474</v>
      </c>
      <c r="H57" s="5" t="s">
        <v>2805</v>
      </c>
      <c r="I57" s="5" t="s">
        <v>933</v>
      </c>
      <c r="J57" s="5" t="s">
        <v>2806</v>
      </c>
      <c r="K57" s="10" t="s">
        <v>255</v>
      </c>
      <c r="L57" s="5" t="s">
        <v>3642</v>
      </c>
      <c r="M57" s="39" t="s">
        <v>3639</v>
      </c>
      <c r="N57" s="19" t="s">
        <v>47</v>
      </c>
      <c r="O57" s="2" t="s">
        <v>935</v>
      </c>
      <c r="P57" s="12">
        <v>46011</v>
      </c>
      <c r="Q57" s="1" t="s">
        <v>3159</v>
      </c>
    </row>
    <row r="58" spans="1:17" ht="90">
      <c r="A58" s="1">
        <v>57</v>
      </c>
      <c r="B58" s="1" t="s">
        <v>2811</v>
      </c>
      <c r="E58" s="1" t="s">
        <v>30</v>
      </c>
      <c r="F58" s="1" t="s">
        <v>22</v>
      </c>
      <c r="G58" s="1" t="s">
        <v>2474</v>
      </c>
      <c r="H58" s="5" t="s">
        <v>2808</v>
      </c>
      <c r="I58" s="5" t="s">
        <v>933</v>
      </c>
      <c r="J58" s="5" t="s">
        <v>2809</v>
      </c>
      <c r="K58" s="5" t="s">
        <v>255</v>
      </c>
      <c r="L58" s="5" t="s">
        <v>2810</v>
      </c>
      <c r="M58" s="5" t="s">
        <v>913</v>
      </c>
      <c r="N58" s="20" t="s">
        <v>333</v>
      </c>
      <c r="O58" s="2" t="s">
        <v>935</v>
      </c>
      <c r="P58" s="12">
        <v>46011</v>
      </c>
    </row>
    <row r="59" spans="1:17" ht="105">
      <c r="A59" s="1">
        <v>58</v>
      </c>
      <c r="B59" s="1" t="s">
        <v>2814</v>
      </c>
      <c r="E59" s="1" t="s">
        <v>30</v>
      </c>
      <c r="F59" s="1" t="s">
        <v>22</v>
      </c>
      <c r="G59" s="1" t="s">
        <v>2474</v>
      </c>
      <c r="H59" s="5" t="s">
        <v>2812</v>
      </c>
      <c r="I59" s="5" t="s">
        <v>933</v>
      </c>
      <c r="J59" s="5" t="s">
        <v>2813</v>
      </c>
      <c r="K59" s="5" t="s">
        <v>255</v>
      </c>
      <c r="L59" s="5" t="s">
        <v>2387</v>
      </c>
      <c r="M59" s="5" t="s">
        <v>258</v>
      </c>
      <c r="N59" s="47" t="s">
        <v>24</v>
      </c>
      <c r="O59" s="2" t="s">
        <v>935</v>
      </c>
      <c r="P59" s="12">
        <v>46011</v>
      </c>
    </row>
    <row r="60" spans="1:17" ht="105">
      <c r="A60" s="1">
        <v>59</v>
      </c>
      <c r="B60" s="1" t="s">
        <v>3428</v>
      </c>
      <c r="E60" s="1" t="s">
        <v>30</v>
      </c>
      <c r="F60" s="1" t="s">
        <v>22</v>
      </c>
      <c r="G60" s="1" t="s">
        <v>2474</v>
      </c>
      <c r="H60" s="16" t="s">
        <v>2815</v>
      </c>
      <c r="I60" s="5" t="s">
        <v>933</v>
      </c>
      <c r="J60" s="16" t="s">
        <v>2816</v>
      </c>
      <c r="K60" s="16" t="s">
        <v>255</v>
      </c>
      <c r="L60" s="16" t="s">
        <v>2817</v>
      </c>
      <c r="M60" s="16" t="s">
        <v>2818</v>
      </c>
      <c r="N60" s="47" t="s">
        <v>24</v>
      </c>
      <c r="O60" s="2" t="s">
        <v>935</v>
      </c>
      <c r="P60" s="12">
        <v>46011</v>
      </c>
    </row>
  </sheetData>
  <autoFilter ref="A1:V60">
    <filterColumn colId="13"/>
  </autoFilter>
  <hyperlinks>
    <hyperlink ref="C3" r:id="rId1" display="https://hanssupport.atlassian.net/browse/BA-354"/>
    <hyperlink ref="C5" r:id="rId2" display="https://hanssupport.atlassian.net/browse/BA-355"/>
    <hyperlink ref="C6" r:id="rId3" display="https://hanssupport.atlassian.net/browse/BA-356"/>
    <hyperlink ref="C17" r:id="rId4" display="https://hanssupport.atlassian.net/browse/BA-358"/>
    <hyperlink ref="C22" r:id="rId5" display="https://hanssupport.atlassian.net/browse/BA-359"/>
    <hyperlink ref="C23" r:id="rId6" display="https://hanssupport.atlassian.net/browse/BA-360"/>
    <hyperlink ref="C29" r:id="rId7" display="https://hanssupport.atlassian.net/browse/BA-361"/>
    <hyperlink ref="C30" r:id="rId8" display="https://hanssupport.atlassian.net/browse/BA-362"/>
    <hyperlink ref="C31" r:id="rId9" display="https://hanssupport.atlassian.net/browse/BA-363"/>
    <hyperlink ref="C32" r:id="rId10" display="https://hanssupport.atlassian.net/browse/BA-364"/>
    <hyperlink ref="C33" r:id="rId11" display="https://hanssupport.atlassian.net/browse/BA-365"/>
    <hyperlink ref="C35" r:id="rId12" display="https://hanssupport.atlassian.net/browse/BA-366"/>
    <hyperlink ref="C38" r:id="rId13" display="https://hanssupport.atlassian.net/browse/BA-367"/>
    <hyperlink ref="C43" r:id="rId14" display="https://hanssupport.atlassian.net/browse/BA-368"/>
    <hyperlink ref="C47" r:id="rId15" display="https://hanssupport.atlassian.net/browse/BA-370"/>
    <hyperlink ref="C48" r:id="rId16" display="https://hanssupport.atlassian.net/browse/BA-371"/>
    <hyperlink ref="C49" r:id="rId17" display="https://hanssupport.atlassian.net/browse/BA-372"/>
    <hyperlink ref="C54" r:id="rId18" display="https://hanssupport.atlassian.net/browse/BA-373"/>
    <hyperlink ref="C55" r:id="rId19" display="https://hanssupport.atlassian.net/browse/BA-374"/>
    <hyperlink ref="C57" r:id="rId20" display="https://hanssupport.atlassian.net/browse/BA-375"/>
  </hyperlinks>
  <pageMargins left="0.7" right="0.7" top="0.75" bottom="0.75" header="0.3" footer="0.3"/>
  <pageSetup paperSize="9" orientation="portrait" verticalDpi="0" r:id="rId21"/>
</worksheet>
</file>

<file path=xl/worksheets/sheet32.xml><?xml version="1.0" encoding="utf-8"?>
<worksheet xmlns="http://schemas.openxmlformats.org/spreadsheetml/2006/main" xmlns:r="http://schemas.openxmlformats.org/officeDocument/2006/relationships">
  <dimension ref="A1:V31"/>
  <sheetViews>
    <sheetView topLeftCell="L1" workbookViewId="0">
      <pane ySplit="1" topLeftCell="A2" activePane="bottomLeft" state="frozen"/>
      <selection pane="bottomLeft" activeCell="Q3" sqref="Q3:T3"/>
    </sheetView>
  </sheetViews>
  <sheetFormatPr defaultRowHeight="15"/>
  <cols>
    <col min="1" max="1" width="7.42578125" style="1" customWidth="1"/>
    <col min="2" max="2" width="20.28515625" style="1" customWidth="1"/>
    <col min="3" max="3" width="11.140625" style="1" customWidth="1"/>
    <col min="4" max="4" width="20.7109375" style="1" customWidth="1"/>
    <col min="5" max="5" width="13" style="1" customWidth="1"/>
    <col min="6" max="6" width="11.42578125" style="1" customWidth="1"/>
    <col min="7" max="7" width="23.7109375" style="1" customWidth="1"/>
    <col min="8" max="8" width="64.28515625" style="1" customWidth="1"/>
    <col min="9" max="9" width="46.85546875" style="1" customWidth="1"/>
    <col min="10" max="10" width="64.7109375" style="1" customWidth="1"/>
    <col min="11" max="11" width="39.7109375" style="1" customWidth="1"/>
    <col min="12" max="12" width="63" style="1" customWidth="1"/>
    <col min="13" max="13" width="54.85546875" style="1" customWidth="1"/>
    <col min="14" max="14" width="12.28515625" style="1" customWidth="1"/>
    <col min="15" max="15" width="33" style="1" customWidth="1"/>
    <col min="16" max="16" width="21.85546875" style="1" customWidth="1"/>
    <col min="17" max="17" width="14.42578125" style="1" customWidth="1"/>
    <col min="18" max="18" width="20.85546875" style="1" customWidth="1"/>
    <col min="19" max="19" width="19.85546875" style="1" customWidth="1"/>
    <col min="20" max="20" width="23.85546875" style="1" customWidth="1"/>
    <col min="21" max="21" width="27.7109375" style="1" customWidth="1"/>
    <col min="22" max="22" width="16" style="1" customWidth="1"/>
    <col min="23" max="16384" width="9.140625" style="1"/>
  </cols>
  <sheetData>
    <row r="1" spans="1:22"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ht="90">
      <c r="A2" s="1">
        <v>1</v>
      </c>
      <c r="B2" s="1" t="s">
        <v>2819</v>
      </c>
      <c r="E2" s="1" t="s">
        <v>30</v>
      </c>
      <c r="F2" s="1" t="s">
        <v>22</v>
      </c>
      <c r="G2" s="1" t="s">
        <v>2820</v>
      </c>
      <c r="H2" s="1" t="s">
        <v>2821</v>
      </c>
      <c r="I2" s="1" t="s">
        <v>933</v>
      </c>
      <c r="J2" s="1" t="s">
        <v>2822</v>
      </c>
      <c r="K2" s="1" t="s">
        <v>1074</v>
      </c>
      <c r="L2" s="1" t="s">
        <v>2823</v>
      </c>
      <c r="M2" s="1" t="s">
        <v>2824</v>
      </c>
      <c r="N2" s="3" t="s">
        <v>24</v>
      </c>
      <c r="O2" s="2" t="s">
        <v>935</v>
      </c>
      <c r="P2" s="12">
        <v>46011</v>
      </c>
    </row>
    <row r="3" spans="1:22" ht="120">
      <c r="A3" s="68">
        <v>2</v>
      </c>
      <c r="B3" s="68" t="s">
        <v>2825</v>
      </c>
      <c r="C3" s="69" t="s">
        <v>3097</v>
      </c>
      <c r="D3" s="70">
        <v>46013</v>
      </c>
      <c r="E3" s="68" t="s">
        <v>30</v>
      </c>
      <c r="F3" s="68" t="s">
        <v>22</v>
      </c>
      <c r="G3" s="68" t="s">
        <v>2820</v>
      </c>
      <c r="H3" s="68" t="s">
        <v>2826</v>
      </c>
      <c r="I3" s="68" t="s">
        <v>933</v>
      </c>
      <c r="J3" s="68" t="s">
        <v>2827</v>
      </c>
      <c r="K3" s="68" t="s">
        <v>2828</v>
      </c>
      <c r="L3" s="68" t="s">
        <v>2829</v>
      </c>
      <c r="M3" s="68" t="s">
        <v>2029</v>
      </c>
      <c r="N3" s="68" t="s">
        <v>24</v>
      </c>
      <c r="O3" s="71" t="s">
        <v>935</v>
      </c>
      <c r="P3" s="72">
        <v>46011</v>
      </c>
      <c r="Q3" s="68" t="s">
        <v>3159</v>
      </c>
      <c r="R3" s="68" t="s">
        <v>1220</v>
      </c>
      <c r="S3" s="68" t="s">
        <v>5075</v>
      </c>
      <c r="T3" s="72" t="s">
        <v>6080</v>
      </c>
      <c r="U3" s="68"/>
      <c r="V3" s="68"/>
    </row>
    <row r="4" spans="1:22" ht="135">
      <c r="A4" s="1">
        <v>3</v>
      </c>
      <c r="B4" s="1" t="s">
        <v>2830</v>
      </c>
      <c r="E4" s="1" t="s">
        <v>30</v>
      </c>
      <c r="F4" s="1" t="s">
        <v>22</v>
      </c>
      <c r="G4" s="1" t="s">
        <v>2820</v>
      </c>
      <c r="H4" s="1" t="s">
        <v>2831</v>
      </c>
      <c r="I4" s="1" t="s">
        <v>933</v>
      </c>
      <c r="J4" s="1" t="s">
        <v>2832</v>
      </c>
      <c r="K4" s="1" t="s">
        <v>255</v>
      </c>
      <c r="L4" s="1" t="s">
        <v>2833</v>
      </c>
      <c r="M4" s="1" t="s">
        <v>2834</v>
      </c>
      <c r="N4" s="3" t="s">
        <v>24</v>
      </c>
      <c r="O4" s="2" t="s">
        <v>935</v>
      </c>
      <c r="P4" s="12">
        <v>46011</v>
      </c>
    </row>
    <row r="5" spans="1:22" ht="165">
      <c r="A5" s="68">
        <v>4</v>
      </c>
      <c r="B5" s="68" t="s">
        <v>2835</v>
      </c>
      <c r="C5" s="69" t="s">
        <v>3098</v>
      </c>
      <c r="D5" s="70">
        <v>46013</v>
      </c>
      <c r="E5" s="68" t="s">
        <v>30</v>
      </c>
      <c r="F5" s="68" t="s">
        <v>22</v>
      </c>
      <c r="G5" s="68" t="s">
        <v>2820</v>
      </c>
      <c r="H5" s="68" t="s">
        <v>2837</v>
      </c>
      <c r="I5" s="68" t="s">
        <v>933</v>
      </c>
      <c r="J5" s="68" t="s">
        <v>2836</v>
      </c>
      <c r="K5" s="68" t="s">
        <v>1905</v>
      </c>
      <c r="L5" s="68" t="s">
        <v>2838</v>
      </c>
      <c r="M5" s="68" t="s">
        <v>2839</v>
      </c>
      <c r="N5" s="68" t="s">
        <v>24</v>
      </c>
      <c r="O5" s="71" t="s">
        <v>935</v>
      </c>
      <c r="P5" s="72">
        <v>46011</v>
      </c>
      <c r="Q5" s="68" t="s">
        <v>3159</v>
      </c>
      <c r="R5" s="68" t="s">
        <v>1220</v>
      </c>
      <c r="S5" s="68" t="s">
        <v>5075</v>
      </c>
      <c r="T5" s="72" t="s">
        <v>6080</v>
      </c>
      <c r="U5" s="68"/>
      <c r="V5" s="68"/>
    </row>
    <row r="6" spans="1:22" ht="105">
      <c r="A6" s="1">
        <v>5</v>
      </c>
      <c r="B6" s="1" t="s">
        <v>2840</v>
      </c>
      <c r="E6" s="1" t="s">
        <v>30</v>
      </c>
      <c r="F6" s="1" t="s">
        <v>22</v>
      </c>
      <c r="G6" s="1" t="s">
        <v>2820</v>
      </c>
      <c r="H6" s="1" t="s">
        <v>2841</v>
      </c>
      <c r="I6" s="1" t="s">
        <v>933</v>
      </c>
      <c r="J6" s="1" t="s">
        <v>2858</v>
      </c>
      <c r="K6" s="1" t="s">
        <v>2842</v>
      </c>
      <c r="L6" s="1" t="s">
        <v>2859</v>
      </c>
      <c r="M6" s="1" t="s">
        <v>2860</v>
      </c>
      <c r="N6" s="3" t="s">
        <v>24</v>
      </c>
      <c r="O6" s="2" t="s">
        <v>935</v>
      </c>
      <c r="P6" s="12">
        <v>46011</v>
      </c>
    </row>
    <row r="7" spans="1:22" ht="90">
      <c r="A7" s="68">
        <v>6</v>
      </c>
      <c r="B7" s="68" t="s">
        <v>2843</v>
      </c>
      <c r="C7" s="69" t="s">
        <v>3099</v>
      </c>
      <c r="D7" s="70">
        <v>46013</v>
      </c>
      <c r="E7" s="68" t="s">
        <v>30</v>
      </c>
      <c r="F7" s="68" t="s">
        <v>22</v>
      </c>
      <c r="G7" s="68" t="s">
        <v>2820</v>
      </c>
      <c r="H7" s="68" t="s">
        <v>2844</v>
      </c>
      <c r="I7" s="68" t="s">
        <v>933</v>
      </c>
      <c r="J7" s="68" t="s">
        <v>2845</v>
      </c>
      <c r="K7" s="68" t="s">
        <v>2846</v>
      </c>
      <c r="L7" s="68" t="s">
        <v>2847</v>
      </c>
      <c r="M7" s="68" t="s">
        <v>2848</v>
      </c>
      <c r="N7" s="68" t="s">
        <v>24</v>
      </c>
      <c r="O7" s="71" t="s">
        <v>935</v>
      </c>
      <c r="P7" s="72">
        <v>46011</v>
      </c>
      <c r="Q7" s="68" t="s">
        <v>3159</v>
      </c>
      <c r="R7" s="68" t="s">
        <v>1220</v>
      </c>
      <c r="S7" s="68" t="s">
        <v>5075</v>
      </c>
      <c r="T7" s="72" t="s">
        <v>6080</v>
      </c>
      <c r="U7" s="68"/>
      <c r="V7" s="68"/>
    </row>
    <row r="8" spans="1:22" ht="165">
      <c r="A8" s="68">
        <v>7</v>
      </c>
      <c r="B8" s="68" t="s">
        <v>2849</v>
      </c>
      <c r="C8" s="69" t="s">
        <v>3100</v>
      </c>
      <c r="D8" s="70">
        <v>46013</v>
      </c>
      <c r="E8" s="68" t="s">
        <v>30</v>
      </c>
      <c r="F8" s="68" t="s">
        <v>22</v>
      </c>
      <c r="G8" s="68" t="s">
        <v>2820</v>
      </c>
      <c r="H8" s="68" t="s">
        <v>2861</v>
      </c>
      <c r="I8" s="68" t="s">
        <v>933</v>
      </c>
      <c r="J8" s="68" t="s">
        <v>2850</v>
      </c>
      <c r="K8" s="68" t="s">
        <v>2851</v>
      </c>
      <c r="L8" s="68" t="s">
        <v>2863</v>
      </c>
      <c r="M8" s="68" t="s">
        <v>2862</v>
      </c>
      <c r="N8" s="68" t="s">
        <v>24</v>
      </c>
      <c r="O8" s="71" t="s">
        <v>935</v>
      </c>
      <c r="P8" s="72">
        <v>46011</v>
      </c>
      <c r="Q8" s="68" t="s">
        <v>3159</v>
      </c>
      <c r="R8" s="68" t="s">
        <v>1220</v>
      </c>
      <c r="S8" s="68" t="s">
        <v>5075</v>
      </c>
      <c r="T8" s="72" t="s">
        <v>6080</v>
      </c>
      <c r="U8" s="68"/>
      <c r="V8" s="68"/>
    </row>
    <row r="9" spans="1:22" ht="90">
      <c r="A9" s="1">
        <v>8</v>
      </c>
      <c r="B9" s="1" t="s">
        <v>2852</v>
      </c>
      <c r="E9" s="1" t="s">
        <v>30</v>
      </c>
      <c r="F9" s="1" t="s">
        <v>22</v>
      </c>
      <c r="G9" s="1" t="s">
        <v>2820</v>
      </c>
      <c r="H9" s="1" t="s">
        <v>2853</v>
      </c>
      <c r="I9" s="1" t="s">
        <v>933</v>
      </c>
      <c r="J9" s="1" t="s">
        <v>2864</v>
      </c>
      <c r="K9" s="1" t="s">
        <v>2854</v>
      </c>
      <c r="L9" s="1" t="s">
        <v>2865</v>
      </c>
      <c r="M9" s="1" t="s">
        <v>2866</v>
      </c>
      <c r="N9" s="3" t="s">
        <v>24</v>
      </c>
      <c r="O9" s="2" t="s">
        <v>935</v>
      </c>
      <c r="P9" s="12">
        <v>46011</v>
      </c>
    </row>
    <row r="10" spans="1:22" ht="105">
      <c r="A10" s="1">
        <v>9</v>
      </c>
      <c r="B10" s="1" t="s">
        <v>2855</v>
      </c>
      <c r="E10" s="1" t="s">
        <v>30</v>
      </c>
      <c r="F10" s="1" t="s">
        <v>22</v>
      </c>
      <c r="G10" s="1" t="s">
        <v>2820</v>
      </c>
      <c r="H10" s="1" t="s">
        <v>2856</v>
      </c>
      <c r="I10" s="1" t="s">
        <v>933</v>
      </c>
      <c r="J10" s="1" t="s">
        <v>2867</v>
      </c>
      <c r="K10" s="1" t="s">
        <v>2857</v>
      </c>
      <c r="L10" s="1" t="s">
        <v>2869</v>
      </c>
      <c r="M10" s="1" t="s">
        <v>2868</v>
      </c>
      <c r="N10" s="3" t="s">
        <v>24</v>
      </c>
      <c r="O10" s="2" t="s">
        <v>935</v>
      </c>
      <c r="P10" s="12">
        <v>46011</v>
      </c>
    </row>
    <row r="11" spans="1:22" ht="105">
      <c r="A11" s="1">
        <v>10</v>
      </c>
      <c r="B11" s="1" t="s">
        <v>2870</v>
      </c>
      <c r="E11" s="1" t="s">
        <v>30</v>
      </c>
      <c r="F11" s="1" t="s">
        <v>22</v>
      </c>
      <c r="G11" s="1" t="s">
        <v>2820</v>
      </c>
      <c r="H11" s="1" t="s">
        <v>2871</v>
      </c>
      <c r="I11" s="1" t="s">
        <v>933</v>
      </c>
      <c r="J11" s="1" t="s">
        <v>2872</v>
      </c>
      <c r="K11" s="1" t="s">
        <v>2873</v>
      </c>
      <c r="L11" s="1" t="s">
        <v>2874</v>
      </c>
      <c r="M11" s="1" t="s">
        <v>2875</v>
      </c>
      <c r="N11" s="3" t="s">
        <v>24</v>
      </c>
      <c r="O11" s="2" t="s">
        <v>935</v>
      </c>
      <c r="P11" s="12">
        <v>46011</v>
      </c>
    </row>
    <row r="12" spans="1:22" ht="105">
      <c r="A12" s="1">
        <v>11</v>
      </c>
      <c r="B12" s="1" t="s">
        <v>2876</v>
      </c>
      <c r="E12" s="1" t="s">
        <v>30</v>
      </c>
      <c r="F12" s="1" t="s">
        <v>22</v>
      </c>
      <c r="G12" s="1" t="s">
        <v>2820</v>
      </c>
      <c r="H12" s="1" t="s">
        <v>2877</v>
      </c>
      <c r="I12" s="1" t="s">
        <v>933</v>
      </c>
      <c r="J12" s="1" t="s">
        <v>2878</v>
      </c>
      <c r="K12" s="1" t="s">
        <v>2879</v>
      </c>
      <c r="L12" s="1" t="s">
        <v>2880</v>
      </c>
      <c r="M12" s="1" t="s">
        <v>2881</v>
      </c>
      <c r="N12" s="3" t="s">
        <v>24</v>
      </c>
      <c r="O12" s="2" t="s">
        <v>935</v>
      </c>
      <c r="P12" s="12">
        <v>46011</v>
      </c>
    </row>
    <row r="13" spans="1:22" ht="120">
      <c r="A13" s="1">
        <v>12</v>
      </c>
      <c r="B13" s="1" t="s">
        <v>2882</v>
      </c>
      <c r="E13" s="1" t="s">
        <v>30</v>
      </c>
      <c r="F13" s="1" t="s">
        <v>22</v>
      </c>
      <c r="G13" s="1" t="s">
        <v>2820</v>
      </c>
      <c r="H13" s="1" t="s">
        <v>2883</v>
      </c>
      <c r="I13" s="1" t="s">
        <v>933</v>
      </c>
      <c r="J13" s="1" t="s">
        <v>2884</v>
      </c>
      <c r="K13" s="1" t="s">
        <v>2885</v>
      </c>
      <c r="L13" s="1" t="s">
        <v>2886</v>
      </c>
      <c r="M13" s="1" t="s">
        <v>2887</v>
      </c>
      <c r="N13" s="3" t="s">
        <v>24</v>
      </c>
      <c r="O13" s="2" t="s">
        <v>935</v>
      </c>
      <c r="P13" s="12">
        <v>46011</v>
      </c>
    </row>
    <row r="14" spans="1:22" ht="105">
      <c r="A14" s="1">
        <v>13</v>
      </c>
      <c r="B14" s="1" t="s">
        <v>2888</v>
      </c>
      <c r="E14" s="1" t="s">
        <v>30</v>
      </c>
      <c r="F14" s="1" t="s">
        <v>22</v>
      </c>
      <c r="G14" s="1" t="s">
        <v>2820</v>
      </c>
      <c r="H14" s="1" t="s">
        <v>2889</v>
      </c>
      <c r="I14" s="1" t="s">
        <v>933</v>
      </c>
      <c r="J14" s="1" t="s">
        <v>2890</v>
      </c>
      <c r="K14" s="1" t="s">
        <v>2891</v>
      </c>
      <c r="L14" s="1" t="s">
        <v>2892</v>
      </c>
      <c r="M14" s="1" t="s">
        <v>2893</v>
      </c>
      <c r="N14" s="3" t="s">
        <v>24</v>
      </c>
      <c r="O14" s="2" t="s">
        <v>935</v>
      </c>
      <c r="P14" s="12">
        <v>46011</v>
      </c>
    </row>
    <row r="15" spans="1:22" ht="105">
      <c r="A15" s="1">
        <v>14</v>
      </c>
      <c r="B15" s="1" t="s">
        <v>2894</v>
      </c>
      <c r="E15" s="1" t="s">
        <v>30</v>
      </c>
      <c r="F15" s="1" t="s">
        <v>22</v>
      </c>
      <c r="G15" s="1" t="s">
        <v>2820</v>
      </c>
      <c r="H15" s="1" t="s">
        <v>2895</v>
      </c>
      <c r="I15" s="1" t="s">
        <v>933</v>
      </c>
      <c r="J15" s="1" t="s">
        <v>2896</v>
      </c>
      <c r="K15" s="1" t="s">
        <v>2897</v>
      </c>
      <c r="L15" s="1" t="s">
        <v>2898</v>
      </c>
      <c r="M15" s="1" t="s">
        <v>2899</v>
      </c>
      <c r="N15" s="3" t="s">
        <v>24</v>
      </c>
      <c r="O15" s="2" t="s">
        <v>935</v>
      </c>
      <c r="P15" s="12">
        <v>46011</v>
      </c>
    </row>
    <row r="16" spans="1:22" ht="90">
      <c r="A16" s="1">
        <v>15</v>
      </c>
      <c r="B16" s="1" t="s">
        <v>2900</v>
      </c>
      <c r="E16" s="1" t="s">
        <v>30</v>
      </c>
      <c r="F16" s="1" t="s">
        <v>22</v>
      </c>
      <c r="G16" s="1" t="s">
        <v>2820</v>
      </c>
      <c r="H16" s="1" t="s">
        <v>2901</v>
      </c>
      <c r="I16" s="1" t="s">
        <v>933</v>
      </c>
      <c r="J16" s="1" t="s">
        <v>2902</v>
      </c>
      <c r="K16" s="1" t="s">
        <v>255</v>
      </c>
      <c r="L16" s="1" t="s">
        <v>405</v>
      </c>
      <c r="M16" s="1" t="s">
        <v>2903</v>
      </c>
      <c r="N16" s="3" t="s">
        <v>24</v>
      </c>
      <c r="O16" s="2" t="s">
        <v>935</v>
      </c>
      <c r="P16" s="12">
        <v>46011</v>
      </c>
    </row>
    <row r="17" spans="1:22" ht="105">
      <c r="A17" s="1">
        <v>16</v>
      </c>
      <c r="B17" s="1" t="s">
        <v>2904</v>
      </c>
      <c r="E17" s="1" t="s">
        <v>30</v>
      </c>
      <c r="F17" s="1" t="s">
        <v>22</v>
      </c>
      <c r="G17" s="1" t="s">
        <v>2820</v>
      </c>
      <c r="H17" s="1" t="s">
        <v>2905</v>
      </c>
      <c r="I17" s="1" t="s">
        <v>933</v>
      </c>
      <c r="J17" s="1" t="s">
        <v>2906</v>
      </c>
      <c r="K17" s="1" t="s">
        <v>2907</v>
      </c>
      <c r="L17" s="1" t="s">
        <v>2908</v>
      </c>
      <c r="M17" s="1" t="s">
        <v>2909</v>
      </c>
      <c r="N17" s="3" t="s">
        <v>24</v>
      </c>
      <c r="O17" s="2" t="s">
        <v>935</v>
      </c>
      <c r="P17" s="12">
        <v>46011</v>
      </c>
    </row>
    <row r="18" spans="1:22" ht="105">
      <c r="A18" s="1">
        <v>17</v>
      </c>
      <c r="B18" s="1" t="s">
        <v>2910</v>
      </c>
      <c r="E18" s="1" t="s">
        <v>30</v>
      </c>
      <c r="F18" s="1" t="s">
        <v>22</v>
      </c>
      <c r="G18" s="1" t="s">
        <v>2820</v>
      </c>
      <c r="H18" s="1" t="s">
        <v>2911</v>
      </c>
      <c r="I18" s="1" t="s">
        <v>933</v>
      </c>
      <c r="J18" s="1" t="s">
        <v>2912</v>
      </c>
      <c r="K18" s="1" t="s">
        <v>866</v>
      </c>
      <c r="L18" s="1" t="s">
        <v>2913</v>
      </c>
      <c r="M18" s="1" t="s">
        <v>2914</v>
      </c>
      <c r="N18" s="3" t="s">
        <v>24</v>
      </c>
      <c r="O18" s="2" t="s">
        <v>935</v>
      </c>
      <c r="P18" s="12">
        <v>46011</v>
      </c>
    </row>
    <row r="19" spans="1:22" ht="105">
      <c r="A19" s="68">
        <v>18</v>
      </c>
      <c r="B19" s="68" t="s">
        <v>2915</v>
      </c>
      <c r="C19" s="69" t="s">
        <v>3101</v>
      </c>
      <c r="D19" s="70">
        <v>46013</v>
      </c>
      <c r="E19" s="68" t="s">
        <v>30</v>
      </c>
      <c r="F19" s="68" t="s">
        <v>22</v>
      </c>
      <c r="G19" s="68" t="s">
        <v>2820</v>
      </c>
      <c r="H19" s="68" t="s">
        <v>2916</v>
      </c>
      <c r="I19" s="68" t="s">
        <v>933</v>
      </c>
      <c r="J19" s="68" t="s">
        <v>2917</v>
      </c>
      <c r="K19" s="68" t="s">
        <v>1597</v>
      </c>
      <c r="L19" s="68" t="s">
        <v>2918</v>
      </c>
      <c r="M19" s="68" t="s">
        <v>2919</v>
      </c>
      <c r="N19" s="68" t="s">
        <v>24</v>
      </c>
      <c r="O19" s="71" t="s">
        <v>935</v>
      </c>
      <c r="P19" s="72">
        <v>46011</v>
      </c>
      <c r="Q19" s="68" t="s">
        <v>3159</v>
      </c>
      <c r="R19" s="68" t="s">
        <v>1220</v>
      </c>
      <c r="S19" s="68" t="s">
        <v>5075</v>
      </c>
      <c r="T19" s="72" t="s">
        <v>6080</v>
      </c>
      <c r="U19" s="68"/>
      <c r="V19" s="68"/>
    </row>
    <row r="20" spans="1:22" ht="180">
      <c r="A20" s="68">
        <v>19</v>
      </c>
      <c r="B20" s="68" t="s">
        <v>2920</v>
      </c>
      <c r="C20" s="69" t="s">
        <v>3102</v>
      </c>
      <c r="D20" s="70">
        <v>46013</v>
      </c>
      <c r="E20" s="68" t="s">
        <v>30</v>
      </c>
      <c r="F20" s="68" t="s">
        <v>22</v>
      </c>
      <c r="G20" s="68" t="s">
        <v>2820</v>
      </c>
      <c r="H20" s="68" t="s">
        <v>2922</v>
      </c>
      <c r="I20" s="68" t="s">
        <v>933</v>
      </c>
      <c r="J20" s="68" t="s">
        <v>2924</v>
      </c>
      <c r="K20" s="68" t="s">
        <v>2083</v>
      </c>
      <c r="L20" s="68" t="s">
        <v>2925</v>
      </c>
      <c r="M20" s="68" t="s">
        <v>2926</v>
      </c>
      <c r="N20" s="68" t="s">
        <v>24</v>
      </c>
      <c r="O20" s="71" t="s">
        <v>935</v>
      </c>
      <c r="P20" s="72">
        <v>46011</v>
      </c>
      <c r="Q20" s="68" t="s">
        <v>3159</v>
      </c>
      <c r="R20" s="68" t="s">
        <v>1220</v>
      </c>
      <c r="S20" s="68" t="s">
        <v>5075</v>
      </c>
      <c r="T20" s="72" t="s">
        <v>6080</v>
      </c>
      <c r="U20" s="68"/>
      <c r="V20" s="68"/>
    </row>
    <row r="21" spans="1:22" ht="90">
      <c r="A21" s="1">
        <v>20</v>
      </c>
      <c r="B21" s="1" t="s">
        <v>2927</v>
      </c>
      <c r="E21" s="1" t="s">
        <v>30</v>
      </c>
      <c r="F21" s="1" t="s">
        <v>22</v>
      </c>
      <c r="G21" s="1" t="s">
        <v>2820</v>
      </c>
      <c r="H21" s="1" t="s">
        <v>2928</v>
      </c>
      <c r="I21" s="1" t="s">
        <v>933</v>
      </c>
      <c r="J21" s="1" t="s">
        <v>2929</v>
      </c>
      <c r="K21" s="1" t="s">
        <v>1700</v>
      </c>
      <c r="L21" s="1" t="s">
        <v>2089</v>
      </c>
      <c r="M21" s="1" t="s">
        <v>1223</v>
      </c>
      <c r="N21" s="3" t="s">
        <v>24</v>
      </c>
      <c r="O21" s="2" t="s">
        <v>935</v>
      </c>
      <c r="P21" s="12">
        <v>46011</v>
      </c>
    </row>
    <row r="22" spans="1:22" ht="120">
      <c r="A22" s="1">
        <v>21</v>
      </c>
      <c r="B22" s="1" t="s">
        <v>2930</v>
      </c>
      <c r="E22" s="1" t="s">
        <v>30</v>
      </c>
      <c r="F22" s="1" t="s">
        <v>22</v>
      </c>
      <c r="G22" s="1" t="s">
        <v>2820</v>
      </c>
      <c r="H22" s="1" t="s">
        <v>2931</v>
      </c>
      <c r="I22" s="1" t="s">
        <v>933</v>
      </c>
      <c r="J22" s="1" t="s">
        <v>2932</v>
      </c>
      <c r="K22" s="1" t="s">
        <v>2933</v>
      </c>
      <c r="L22" s="1" t="s">
        <v>2934</v>
      </c>
      <c r="M22" s="1" t="s">
        <v>2935</v>
      </c>
      <c r="N22" s="3" t="s">
        <v>24</v>
      </c>
      <c r="O22" s="2" t="s">
        <v>935</v>
      </c>
      <c r="P22" s="12">
        <v>46011</v>
      </c>
    </row>
    <row r="23" spans="1:22" ht="120">
      <c r="A23" s="1">
        <v>22</v>
      </c>
      <c r="B23" s="1" t="s">
        <v>2936</v>
      </c>
      <c r="E23" s="1" t="s">
        <v>30</v>
      </c>
      <c r="F23" s="1" t="s">
        <v>22</v>
      </c>
      <c r="G23" s="1" t="s">
        <v>2820</v>
      </c>
      <c r="H23" s="1" t="s">
        <v>2937</v>
      </c>
      <c r="I23" s="1" t="s">
        <v>933</v>
      </c>
      <c r="J23" s="1" t="s">
        <v>2938</v>
      </c>
      <c r="K23" s="1" t="s">
        <v>2933</v>
      </c>
      <c r="L23" s="1" t="s">
        <v>2939</v>
      </c>
      <c r="M23" s="1" t="s">
        <v>2940</v>
      </c>
      <c r="N23" s="3" t="s">
        <v>24</v>
      </c>
      <c r="O23" s="2" t="s">
        <v>935</v>
      </c>
      <c r="P23" s="12">
        <v>46011</v>
      </c>
    </row>
    <row r="24" spans="1:22" ht="135">
      <c r="A24" s="1">
        <v>23</v>
      </c>
      <c r="B24" s="1" t="s">
        <v>2941</v>
      </c>
      <c r="E24" s="1" t="s">
        <v>30</v>
      </c>
      <c r="F24" s="1" t="s">
        <v>22</v>
      </c>
      <c r="G24" s="1" t="s">
        <v>2820</v>
      </c>
      <c r="H24" s="1" t="s">
        <v>2942</v>
      </c>
      <c r="I24" s="1" t="s">
        <v>933</v>
      </c>
      <c r="J24" s="1" t="s">
        <v>2944</v>
      </c>
      <c r="K24" s="1" t="s">
        <v>255</v>
      </c>
      <c r="L24" s="1" t="s">
        <v>2943</v>
      </c>
      <c r="M24" s="1" t="s">
        <v>2949</v>
      </c>
      <c r="N24" s="3" t="s">
        <v>24</v>
      </c>
      <c r="O24" s="2" t="s">
        <v>935</v>
      </c>
      <c r="P24" s="12">
        <v>46011</v>
      </c>
    </row>
    <row r="25" spans="1:22" ht="135">
      <c r="A25" s="1">
        <v>24</v>
      </c>
      <c r="B25" s="1" t="s">
        <v>2945</v>
      </c>
      <c r="E25" s="1" t="s">
        <v>30</v>
      </c>
      <c r="F25" s="1" t="s">
        <v>22</v>
      </c>
      <c r="G25" s="1" t="s">
        <v>2820</v>
      </c>
      <c r="H25" s="1" t="s">
        <v>2946</v>
      </c>
      <c r="I25" s="1" t="s">
        <v>933</v>
      </c>
      <c r="J25" s="1" t="s">
        <v>2947</v>
      </c>
      <c r="K25" s="1" t="s">
        <v>255</v>
      </c>
      <c r="L25" s="1" t="s">
        <v>2948</v>
      </c>
      <c r="M25" s="1" t="s">
        <v>2950</v>
      </c>
      <c r="N25" s="3" t="s">
        <v>24</v>
      </c>
      <c r="O25" s="2" t="s">
        <v>935</v>
      </c>
      <c r="P25" s="12">
        <v>46011</v>
      </c>
    </row>
    <row r="26" spans="1:22" ht="120">
      <c r="A26" s="1">
        <v>25</v>
      </c>
      <c r="B26" s="1" t="s">
        <v>2951</v>
      </c>
      <c r="E26" s="1" t="s">
        <v>30</v>
      </c>
      <c r="F26" s="1" t="s">
        <v>22</v>
      </c>
      <c r="G26" s="1" t="s">
        <v>2820</v>
      </c>
      <c r="H26" s="1" t="s">
        <v>2952</v>
      </c>
      <c r="I26" s="1" t="s">
        <v>933</v>
      </c>
      <c r="J26" s="1" t="s">
        <v>2954</v>
      </c>
      <c r="K26" s="1" t="s">
        <v>2953</v>
      </c>
      <c r="L26" s="1" t="s">
        <v>2955</v>
      </c>
      <c r="M26" s="1" t="s">
        <v>854</v>
      </c>
      <c r="N26" s="3" t="s">
        <v>24</v>
      </c>
      <c r="O26" s="2" t="s">
        <v>935</v>
      </c>
      <c r="P26" s="12">
        <v>46011</v>
      </c>
    </row>
    <row r="27" spans="1:22" ht="105">
      <c r="A27" s="68">
        <v>26</v>
      </c>
      <c r="B27" s="68" t="s">
        <v>2956</v>
      </c>
      <c r="C27" s="69" t="s">
        <v>3103</v>
      </c>
      <c r="D27" s="70">
        <v>46013</v>
      </c>
      <c r="E27" s="68" t="s">
        <v>30</v>
      </c>
      <c r="F27" s="68" t="s">
        <v>22</v>
      </c>
      <c r="G27" s="68" t="s">
        <v>2820</v>
      </c>
      <c r="H27" s="68" t="s">
        <v>2957</v>
      </c>
      <c r="I27" s="68" t="s">
        <v>933</v>
      </c>
      <c r="J27" s="68" t="s">
        <v>2958</v>
      </c>
      <c r="K27" s="68" t="s">
        <v>890</v>
      </c>
      <c r="L27" s="68" t="s">
        <v>2959</v>
      </c>
      <c r="M27" s="68" t="s">
        <v>2960</v>
      </c>
      <c r="N27" s="68" t="s">
        <v>24</v>
      </c>
      <c r="O27" s="71" t="s">
        <v>935</v>
      </c>
      <c r="P27" s="72">
        <v>46011</v>
      </c>
      <c r="Q27" s="68" t="s">
        <v>3159</v>
      </c>
      <c r="R27" s="68" t="s">
        <v>1220</v>
      </c>
      <c r="S27" s="68" t="s">
        <v>5075</v>
      </c>
      <c r="T27" s="72" t="s">
        <v>6080</v>
      </c>
      <c r="U27" s="68"/>
      <c r="V27" s="68"/>
    </row>
    <row r="28" spans="1:22" ht="90">
      <c r="A28" s="1">
        <v>27</v>
      </c>
      <c r="B28" s="1" t="s">
        <v>2961</v>
      </c>
      <c r="E28" s="1" t="s">
        <v>30</v>
      </c>
      <c r="F28" s="1" t="s">
        <v>22</v>
      </c>
      <c r="G28" s="1" t="s">
        <v>2820</v>
      </c>
      <c r="H28" s="1" t="s">
        <v>2962</v>
      </c>
      <c r="I28" s="1" t="s">
        <v>933</v>
      </c>
      <c r="J28" s="1" t="s">
        <v>2963</v>
      </c>
      <c r="K28" s="1" t="s">
        <v>255</v>
      </c>
      <c r="L28" s="1" t="s">
        <v>2964</v>
      </c>
      <c r="M28" s="1" t="s">
        <v>6061</v>
      </c>
      <c r="N28" s="3" t="s">
        <v>274</v>
      </c>
      <c r="O28" s="2" t="s">
        <v>935</v>
      </c>
      <c r="P28" s="12">
        <v>46011</v>
      </c>
    </row>
    <row r="29" spans="1:22" ht="90">
      <c r="A29" s="1">
        <v>28</v>
      </c>
      <c r="B29" s="1" t="s">
        <v>2965</v>
      </c>
      <c r="E29" s="1" t="s">
        <v>30</v>
      </c>
      <c r="F29" s="1" t="s">
        <v>22</v>
      </c>
      <c r="G29" s="1" t="s">
        <v>2820</v>
      </c>
      <c r="H29" s="1" t="s">
        <v>2966</v>
      </c>
      <c r="I29" s="1" t="s">
        <v>933</v>
      </c>
      <c r="J29" s="1" t="s">
        <v>2967</v>
      </c>
      <c r="K29" s="1" t="s">
        <v>255</v>
      </c>
      <c r="L29" s="1" t="s">
        <v>1262</v>
      </c>
      <c r="M29" s="1" t="s">
        <v>1857</v>
      </c>
      <c r="N29" s="3" t="s">
        <v>24</v>
      </c>
      <c r="O29" s="2" t="s">
        <v>935</v>
      </c>
      <c r="P29" s="12">
        <v>46011</v>
      </c>
    </row>
    <row r="30" spans="1:22" ht="90">
      <c r="A30" s="1">
        <v>29</v>
      </c>
      <c r="B30" s="1" t="s">
        <v>2968</v>
      </c>
      <c r="E30" s="1" t="s">
        <v>30</v>
      </c>
      <c r="F30" s="1" t="s">
        <v>22</v>
      </c>
      <c r="G30" s="1" t="s">
        <v>2820</v>
      </c>
      <c r="H30" s="1" t="s">
        <v>2969</v>
      </c>
      <c r="I30" s="1" t="s">
        <v>933</v>
      </c>
      <c r="J30" s="1" t="s">
        <v>2970</v>
      </c>
      <c r="K30" s="1" t="s">
        <v>255</v>
      </c>
      <c r="L30" s="1" t="s">
        <v>2765</v>
      </c>
      <c r="M30" s="1" t="s">
        <v>6083</v>
      </c>
      <c r="N30" s="3" t="s">
        <v>24</v>
      </c>
      <c r="O30" s="2" t="s">
        <v>935</v>
      </c>
      <c r="P30" s="12">
        <v>46011</v>
      </c>
    </row>
    <row r="31" spans="1:22" ht="90">
      <c r="A31" s="1">
        <v>30</v>
      </c>
      <c r="B31" s="1" t="s">
        <v>2971</v>
      </c>
      <c r="E31" s="1" t="s">
        <v>30</v>
      </c>
      <c r="F31" s="1" t="s">
        <v>22</v>
      </c>
      <c r="G31" s="1" t="s">
        <v>2820</v>
      </c>
      <c r="H31" s="1" t="s">
        <v>2972</v>
      </c>
      <c r="I31" s="1" t="s">
        <v>933</v>
      </c>
      <c r="J31" s="1" t="s">
        <v>2973</v>
      </c>
      <c r="K31" s="1" t="s">
        <v>255</v>
      </c>
      <c r="L31" s="1" t="s">
        <v>918</v>
      </c>
      <c r="M31" s="1" t="s">
        <v>6082</v>
      </c>
      <c r="N31" s="3" t="s">
        <v>274</v>
      </c>
      <c r="O31" s="2" t="s">
        <v>935</v>
      </c>
      <c r="P31" s="12">
        <v>46011</v>
      </c>
    </row>
  </sheetData>
  <autoFilter ref="A1:V31"/>
  <hyperlinks>
    <hyperlink ref="C3" r:id="rId1" display="https://hanssupport.atlassian.net/browse/BA-315"/>
    <hyperlink ref="C5" r:id="rId2" display="https://hanssupport.atlassian.net/browse/BA-316"/>
    <hyperlink ref="C7" r:id="rId3" display="https://hanssupport.atlassian.net/browse/BA-317"/>
    <hyperlink ref="C8" r:id="rId4" display="https://hanssupport.atlassian.net/browse/BA-318"/>
    <hyperlink ref="C19" r:id="rId5" display="https://hanssupport.atlassian.net/browse/BA-319"/>
    <hyperlink ref="C20" r:id="rId6" display="https://hanssupport.atlassian.net/browse/BA-320"/>
    <hyperlink ref="C27" r:id="rId7" display="https://hanssupport.atlassian.net/browse/BA-321"/>
  </hyperlinks>
  <pageMargins left="0.7" right="0.7" top="0.75" bottom="0.75" header="0.3" footer="0.3"/>
  <pageSetup paperSize="9" orientation="portrait" verticalDpi="0" r:id="rId8"/>
</worksheet>
</file>

<file path=xl/worksheets/sheet33.xml><?xml version="1.0" encoding="utf-8"?>
<worksheet xmlns="http://schemas.openxmlformats.org/spreadsheetml/2006/main" xmlns:r="http://schemas.openxmlformats.org/officeDocument/2006/relationships">
  <dimension ref="A1:V26"/>
  <sheetViews>
    <sheetView topLeftCell="M1" workbookViewId="0">
      <pane ySplit="1" topLeftCell="A2" activePane="bottomLeft" state="frozen"/>
      <selection pane="bottomLeft" activeCell="Q3" sqref="Q3:V3"/>
    </sheetView>
  </sheetViews>
  <sheetFormatPr defaultRowHeight="15"/>
  <cols>
    <col min="1" max="1" width="7.7109375" style="45" customWidth="1"/>
    <col min="2" max="2" width="20" style="45" customWidth="1"/>
    <col min="3" max="3" width="9.7109375" style="45" customWidth="1"/>
    <col min="4" max="4" width="21" style="45" customWidth="1"/>
    <col min="5" max="5" width="12.85546875" style="45" customWidth="1"/>
    <col min="6" max="6" width="12" style="45" customWidth="1"/>
    <col min="7" max="7" width="22.85546875" style="45" customWidth="1"/>
    <col min="8" max="8" width="59.28515625" style="45" customWidth="1"/>
    <col min="9" max="9" width="48.7109375" style="45" customWidth="1"/>
    <col min="10" max="10" width="62.7109375" style="45" customWidth="1"/>
    <col min="11" max="11" width="35.85546875" style="45" customWidth="1"/>
    <col min="12" max="12" width="61.140625" style="45" customWidth="1"/>
    <col min="13" max="13" width="53.85546875" style="45" customWidth="1"/>
    <col min="14" max="14" width="12.7109375" style="45" customWidth="1"/>
    <col min="15" max="15" width="34.7109375" style="45" customWidth="1"/>
    <col min="16" max="16" width="20.5703125" style="45" customWidth="1"/>
    <col min="17" max="17" width="15.28515625" style="45" customWidth="1"/>
    <col min="18" max="18" width="17" style="45" customWidth="1"/>
    <col min="19" max="19" width="18.42578125" style="45" customWidth="1"/>
    <col min="20" max="20" width="25" style="45" customWidth="1"/>
    <col min="21" max="21" width="24.5703125" style="45" customWidth="1"/>
    <col min="22" max="22" width="20.8554687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75">
      <c r="A2" s="1">
        <v>1</v>
      </c>
      <c r="B2" s="1" t="s">
        <v>2974</v>
      </c>
      <c r="C2" s="1"/>
      <c r="D2" s="1"/>
      <c r="E2" s="1" t="s">
        <v>30</v>
      </c>
      <c r="F2" s="1" t="s">
        <v>22</v>
      </c>
      <c r="G2" s="1" t="s">
        <v>2975</v>
      </c>
      <c r="H2" s="1" t="s">
        <v>2976</v>
      </c>
      <c r="I2" s="1" t="s">
        <v>933</v>
      </c>
      <c r="J2" s="1" t="s">
        <v>2977</v>
      </c>
      <c r="K2" s="1" t="s">
        <v>1074</v>
      </c>
      <c r="L2" s="1" t="s">
        <v>2978</v>
      </c>
      <c r="M2" s="1" t="s">
        <v>2979</v>
      </c>
      <c r="N2" s="3" t="s">
        <v>24</v>
      </c>
      <c r="O2" s="2" t="s">
        <v>935</v>
      </c>
      <c r="P2" s="12">
        <v>46011</v>
      </c>
    </row>
    <row r="3" spans="1:22" ht="135">
      <c r="A3" s="68">
        <v>2</v>
      </c>
      <c r="B3" s="68" t="s">
        <v>2980</v>
      </c>
      <c r="C3" s="69" t="s">
        <v>3104</v>
      </c>
      <c r="D3" s="70">
        <v>46013</v>
      </c>
      <c r="E3" s="68" t="s">
        <v>30</v>
      </c>
      <c r="F3" s="68" t="s">
        <v>22</v>
      </c>
      <c r="G3" s="68" t="s">
        <v>2975</v>
      </c>
      <c r="H3" s="68" t="s">
        <v>2982</v>
      </c>
      <c r="I3" s="68" t="s">
        <v>933</v>
      </c>
      <c r="J3" s="68" t="s">
        <v>2983</v>
      </c>
      <c r="K3" s="68" t="s">
        <v>2981</v>
      </c>
      <c r="L3" s="68" t="s">
        <v>2984</v>
      </c>
      <c r="M3" s="68" t="s">
        <v>2985</v>
      </c>
      <c r="N3" s="68" t="s">
        <v>24</v>
      </c>
      <c r="O3" s="71" t="s">
        <v>935</v>
      </c>
      <c r="P3" s="72">
        <v>46011</v>
      </c>
      <c r="Q3" s="68" t="s">
        <v>3159</v>
      </c>
      <c r="R3" s="68" t="s">
        <v>1220</v>
      </c>
      <c r="S3" s="68" t="s">
        <v>5075</v>
      </c>
      <c r="T3" s="72" t="s">
        <v>6080</v>
      </c>
      <c r="U3" s="84"/>
      <c r="V3" s="84"/>
    </row>
    <row r="4" spans="1:22" ht="135">
      <c r="A4" s="1">
        <v>3</v>
      </c>
      <c r="B4" s="1" t="s">
        <v>2986</v>
      </c>
      <c r="C4" s="1"/>
      <c r="D4" s="1"/>
      <c r="E4" s="1" t="s">
        <v>30</v>
      </c>
      <c r="F4" s="1" t="s">
        <v>22</v>
      </c>
      <c r="G4" s="1" t="s">
        <v>2975</v>
      </c>
      <c r="H4" s="1" t="s">
        <v>2988</v>
      </c>
      <c r="I4" s="1" t="s">
        <v>933</v>
      </c>
      <c r="J4" s="1" t="s">
        <v>2989</v>
      </c>
      <c r="K4" s="1" t="s">
        <v>2987</v>
      </c>
      <c r="L4" s="5" t="s">
        <v>2990</v>
      </c>
      <c r="M4" s="14" t="s">
        <v>2991</v>
      </c>
      <c r="N4" s="3" t="s">
        <v>24</v>
      </c>
      <c r="O4" s="2" t="s">
        <v>935</v>
      </c>
      <c r="P4" s="12">
        <v>46011</v>
      </c>
    </row>
    <row r="5" spans="1:22" ht="135">
      <c r="A5" s="1">
        <v>4</v>
      </c>
      <c r="B5" s="1" t="s">
        <v>2992</v>
      </c>
      <c r="C5" s="1"/>
      <c r="D5" s="1"/>
      <c r="E5" s="1" t="s">
        <v>30</v>
      </c>
      <c r="F5" s="1" t="s">
        <v>22</v>
      </c>
      <c r="G5" s="1" t="s">
        <v>2975</v>
      </c>
      <c r="H5" s="1" t="s">
        <v>2993</v>
      </c>
      <c r="I5" s="1" t="s">
        <v>933</v>
      </c>
      <c r="J5" s="1" t="s">
        <v>2994</v>
      </c>
      <c r="K5" s="1" t="s">
        <v>255</v>
      </c>
      <c r="L5" s="1" t="s">
        <v>2833</v>
      </c>
      <c r="M5" s="1" t="s">
        <v>2834</v>
      </c>
      <c r="N5" s="3" t="s">
        <v>24</v>
      </c>
      <c r="O5" s="2" t="s">
        <v>935</v>
      </c>
      <c r="P5" s="12">
        <v>46011</v>
      </c>
    </row>
    <row r="6" spans="1:22" ht="150">
      <c r="A6" s="68">
        <v>5</v>
      </c>
      <c r="B6" s="68" t="s">
        <v>2995</v>
      </c>
      <c r="C6" s="69" t="s">
        <v>3105</v>
      </c>
      <c r="D6" s="70">
        <v>46013</v>
      </c>
      <c r="E6" s="68" t="s">
        <v>30</v>
      </c>
      <c r="F6" s="68" t="s">
        <v>22</v>
      </c>
      <c r="G6" s="68" t="s">
        <v>2975</v>
      </c>
      <c r="H6" s="68" t="s">
        <v>2997</v>
      </c>
      <c r="I6" s="68" t="s">
        <v>933</v>
      </c>
      <c r="J6" s="68" t="s">
        <v>2996</v>
      </c>
      <c r="K6" s="68" t="s">
        <v>1905</v>
      </c>
      <c r="L6" s="68" t="s">
        <v>2998</v>
      </c>
      <c r="M6" s="68" t="s">
        <v>2999</v>
      </c>
      <c r="N6" s="68" t="s">
        <v>24</v>
      </c>
      <c r="O6" s="71" t="s">
        <v>935</v>
      </c>
      <c r="P6" s="72">
        <v>46011</v>
      </c>
      <c r="Q6" s="68" t="s">
        <v>3159</v>
      </c>
      <c r="R6" s="68" t="s">
        <v>1220</v>
      </c>
      <c r="S6" s="68" t="s">
        <v>5075</v>
      </c>
      <c r="T6" s="72" t="s">
        <v>6080</v>
      </c>
      <c r="U6" s="84"/>
      <c r="V6" s="84"/>
    </row>
    <row r="7" spans="1:22" ht="150">
      <c r="A7" s="68">
        <v>6</v>
      </c>
      <c r="B7" s="68" t="s">
        <v>3000</v>
      </c>
      <c r="C7" s="69" t="s">
        <v>3106</v>
      </c>
      <c r="D7" s="70">
        <v>46013</v>
      </c>
      <c r="E7" s="68" t="s">
        <v>30</v>
      </c>
      <c r="F7" s="68" t="s">
        <v>22</v>
      </c>
      <c r="G7" s="68" t="s">
        <v>2975</v>
      </c>
      <c r="H7" s="68" t="s">
        <v>3001</v>
      </c>
      <c r="I7" s="68" t="s">
        <v>933</v>
      </c>
      <c r="J7" s="68" t="s">
        <v>3002</v>
      </c>
      <c r="K7" s="68" t="s">
        <v>1661</v>
      </c>
      <c r="L7" s="68" t="s">
        <v>3003</v>
      </c>
      <c r="M7" s="68" t="s">
        <v>3004</v>
      </c>
      <c r="N7" s="68" t="s">
        <v>24</v>
      </c>
      <c r="O7" s="71" t="s">
        <v>935</v>
      </c>
      <c r="P7" s="72">
        <v>46011</v>
      </c>
      <c r="Q7" s="68" t="s">
        <v>3159</v>
      </c>
      <c r="R7" s="68" t="s">
        <v>1220</v>
      </c>
      <c r="S7" s="68" t="s">
        <v>5075</v>
      </c>
      <c r="T7" s="72" t="s">
        <v>6080</v>
      </c>
      <c r="U7" s="84"/>
      <c r="V7" s="84"/>
    </row>
    <row r="8" spans="1:22" ht="120">
      <c r="A8" s="1">
        <v>7</v>
      </c>
      <c r="B8" s="1" t="s">
        <v>3005</v>
      </c>
      <c r="C8" s="1"/>
      <c r="D8" s="1"/>
      <c r="E8" s="1" t="s">
        <v>30</v>
      </c>
      <c r="F8" s="1" t="s">
        <v>22</v>
      </c>
      <c r="G8" s="1" t="s">
        <v>2975</v>
      </c>
      <c r="H8" s="1" t="s">
        <v>3006</v>
      </c>
      <c r="I8" s="1" t="s">
        <v>933</v>
      </c>
      <c r="J8" s="1" t="s">
        <v>3007</v>
      </c>
      <c r="K8" s="1" t="s">
        <v>3008</v>
      </c>
      <c r="L8" s="5" t="s">
        <v>3009</v>
      </c>
      <c r="M8" s="5" t="s">
        <v>3010</v>
      </c>
      <c r="N8" s="3" t="s">
        <v>24</v>
      </c>
      <c r="O8" s="2" t="s">
        <v>935</v>
      </c>
      <c r="P8" s="12">
        <v>46013</v>
      </c>
    </row>
    <row r="9" spans="1:22" ht="105">
      <c r="A9" s="1">
        <v>8</v>
      </c>
      <c r="B9" s="1" t="s">
        <v>3011</v>
      </c>
      <c r="C9" s="1"/>
      <c r="D9" s="1"/>
      <c r="E9" s="1" t="s">
        <v>30</v>
      </c>
      <c r="F9" s="1" t="s">
        <v>22</v>
      </c>
      <c r="G9" s="1" t="s">
        <v>2975</v>
      </c>
      <c r="H9" s="1" t="s">
        <v>3017</v>
      </c>
      <c r="I9" s="1" t="s">
        <v>933</v>
      </c>
      <c r="J9" s="1" t="s">
        <v>3012</v>
      </c>
      <c r="K9" s="1" t="s">
        <v>3013</v>
      </c>
      <c r="L9" s="1" t="s">
        <v>3014</v>
      </c>
      <c r="M9" s="1" t="s">
        <v>3015</v>
      </c>
      <c r="N9" s="3" t="s">
        <v>24</v>
      </c>
      <c r="O9" s="2" t="s">
        <v>935</v>
      </c>
      <c r="P9" s="12">
        <v>46013</v>
      </c>
    </row>
    <row r="10" spans="1:22" ht="90">
      <c r="A10" s="1">
        <v>9</v>
      </c>
      <c r="B10" s="1" t="s">
        <v>3016</v>
      </c>
      <c r="C10" s="1"/>
      <c r="D10" s="1"/>
      <c r="E10" s="1" t="s">
        <v>30</v>
      </c>
      <c r="F10" s="1" t="s">
        <v>22</v>
      </c>
      <c r="G10" s="1" t="s">
        <v>2975</v>
      </c>
      <c r="H10" s="1" t="s">
        <v>3018</v>
      </c>
      <c r="I10" s="1" t="s">
        <v>933</v>
      </c>
      <c r="J10" s="1" t="s">
        <v>3019</v>
      </c>
      <c r="K10" s="1" t="s">
        <v>3020</v>
      </c>
      <c r="L10" s="1" t="s">
        <v>3021</v>
      </c>
      <c r="M10" s="1" t="s">
        <v>3022</v>
      </c>
      <c r="N10" s="3" t="s">
        <v>274</v>
      </c>
      <c r="O10" s="2" t="s">
        <v>935</v>
      </c>
      <c r="P10" s="12">
        <v>46013</v>
      </c>
    </row>
    <row r="11" spans="1:22" ht="165">
      <c r="A11" s="68">
        <v>10</v>
      </c>
      <c r="B11" s="68" t="s">
        <v>3023</v>
      </c>
      <c r="C11" s="69" t="s">
        <v>3107</v>
      </c>
      <c r="D11" s="70">
        <v>46013</v>
      </c>
      <c r="E11" s="68" t="s">
        <v>30</v>
      </c>
      <c r="F11" s="68" t="s">
        <v>22</v>
      </c>
      <c r="G11" s="68" t="s">
        <v>2975</v>
      </c>
      <c r="H11" s="68" t="s">
        <v>3027</v>
      </c>
      <c r="I11" s="68" t="s">
        <v>933</v>
      </c>
      <c r="J11" s="68" t="s">
        <v>3024</v>
      </c>
      <c r="K11" s="95" t="s">
        <v>3030</v>
      </c>
      <c r="L11" s="95" t="s">
        <v>3025</v>
      </c>
      <c r="M11" s="142" t="s">
        <v>6053</v>
      </c>
      <c r="N11" s="68" t="s">
        <v>24</v>
      </c>
      <c r="O11" s="71" t="s">
        <v>935</v>
      </c>
      <c r="P11" s="72">
        <v>46013</v>
      </c>
      <c r="Q11" s="84"/>
      <c r="R11" s="68" t="s">
        <v>6085</v>
      </c>
      <c r="S11" s="84"/>
      <c r="T11" s="72" t="s">
        <v>6080</v>
      </c>
      <c r="U11" s="84"/>
      <c r="V11" s="84"/>
    </row>
    <row r="12" spans="1:22" ht="165">
      <c r="A12" s="68">
        <v>11</v>
      </c>
      <c r="B12" s="68" t="s">
        <v>3026</v>
      </c>
      <c r="C12" s="69" t="s">
        <v>3108</v>
      </c>
      <c r="D12" s="70">
        <v>46013</v>
      </c>
      <c r="E12" s="68" t="s">
        <v>30</v>
      </c>
      <c r="F12" s="68" t="s">
        <v>22</v>
      </c>
      <c r="G12" s="68" t="s">
        <v>2975</v>
      </c>
      <c r="H12" s="68" t="s">
        <v>3028</v>
      </c>
      <c r="I12" s="68" t="s">
        <v>933</v>
      </c>
      <c r="J12" s="68" t="s">
        <v>3029</v>
      </c>
      <c r="K12" s="95" t="s">
        <v>3031</v>
      </c>
      <c r="L12" s="95" t="s">
        <v>3032</v>
      </c>
      <c r="M12" s="142" t="s">
        <v>6052</v>
      </c>
      <c r="N12" s="68" t="s">
        <v>24</v>
      </c>
      <c r="O12" s="71" t="s">
        <v>935</v>
      </c>
      <c r="P12" s="72">
        <v>46013</v>
      </c>
      <c r="Q12" s="84"/>
      <c r="R12" s="68" t="s">
        <v>6085</v>
      </c>
      <c r="S12" s="84"/>
      <c r="T12" s="72" t="s">
        <v>6080</v>
      </c>
      <c r="U12" s="84"/>
      <c r="V12" s="84"/>
    </row>
    <row r="13" spans="1:22" ht="165">
      <c r="A13" s="68">
        <v>12</v>
      </c>
      <c r="B13" s="68" t="s">
        <v>3033</v>
      </c>
      <c r="C13" s="69" t="s">
        <v>3109</v>
      </c>
      <c r="D13" s="70">
        <v>46013</v>
      </c>
      <c r="E13" s="68" t="s">
        <v>30</v>
      </c>
      <c r="F13" s="68" t="s">
        <v>22</v>
      </c>
      <c r="G13" s="68" t="s">
        <v>2975</v>
      </c>
      <c r="H13" s="68" t="s">
        <v>3034</v>
      </c>
      <c r="I13" s="68" t="s">
        <v>933</v>
      </c>
      <c r="J13" s="68" t="s">
        <v>3035</v>
      </c>
      <c r="K13" s="95" t="s">
        <v>3036</v>
      </c>
      <c r="L13" s="95" t="s">
        <v>3037</v>
      </c>
      <c r="M13" s="142" t="s">
        <v>6054</v>
      </c>
      <c r="N13" s="68" t="s">
        <v>24</v>
      </c>
      <c r="O13" s="71" t="s">
        <v>935</v>
      </c>
      <c r="P13" s="72">
        <v>46013</v>
      </c>
      <c r="Q13" s="84"/>
      <c r="R13" s="68" t="s">
        <v>6085</v>
      </c>
      <c r="S13" s="84"/>
      <c r="T13" s="72" t="s">
        <v>6080</v>
      </c>
      <c r="U13" s="84"/>
      <c r="V13" s="84"/>
    </row>
    <row r="14" spans="1:22" ht="105">
      <c r="A14" s="1">
        <v>13</v>
      </c>
      <c r="B14" s="1" t="s">
        <v>3043</v>
      </c>
      <c r="C14" s="1"/>
      <c r="D14" s="1"/>
      <c r="E14" s="1" t="s">
        <v>30</v>
      </c>
      <c r="F14" s="1" t="s">
        <v>22</v>
      </c>
      <c r="G14" s="1" t="s">
        <v>2975</v>
      </c>
      <c r="H14" s="1" t="s">
        <v>3038</v>
      </c>
      <c r="I14" s="1" t="s">
        <v>933</v>
      </c>
      <c r="J14" s="1" t="s">
        <v>3039</v>
      </c>
      <c r="K14" s="1" t="s">
        <v>3040</v>
      </c>
      <c r="L14" s="1" t="s">
        <v>3041</v>
      </c>
      <c r="M14" s="1" t="s">
        <v>3042</v>
      </c>
      <c r="N14" s="3" t="s">
        <v>24</v>
      </c>
      <c r="O14" s="2" t="s">
        <v>935</v>
      </c>
      <c r="P14" s="12">
        <v>46013</v>
      </c>
    </row>
    <row r="15" spans="1:22" ht="105">
      <c r="A15" s="1">
        <v>14</v>
      </c>
      <c r="B15" s="1" t="s">
        <v>3044</v>
      </c>
      <c r="C15" s="1"/>
      <c r="D15" s="1"/>
      <c r="E15" s="1" t="s">
        <v>30</v>
      </c>
      <c r="F15" s="1" t="s">
        <v>22</v>
      </c>
      <c r="G15" s="1" t="s">
        <v>2975</v>
      </c>
      <c r="H15" s="1" t="s">
        <v>3045</v>
      </c>
      <c r="I15" s="1" t="s">
        <v>933</v>
      </c>
      <c r="J15" s="1" t="s">
        <v>3046</v>
      </c>
      <c r="K15" s="1" t="s">
        <v>2907</v>
      </c>
      <c r="L15" s="1" t="s">
        <v>2908</v>
      </c>
      <c r="M15" s="1" t="s">
        <v>2909</v>
      </c>
      <c r="N15" s="3" t="s">
        <v>24</v>
      </c>
      <c r="O15" s="2" t="s">
        <v>935</v>
      </c>
      <c r="P15" s="12">
        <v>46013</v>
      </c>
    </row>
    <row r="16" spans="1:22" ht="120">
      <c r="A16" s="1">
        <v>15</v>
      </c>
      <c r="B16" s="1" t="s">
        <v>3047</v>
      </c>
      <c r="C16" s="1"/>
      <c r="D16" s="1"/>
      <c r="E16" s="1" t="s">
        <v>30</v>
      </c>
      <c r="F16" s="1" t="s">
        <v>22</v>
      </c>
      <c r="G16" s="1" t="s">
        <v>2975</v>
      </c>
      <c r="H16" s="1" t="s">
        <v>3048</v>
      </c>
      <c r="I16" s="1" t="s">
        <v>933</v>
      </c>
      <c r="J16" s="1" t="s">
        <v>3049</v>
      </c>
      <c r="K16" s="1" t="s">
        <v>3050</v>
      </c>
      <c r="L16" s="1" t="s">
        <v>3051</v>
      </c>
      <c r="M16" s="1" t="s">
        <v>3058</v>
      </c>
      <c r="N16" s="3" t="s">
        <v>274</v>
      </c>
      <c r="O16" s="2" t="s">
        <v>935</v>
      </c>
      <c r="P16" s="12">
        <v>46013</v>
      </c>
    </row>
    <row r="17" spans="1:22" ht="120">
      <c r="A17" s="1">
        <v>16</v>
      </c>
      <c r="B17" s="1" t="s">
        <v>3052</v>
      </c>
      <c r="C17" s="1"/>
      <c r="D17" s="1"/>
      <c r="E17" s="1" t="s">
        <v>30</v>
      </c>
      <c r="F17" s="1" t="s">
        <v>22</v>
      </c>
      <c r="G17" s="1" t="s">
        <v>2975</v>
      </c>
      <c r="H17" s="1" t="s">
        <v>3053</v>
      </c>
      <c r="I17" s="1" t="s">
        <v>933</v>
      </c>
      <c r="J17" s="1" t="s">
        <v>3054</v>
      </c>
      <c r="K17" s="1" t="s">
        <v>3055</v>
      </c>
      <c r="L17" s="1" t="s">
        <v>3056</v>
      </c>
      <c r="M17" s="1" t="s">
        <v>3057</v>
      </c>
      <c r="N17" s="3" t="s">
        <v>274</v>
      </c>
      <c r="O17" s="2" t="s">
        <v>935</v>
      </c>
      <c r="P17" s="12">
        <v>46013</v>
      </c>
    </row>
    <row r="18" spans="1:22" ht="105">
      <c r="A18" s="1">
        <v>17</v>
      </c>
      <c r="B18" s="1" t="s">
        <v>3059</v>
      </c>
      <c r="C18" s="1"/>
      <c r="D18" s="1"/>
      <c r="E18" s="1" t="s">
        <v>30</v>
      </c>
      <c r="F18" s="1" t="s">
        <v>22</v>
      </c>
      <c r="G18" s="1" t="s">
        <v>2975</v>
      </c>
      <c r="H18" s="1" t="s">
        <v>3060</v>
      </c>
      <c r="I18" s="1" t="s">
        <v>933</v>
      </c>
      <c r="J18" s="1" t="s">
        <v>3061</v>
      </c>
      <c r="K18" s="1" t="s">
        <v>866</v>
      </c>
      <c r="L18" s="1" t="s">
        <v>2913</v>
      </c>
      <c r="M18" s="1" t="s">
        <v>2914</v>
      </c>
      <c r="N18" s="3" t="s">
        <v>24</v>
      </c>
      <c r="O18" s="2" t="s">
        <v>935</v>
      </c>
      <c r="P18" s="12">
        <v>46013</v>
      </c>
    </row>
    <row r="19" spans="1:22" ht="150">
      <c r="A19" s="68">
        <v>18</v>
      </c>
      <c r="B19" s="68" t="s">
        <v>3062</v>
      </c>
      <c r="C19" s="69" t="s">
        <v>3110</v>
      </c>
      <c r="D19" s="70">
        <v>46013</v>
      </c>
      <c r="E19" s="68" t="s">
        <v>30</v>
      </c>
      <c r="F19" s="68" t="s">
        <v>22</v>
      </c>
      <c r="G19" s="68" t="s">
        <v>2975</v>
      </c>
      <c r="H19" s="68" t="s">
        <v>3064</v>
      </c>
      <c r="I19" s="68" t="s">
        <v>933</v>
      </c>
      <c r="J19" s="68" t="s">
        <v>3063</v>
      </c>
      <c r="K19" s="68" t="s">
        <v>3065</v>
      </c>
      <c r="L19" s="68" t="s">
        <v>3066</v>
      </c>
      <c r="M19" s="68" t="s">
        <v>3067</v>
      </c>
      <c r="N19" s="68" t="s">
        <v>24</v>
      </c>
      <c r="O19" s="71" t="s">
        <v>935</v>
      </c>
      <c r="P19" s="72">
        <v>46013</v>
      </c>
      <c r="Q19" s="68" t="s">
        <v>3159</v>
      </c>
      <c r="R19" s="68" t="s">
        <v>1220</v>
      </c>
      <c r="S19" s="68" t="s">
        <v>5075</v>
      </c>
      <c r="T19" s="72" t="s">
        <v>6080</v>
      </c>
      <c r="U19" s="84"/>
      <c r="V19" s="84"/>
    </row>
    <row r="20" spans="1:22" ht="165">
      <c r="A20" s="1">
        <v>19</v>
      </c>
      <c r="B20" s="1" t="s">
        <v>3068</v>
      </c>
      <c r="C20" s="1"/>
      <c r="D20" s="1"/>
      <c r="E20" s="1" t="s">
        <v>30</v>
      </c>
      <c r="F20" s="1" t="s">
        <v>22</v>
      </c>
      <c r="G20" s="1" t="s">
        <v>2975</v>
      </c>
      <c r="H20" s="1" t="s">
        <v>3069</v>
      </c>
      <c r="I20" s="1" t="s">
        <v>933</v>
      </c>
      <c r="J20" s="1" t="s">
        <v>3070</v>
      </c>
      <c r="K20" s="1" t="s">
        <v>3071</v>
      </c>
      <c r="L20" s="1" t="s">
        <v>3072</v>
      </c>
      <c r="M20" s="5" t="s">
        <v>3073</v>
      </c>
      <c r="N20" s="47" t="s">
        <v>24</v>
      </c>
      <c r="O20" s="2" t="s">
        <v>2648</v>
      </c>
      <c r="P20" s="48">
        <v>46013</v>
      </c>
    </row>
    <row r="21" spans="1:22" ht="120">
      <c r="A21" s="1">
        <v>20</v>
      </c>
      <c r="B21" s="1" t="s">
        <v>3074</v>
      </c>
      <c r="C21" s="1"/>
      <c r="D21" s="1"/>
      <c r="E21" s="1" t="s">
        <v>30</v>
      </c>
      <c r="F21" s="1" t="s">
        <v>22</v>
      </c>
      <c r="G21" s="1" t="s">
        <v>2975</v>
      </c>
      <c r="H21" s="1" t="s">
        <v>3075</v>
      </c>
      <c r="I21" s="1" t="s">
        <v>933</v>
      </c>
      <c r="J21" s="1" t="s">
        <v>3076</v>
      </c>
      <c r="K21" s="1" t="s">
        <v>1024</v>
      </c>
      <c r="L21" s="1" t="s">
        <v>882</v>
      </c>
      <c r="M21" s="1" t="s">
        <v>1773</v>
      </c>
      <c r="N21" s="47" t="s">
        <v>24</v>
      </c>
      <c r="O21" s="2" t="s">
        <v>2648</v>
      </c>
      <c r="P21" s="48">
        <v>46013</v>
      </c>
    </row>
    <row r="22" spans="1:22" ht="150">
      <c r="A22" s="68">
        <v>21</v>
      </c>
      <c r="B22" s="68" t="s">
        <v>3077</v>
      </c>
      <c r="C22" s="69" t="s">
        <v>3111</v>
      </c>
      <c r="D22" s="70">
        <v>46013</v>
      </c>
      <c r="E22" s="68" t="s">
        <v>30</v>
      </c>
      <c r="F22" s="68" t="s">
        <v>22</v>
      </c>
      <c r="G22" s="68" t="s">
        <v>2975</v>
      </c>
      <c r="H22" s="95" t="s">
        <v>3078</v>
      </c>
      <c r="I22" s="68" t="s">
        <v>933</v>
      </c>
      <c r="J22" s="68" t="s">
        <v>3079</v>
      </c>
      <c r="K22" s="95" t="s">
        <v>890</v>
      </c>
      <c r="L22" s="68" t="s">
        <v>3080</v>
      </c>
      <c r="M22" s="68" t="s">
        <v>3081</v>
      </c>
      <c r="N22" s="68" t="s">
        <v>24</v>
      </c>
      <c r="O22" s="71" t="s">
        <v>2648</v>
      </c>
      <c r="P22" s="141">
        <v>46013</v>
      </c>
      <c r="Q22" s="68" t="s">
        <v>3159</v>
      </c>
      <c r="R22" s="68" t="s">
        <v>1220</v>
      </c>
      <c r="S22" s="68" t="s">
        <v>5075</v>
      </c>
      <c r="T22" s="72" t="s">
        <v>6080</v>
      </c>
      <c r="U22" s="84"/>
      <c r="V22" s="84"/>
    </row>
    <row r="23" spans="1:22" ht="90">
      <c r="A23" s="1">
        <v>22</v>
      </c>
      <c r="B23" s="1" t="s">
        <v>3082</v>
      </c>
      <c r="C23" s="1"/>
      <c r="D23" s="1"/>
      <c r="E23" s="1" t="s">
        <v>30</v>
      </c>
      <c r="F23" s="1" t="s">
        <v>22</v>
      </c>
      <c r="G23" s="1" t="s">
        <v>2975</v>
      </c>
      <c r="H23" s="1" t="s">
        <v>3083</v>
      </c>
      <c r="I23" s="1" t="s">
        <v>933</v>
      </c>
      <c r="J23" s="1" t="s">
        <v>3084</v>
      </c>
      <c r="K23" s="1" t="s">
        <v>255</v>
      </c>
      <c r="L23" s="1" t="s">
        <v>3085</v>
      </c>
      <c r="M23" s="1" t="s">
        <v>6069</v>
      </c>
      <c r="N23" s="3" t="s">
        <v>274</v>
      </c>
      <c r="O23" s="2" t="s">
        <v>2648</v>
      </c>
      <c r="P23" s="48">
        <v>46013</v>
      </c>
    </row>
    <row r="24" spans="1:22" ht="90">
      <c r="A24" s="1">
        <v>23</v>
      </c>
      <c r="B24" s="1" t="s">
        <v>3086</v>
      </c>
      <c r="C24" s="1"/>
      <c r="D24" s="1"/>
      <c r="E24" s="1" t="s">
        <v>30</v>
      </c>
      <c r="F24" s="1" t="s">
        <v>22</v>
      </c>
      <c r="G24" s="1" t="s">
        <v>2975</v>
      </c>
      <c r="H24" s="1" t="s">
        <v>3089</v>
      </c>
      <c r="I24" s="1" t="s">
        <v>933</v>
      </c>
      <c r="J24" s="1" t="s">
        <v>3087</v>
      </c>
      <c r="K24" s="1" t="s">
        <v>255</v>
      </c>
      <c r="L24" s="1" t="s">
        <v>3088</v>
      </c>
      <c r="M24" s="1" t="s">
        <v>1857</v>
      </c>
      <c r="N24" s="47" t="s">
        <v>24</v>
      </c>
      <c r="O24" s="2" t="s">
        <v>2648</v>
      </c>
      <c r="P24" s="48">
        <v>46013</v>
      </c>
    </row>
    <row r="25" spans="1:22" ht="90">
      <c r="A25" s="1">
        <v>24</v>
      </c>
      <c r="B25" s="1" t="s">
        <v>3090</v>
      </c>
      <c r="C25" s="1"/>
      <c r="D25" s="1"/>
      <c r="E25" s="1" t="s">
        <v>30</v>
      </c>
      <c r="F25" s="1" t="s">
        <v>22</v>
      </c>
      <c r="G25" s="1" t="s">
        <v>2975</v>
      </c>
      <c r="H25" s="1" t="s">
        <v>3091</v>
      </c>
      <c r="I25" s="1" t="s">
        <v>933</v>
      </c>
      <c r="J25" s="1" t="s">
        <v>3092</v>
      </c>
      <c r="K25" s="1" t="s">
        <v>255</v>
      </c>
      <c r="L25" s="1" t="s">
        <v>2765</v>
      </c>
      <c r="M25" s="1" t="s">
        <v>3093</v>
      </c>
      <c r="N25" s="47" t="s">
        <v>24</v>
      </c>
      <c r="O25" s="2" t="s">
        <v>2648</v>
      </c>
      <c r="P25" s="48">
        <v>46013</v>
      </c>
    </row>
    <row r="26" spans="1:22" ht="90">
      <c r="A26" s="1">
        <v>25</v>
      </c>
      <c r="B26" s="1" t="s">
        <v>3094</v>
      </c>
      <c r="C26" s="1"/>
      <c r="D26" s="1"/>
      <c r="E26" s="1" t="s">
        <v>30</v>
      </c>
      <c r="F26" s="1" t="s">
        <v>22</v>
      </c>
      <c r="G26" s="1" t="s">
        <v>2975</v>
      </c>
      <c r="H26" s="1" t="s">
        <v>3095</v>
      </c>
      <c r="I26" s="1" t="s">
        <v>933</v>
      </c>
      <c r="J26" s="1" t="s">
        <v>3096</v>
      </c>
      <c r="K26" s="1" t="s">
        <v>255</v>
      </c>
      <c r="L26" s="1" t="s">
        <v>918</v>
      </c>
      <c r="M26" s="1" t="s">
        <v>6073</v>
      </c>
      <c r="N26" s="3" t="s">
        <v>274</v>
      </c>
      <c r="O26" s="2" t="s">
        <v>2648</v>
      </c>
      <c r="P26" s="48">
        <v>46013</v>
      </c>
    </row>
  </sheetData>
  <autoFilter ref="A1:V26"/>
  <hyperlinks>
    <hyperlink ref="C3" r:id="rId1" display="https://hanssupport.atlassian.net/browse/BA-322"/>
    <hyperlink ref="C6" r:id="rId2" display="https://hanssupport.atlassian.net/browse/BA-323"/>
    <hyperlink ref="C7" r:id="rId3" display="https://hanssupport.atlassian.net/browse/BA-324"/>
    <hyperlink ref="C11" r:id="rId4" display="https://hanssupport.atlassian.net/browse/BA-325"/>
    <hyperlink ref="C12" r:id="rId5" display="https://hanssupport.atlassian.net/browse/BA-326"/>
    <hyperlink ref="C13" r:id="rId6" display="https://hanssupport.atlassian.net/browse/BA-327"/>
    <hyperlink ref="C19" r:id="rId7" display="https://hanssupport.atlassian.net/browse/BA-328"/>
    <hyperlink ref="C22" r:id="rId8" display="https://hanssupport.atlassian.net/browse/BA-329"/>
  </hyperlinks>
  <pageMargins left="0.7" right="0.7" top="0.75" bottom="0.75" header="0.3" footer="0.3"/>
  <pageSetup paperSize="9" orientation="portrait" verticalDpi="0" r:id="rId9"/>
</worksheet>
</file>

<file path=xl/worksheets/sheet34.xml><?xml version="1.0" encoding="utf-8"?>
<worksheet xmlns="http://schemas.openxmlformats.org/spreadsheetml/2006/main" xmlns:r="http://schemas.openxmlformats.org/officeDocument/2006/relationships">
  <dimension ref="A1:V16"/>
  <sheetViews>
    <sheetView topLeftCell="L1" workbookViewId="0">
      <pane ySplit="1" topLeftCell="A7" activePane="bottomLeft" state="frozen"/>
      <selection pane="bottomLeft" activeCell="T10" sqref="T10"/>
    </sheetView>
  </sheetViews>
  <sheetFormatPr defaultRowHeight="15"/>
  <cols>
    <col min="1" max="1" width="9.140625" style="45"/>
    <col min="2" max="2" width="30.140625" style="45" customWidth="1"/>
    <col min="3" max="3" width="12.7109375" style="45" customWidth="1"/>
    <col min="4" max="4" width="21.42578125" style="45" customWidth="1"/>
    <col min="5" max="5" width="13.140625" style="45" customWidth="1"/>
    <col min="6" max="6" width="12.42578125" style="45" customWidth="1"/>
    <col min="7" max="7" width="27.7109375" style="45" customWidth="1"/>
    <col min="8" max="8" width="57.140625" style="45" customWidth="1"/>
    <col min="9" max="9" width="47.140625" style="45" customWidth="1"/>
    <col min="10" max="10" width="62.28515625" style="45" customWidth="1"/>
    <col min="11" max="11" width="40.5703125" style="45" customWidth="1"/>
    <col min="12" max="12" width="60.28515625" style="45" customWidth="1"/>
    <col min="13" max="13" width="49" style="45" customWidth="1"/>
    <col min="14" max="14" width="12.85546875" style="45" customWidth="1"/>
    <col min="15" max="15" width="33.42578125" style="45" customWidth="1"/>
    <col min="16" max="16" width="21.7109375" style="45" customWidth="1"/>
    <col min="17" max="17" width="12.5703125" style="45" customWidth="1"/>
    <col min="18" max="18" width="19.140625" style="45" customWidth="1"/>
    <col min="19" max="19" width="21.28515625" style="45" customWidth="1"/>
    <col min="20" max="20" width="23.140625" style="45" customWidth="1"/>
    <col min="21" max="21" width="26.140625" style="45" customWidth="1"/>
    <col min="22" max="22" width="14.710937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75">
      <c r="A2" s="1">
        <v>1</v>
      </c>
      <c r="B2" s="1" t="s">
        <v>3112</v>
      </c>
      <c r="C2" s="1"/>
      <c r="D2" s="1"/>
      <c r="E2" s="1" t="s">
        <v>30</v>
      </c>
      <c r="F2" s="1" t="s">
        <v>22</v>
      </c>
      <c r="G2" s="1" t="s">
        <v>3113</v>
      </c>
      <c r="H2" s="1" t="s">
        <v>3114</v>
      </c>
      <c r="I2" s="1" t="s">
        <v>933</v>
      </c>
      <c r="J2" s="1" t="s">
        <v>3115</v>
      </c>
      <c r="K2" s="1" t="s">
        <v>1074</v>
      </c>
      <c r="L2" s="1" t="s">
        <v>3116</v>
      </c>
      <c r="M2" s="1" t="s">
        <v>3117</v>
      </c>
      <c r="N2" s="3" t="s">
        <v>24</v>
      </c>
      <c r="O2" s="2" t="s">
        <v>935</v>
      </c>
      <c r="P2" s="12">
        <v>46013</v>
      </c>
    </row>
    <row r="3" spans="1:22" ht="150">
      <c r="A3" s="68">
        <v>2</v>
      </c>
      <c r="B3" s="68" t="s">
        <v>3118</v>
      </c>
      <c r="C3" s="69" t="s">
        <v>3657</v>
      </c>
      <c r="D3" s="70">
        <v>46020</v>
      </c>
      <c r="E3" s="68" t="s">
        <v>30</v>
      </c>
      <c r="F3" s="68" t="s">
        <v>22</v>
      </c>
      <c r="G3" s="68" t="s">
        <v>3113</v>
      </c>
      <c r="H3" s="68" t="s">
        <v>3121</v>
      </c>
      <c r="I3" s="68" t="s">
        <v>933</v>
      </c>
      <c r="J3" s="68" t="s">
        <v>3119</v>
      </c>
      <c r="K3" s="68" t="s">
        <v>3120</v>
      </c>
      <c r="L3" s="68" t="s">
        <v>3122</v>
      </c>
      <c r="M3" s="68" t="s">
        <v>3123</v>
      </c>
      <c r="N3" s="68" t="s">
        <v>24</v>
      </c>
      <c r="O3" s="71" t="s">
        <v>935</v>
      </c>
      <c r="P3" s="72">
        <v>46013</v>
      </c>
      <c r="Q3" s="68" t="s">
        <v>3159</v>
      </c>
      <c r="R3" s="68" t="s">
        <v>1220</v>
      </c>
      <c r="S3" s="68" t="s">
        <v>5075</v>
      </c>
      <c r="T3" s="72" t="s">
        <v>6160</v>
      </c>
      <c r="U3" s="84"/>
      <c r="V3" s="84"/>
    </row>
    <row r="4" spans="1:22" ht="135">
      <c r="A4" s="1">
        <v>3</v>
      </c>
      <c r="B4" s="1" t="s">
        <v>3124</v>
      </c>
      <c r="C4" s="1"/>
      <c r="D4" s="1"/>
      <c r="E4" s="1" t="s">
        <v>30</v>
      </c>
      <c r="F4" s="1" t="s">
        <v>22</v>
      </c>
      <c r="G4" s="1" t="s">
        <v>3113</v>
      </c>
      <c r="H4" s="1" t="s">
        <v>3125</v>
      </c>
      <c r="I4" s="1" t="s">
        <v>933</v>
      </c>
      <c r="J4" s="1" t="s">
        <v>3126</v>
      </c>
      <c r="K4" s="1" t="s">
        <v>255</v>
      </c>
      <c r="L4" s="1" t="s">
        <v>2833</v>
      </c>
      <c r="M4" s="1" t="s">
        <v>2834</v>
      </c>
      <c r="N4" s="3" t="s">
        <v>274</v>
      </c>
      <c r="O4" s="2" t="s">
        <v>935</v>
      </c>
      <c r="P4" s="12">
        <v>46013</v>
      </c>
    </row>
    <row r="5" spans="1:22" ht="150">
      <c r="A5" s="68">
        <v>4</v>
      </c>
      <c r="B5" s="68" t="s">
        <v>3127</v>
      </c>
      <c r="C5" s="69" t="s">
        <v>3658</v>
      </c>
      <c r="D5" s="70">
        <v>46020</v>
      </c>
      <c r="E5" s="68" t="s">
        <v>30</v>
      </c>
      <c r="F5" s="68" t="s">
        <v>22</v>
      </c>
      <c r="G5" s="68" t="s">
        <v>3113</v>
      </c>
      <c r="H5" s="68" t="s">
        <v>3128</v>
      </c>
      <c r="I5" s="68" t="s">
        <v>933</v>
      </c>
      <c r="J5" s="68" t="s">
        <v>3129</v>
      </c>
      <c r="K5" s="68" t="s">
        <v>1905</v>
      </c>
      <c r="L5" s="68" t="s">
        <v>2998</v>
      </c>
      <c r="M5" s="68" t="s">
        <v>3130</v>
      </c>
      <c r="N5" s="68" t="s">
        <v>24</v>
      </c>
      <c r="O5" s="71" t="s">
        <v>935</v>
      </c>
      <c r="P5" s="72">
        <v>46013</v>
      </c>
      <c r="Q5" s="79" t="s">
        <v>3159</v>
      </c>
      <c r="R5" s="68" t="s">
        <v>1220</v>
      </c>
      <c r="S5" s="68" t="s">
        <v>5075</v>
      </c>
      <c r="T5" s="72" t="s">
        <v>6160</v>
      </c>
      <c r="U5" s="84"/>
      <c r="V5" s="84"/>
    </row>
    <row r="6" spans="1:22" ht="150">
      <c r="A6" s="68">
        <v>5</v>
      </c>
      <c r="B6" s="68" t="s">
        <v>3131</v>
      </c>
      <c r="C6" s="69" t="s">
        <v>3659</v>
      </c>
      <c r="D6" s="70">
        <v>46020</v>
      </c>
      <c r="E6" s="68" t="s">
        <v>30</v>
      </c>
      <c r="F6" s="68" t="s">
        <v>22</v>
      </c>
      <c r="G6" s="68" t="s">
        <v>3113</v>
      </c>
      <c r="H6" s="68" t="s">
        <v>3132</v>
      </c>
      <c r="I6" s="68" t="s">
        <v>933</v>
      </c>
      <c r="J6" s="68" t="s">
        <v>3133</v>
      </c>
      <c r="K6" s="68" t="s">
        <v>1661</v>
      </c>
      <c r="L6" s="68" t="s">
        <v>3003</v>
      </c>
      <c r="M6" s="68" t="s">
        <v>3004</v>
      </c>
      <c r="N6" s="68" t="s">
        <v>24</v>
      </c>
      <c r="O6" s="71" t="s">
        <v>935</v>
      </c>
      <c r="P6" s="72">
        <v>46013</v>
      </c>
      <c r="Q6" s="79" t="s">
        <v>3159</v>
      </c>
      <c r="R6" s="68" t="s">
        <v>1220</v>
      </c>
      <c r="S6" s="68" t="s">
        <v>5075</v>
      </c>
      <c r="T6" s="72" t="s">
        <v>6160</v>
      </c>
      <c r="U6" s="84"/>
      <c r="V6" s="84"/>
    </row>
    <row r="7" spans="1:22" ht="90">
      <c r="A7" s="68">
        <v>6</v>
      </c>
      <c r="B7" s="68" t="s">
        <v>3134</v>
      </c>
      <c r="C7" s="69" t="s">
        <v>3660</v>
      </c>
      <c r="D7" s="70">
        <v>46020</v>
      </c>
      <c r="E7" s="68" t="s">
        <v>30</v>
      </c>
      <c r="F7" s="68" t="s">
        <v>22</v>
      </c>
      <c r="G7" s="68" t="s">
        <v>3113</v>
      </c>
      <c r="H7" s="68" t="s">
        <v>3135</v>
      </c>
      <c r="I7" s="68" t="s">
        <v>933</v>
      </c>
      <c r="J7" s="68" t="s">
        <v>3136</v>
      </c>
      <c r="K7" s="68" t="s">
        <v>3137</v>
      </c>
      <c r="L7" s="68" t="s">
        <v>3138</v>
      </c>
      <c r="M7" s="68" t="s">
        <v>3139</v>
      </c>
      <c r="N7" s="68" t="s">
        <v>24</v>
      </c>
      <c r="O7" s="71" t="s">
        <v>935</v>
      </c>
      <c r="P7" s="72">
        <v>46013</v>
      </c>
      <c r="Q7" s="79" t="s">
        <v>3159</v>
      </c>
      <c r="R7" s="68" t="s">
        <v>1220</v>
      </c>
      <c r="S7" s="68" t="s">
        <v>5075</v>
      </c>
      <c r="T7" s="72" t="s">
        <v>6160</v>
      </c>
      <c r="U7" s="84"/>
      <c r="V7" s="84"/>
    </row>
    <row r="8" spans="1:22" ht="165">
      <c r="A8" s="68">
        <v>7</v>
      </c>
      <c r="B8" s="68" t="s">
        <v>3140</v>
      </c>
      <c r="C8" s="69" t="s">
        <v>3661</v>
      </c>
      <c r="D8" s="70">
        <v>46020</v>
      </c>
      <c r="E8" s="68" t="s">
        <v>30</v>
      </c>
      <c r="F8" s="68" t="s">
        <v>22</v>
      </c>
      <c r="G8" s="68" t="s">
        <v>3113</v>
      </c>
      <c r="H8" s="68" t="s">
        <v>3141</v>
      </c>
      <c r="I8" s="68" t="s">
        <v>933</v>
      </c>
      <c r="J8" s="68" t="s">
        <v>3142</v>
      </c>
      <c r="K8" s="68" t="s">
        <v>2851</v>
      </c>
      <c r="L8" s="68" t="s">
        <v>2863</v>
      </c>
      <c r="M8" s="68" t="s">
        <v>3143</v>
      </c>
      <c r="N8" s="68" t="s">
        <v>24</v>
      </c>
      <c r="O8" s="71" t="s">
        <v>935</v>
      </c>
      <c r="P8" s="72">
        <v>46013</v>
      </c>
      <c r="Q8" s="79" t="s">
        <v>3159</v>
      </c>
      <c r="R8" s="68" t="s">
        <v>1220</v>
      </c>
      <c r="S8" s="68" t="s">
        <v>5075</v>
      </c>
      <c r="T8" s="72" t="s">
        <v>6160</v>
      </c>
      <c r="U8" s="84"/>
      <c r="V8" s="84"/>
    </row>
    <row r="9" spans="1:22" ht="105">
      <c r="A9" s="1">
        <v>8</v>
      </c>
      <c r="B9" s="1" t="s">
        <v>3144</v>
      </c>
      <c r="C9" s="1"/>
      <c r="D9" s="1"/>
      <c r="E9" s="1" t="s">
        <v>30</v>
      </c>
      <c r="F9" s="1" t="s">
        <v>22</v>
      </c>
      <c r="G9" s="1" t="s">
        <v>3113</v>
      </c>
      <c r="H9" s="1" t="s">
        <v>3145</v>
      </c>
      <c r="I9" s="1" t="s">
        <v>933</v>
      </c>
      <c r="J9" s="1" t="s">
        <v>3146</v>
      </c>
      <c r="K9" s="1" t="s">
        <v>866</v>
      </c>
      <c r="L9" s="1" t="s">
        <v>2913</v>
      </c>
      <c r="M9" s="1" t="s">
        <v>2914</v>
      </c>
      <c r="N9" s="3" t="s">
        <v>24</v>
      </c>
      <c r="O9" s="2" t="s">
        <v>935</v>
      </c>
      <c r="P9" s="12">
        <v>46013</v>
      </c>
    </row>
    <row r="10" spans="1:22" ht="180">
      <c r="A10" s="1">
        <v>9</v>
      </c>
      <c r="B10" s="1" t="s">
        <v>3147</v>
      </c>
      <c r="C10" s="1"/>
      <c r="D10" s="1"/>
      <c r="E10" s="1" t="s">
        <v>30</v>
      </c>
      <c r="F10" s="1" t="s">
        <v>22</v>
      </c>
      <c r="G10" s="1" t="s">
        <v>3113</v>
      </c>
      <c r="H10" s="1" t="s">
        <v>3148</v>
      </c>
      <c r="I10" s="1" t="s">
        <v>933</v>
      </c>
      <c r="J10" s="1" t="s">
        <v>3149</v>
      </c>
      <c r="K10" s="1" t="s">
        <v>255</v>
      </c>
      <c r="L10" s="1" t="s">
        <v>3150</v>
      </c>
      <c r="M10" s="5" t="s">
        <v>3151</v>
      </c>
      <c r="N10" s="3" t="s">
        <v>24</v>
      </c>
      <c r="O10" s="2" t="s">
        <v>935</v>
      </c>
      <c r="P10" s="12">
        <v>46013</v>
      </c>
    </row>
    <row r="11" spans="1:22" ht="120">
      <c r="A11" s="1">
        <v>10</v>
      </c>
      <c r="B11" s="1" t="s">
        <v>3152</v>
      </c>
      <c r="C11" s="1"/>
      <c r="D11" s="1"/>
      <c r="E11" s="1" t="s">
        <v>30</v>
      </c>
      <c r="F11" s="1" t="s">
        <v>22</v>
      </c>
      <c r="G11" s="1" t="s">
        <v>3113</v>
      </c>
      <c r="H11" s="1" t="s">
        <v>3153</v>
      </c>
      <c r="I11" s="1" t="s">
        <v>933</v>
      </c>
      <c r="J11" s="1" t="s">
        <v>3154</v>
      </c>
      <c r="K11" s="1" t="s">
        <v>1024</v>
      </c>
      <c r="L11" s="1" t="s">
        <v>882</v>
      </c>
      <c r="M11" s="1" t="s">
        <v>1773</v>
      </c>
      <c r="N11" s="3" t="s">
        <v>24</v>
      </c>
      <c r="O11" s="2" t="s">
        <v>935</v>
      </c>
      <c r="P11" s="12">
        <v>46013</v>
      </c>
    </row>
    <row r="12" spans="1:22" ht="150">
      <c r="A12" s="1">
        <v>11</v>
      </c>
      <c r="B12" s="1" t="s">
        <v>3155</v>
      </c>
      <c r="C12" s="1"/>
      <c r="D12" s="1"/>
      <c r="E12" s="1" t="s">
        <v>30</v>
      </c>
      <c r="F12" s="1" t="s">
        <v>22</v>
      </c>
      <c r="G12" s="1" t="s">
        <v>3113</v>
      </c>
      <c r="H12" s="5" t="s">
        <v>3156</v>
      </c>
      <c r="I12" s="1" t="s">
        <v>933</v>
      </c>
      <c r="J12" s="1" t="s">
        <v>3157</v>
      </c>
      <c r="K12" s="5" t="s">
        <v>890</v>
      </c>
      <c r="L12" s="1" t="s">
        <v>3080</v>
      </c>
      <c r="M12" s="1" t="s">
        <v>3158</v>
      </c>
      <c r="N12" s="3" t="s">
        <v>274</v>
      </c>
      <c r="O12" s="2" t="s">
        <v>935</v>
      </c>
      <c r="P12" s="12">
        <v>46013</v>
      </c>
    </row>
    <row r="13" spans="1:22" ht="90">
      <c r="A13" s="1">
        <v>12</v>
      </c>
      <c r="B13" s="1" t="s">
        <v>3160</v>
      </c>
      <c r="C13" s="1"/>
      <c r="D13" s="1"/>
      <c r="E13" s="1" t="s">
        <v>30</v>
      </c>
      <c r="F13" s="1" t="s">
        <v>22</v>
      </c>
      <c r="G13" s="1" t="s">
        <v>3113</v>
      </c>
      <c r="H13" s="1" t="s">
        <v>3161</v>
      </c>
      <c r="I13" s="1" t="s">
        <v>933</v>
      </c>
      <c r="J13" s="1" t="s">
        <v>3162</v>
      </c>
      <c r="K13" s="1" t="s">
        <v>255</v>
      </c>
      <c r="L13" s="1" t="s">
        <v>3163</v>
      </c>
      <c r="M13" s="1" t="s">
        <v>6061</v>
      </c>
      <c r="N13" s="3" t="s">
        <v>274</v>
      </c>
      <c r="O13" s="2" t="s">
        <v>935</v>
      </c>
      <c r="P13" s="12">
        <v>46014</v>
      </c>
    </row>
    <row r="14" spans="1:22" ht="90">
      <c r="A14" s="1">
        <v>13</v>
      </c>
      <c r="B14" s="1" t="s">
        <v>3164</v>
      </c>
      <c r="C14" s="1"/>
      <c r="D14" s="1"/>
      <c r="E14" s="1" t="s">
        <v>30</v>
      </c>
      <c r="F14" s="1" t="s">
        <v>22</v>
      </c>
      <c r="G14" s="1" t="s">
        <v>3113</v>
      </c>
      <c r="H14" s="1" t="s">
        <v>3165</v>
      </c>
      <c r="I14" s="1" t="s">
        <v>933</v>
      </c>
      <c r="J14" s="1" t="s">
        <v>3166</v>
      </c>
      <c r="K14" s="1" t="s">
        <v>255</v>
      </c>
      <c r="L14" s="1" t="s">
        <v>3088</v>
      </c>
      <c r="M14" s="1" t="s">
        <v>1857</v>
      </c>
      <c r="N14" s="3" t="s">
        <v>24</v>
      </c>
      <c r="O14" s="2" t="s">
        <v>935</v>
      </c>
      <c r="P14" s="12">
        <v>46014</v>
      </c>
    </row>
    <row r="15" spans="1:22" ht="90">
      <c r="A15" s="1">
        <v>14</v>
      </c>
      <c r="B15" s="1" t="s">
        <v>3167</v>
      </c>
      <c r="C15" s="1"/>
      <c r="D15" s="1"/>
      <c r="E15" s="1" t="s">
        <v>30</v>
      </c>
      <c r="F15" s="1" t="s">
        <v>22</v>
      </c>
      <c r="G15" s="1" t="s">
        <v>3113</v>
      </c>
      <c r="H15" s="1" t="s">
        <v>3168</v>
      </c>
      <c r="I15" s="1" t="s">
        <v>933</v>
      </c>
      <c r="J15" s="1" t="s">
        <v>3169</v>
      </c>
      <c r="K15" s="1" t="s">
        <v>255</v>
      </c>
      <c r="L15" s="1" t="s">
        <v>2765</v>
      </c>
      <c r="M15" s="1" t="s">
        <v>3093</v>
      </c>
      <c r="N15" s="3" t="s">
        <v>24</v>
      </c>
      <c r="O15" s="2" t="s">
        <v>935</v>
      </c>
      <c r="P15" s="12">
        <v>46014</v>
      </c>
    </row>
    <row r="16" spans="1:22" ht="90">
      <c r="A16" s="1">
        <v>15</v>
      </c>
      <c r="B16" s="1" t="s">
        <v>3170</v>
      </c>
      <c r="C16" s="1"/>
      <c r="D16" s="1"/>
      <c r="E16" s="1" t="s">
        <v>30</v>
      </c>
      <c r="F16" s="1" t="s">
        <v>22</v>
      </c>
      <c r="G16" s="1" t="s">
        <v>3113</v>
      </c>
      <c r="H16" s="1" t="s">
        <v>3171</v>
      </c>
      <c r="I16" s="1" t="s">
        <v>933</v>
      </c>
      <c r="J16" s="1" t="s">
        <v>3172</v>
      </c>
      <c r="K16" s="1" t="s">
        <v>255</v>
      </c>
      <c r="L16" s="1" t="s">
        <v>918</v>
      </c>
      <c r="M16" s="1" t="s">
        <v>6074</v>
      </c>
      <c r="N16" s="3" t="s">
        <v>274</v>
      </c>
      <c r="O16" s="2" t="s">
        <v>935</v>
      </c>
      <c r="P16" s="12">
        <v>46014</v>
      </c>
    </row>
  </sheetData>
  <autoFilter ref="A1:V16"/>
  <hyperlinks>
    <hyperlink ref="C3" r:id="rId1" display="https://hanssupport.atlassian.net/browse/BA-376"/>
    <hyperlink ref="C5" r:id="rId2" display="https://hanssupport.atlassian.net/browse/BA-377"/>
    <hyperlink ref="C6" r:id="rId3" display="https://hanssupport.atlassian.net/browse/BA-378"/>
    <hyperlink ref="C7" r:id="rId4" display="https://hanssupport.atlassian.net/browse/BA-379"/>
    <hyperlink ref="C8" r:id="rId5" display="https://hanssupport.atlassian.net/browse/BA-380"/>
  </hyperlinks>
  <pageMargins left="0.7" right="0.7" top="0.75" bottom="0.75" header="0.3" footer="0.3"/>
  <pageSetup paperSize="9" orientation="portrait" verticalDpi="0" r:id="rId6"/>
</worksheet>
</file>

<file path=xl/worksheets/sheet35.xml><?xml version="1.0" encoding="utf-8"?>
<worksheet xmlns="http://schemas.openxmlformats.org/spreadsheetml/2006/main" xmlns:r="http://schemas.openxmlformats.org/officeDocument/2006/relationships">
  <dimension ref="A1:V20"/>
  <sheetViews>
    <sheetView topLeftCell="L1" workbookViewId="0">
      <pane ySplit="1" topLeftCell="A16" activePane="bottomLeft" state="frozen"/>
      <selection pane="bottomLeft" activeCell="Q21" sqref="Q21"/>
    </sheetView>
  </sheetViews>
  <sheetFormatPr defaultRowHeight="15"/>
  <cols>
    <col min="1" max="1" width="7.7109375" style="45" customWidth="1"/>
    <col min="2" max="2" width="25.28515625" style="45" customWidth="1"/>
    <col min="3" max="3" width="11.42578125" style="45" customWidth="1"/>
    <col min="4" max="4" width="21.85546875" style="45" customWidth="1"/>
    <col min="5" max="5" width="13.28515625" style="45" customWidth="1"/>
    <col min="6" max="6" width="13.140625" style="45" customWidth="1"/>
    <col min="7" max="7" width="20.7109375" style="45" customWidth="1"/>
    <col min="8" max="8" width="56.140625" style="45" customWidth="1"/>
    <col min="9" max="9" width="43.5703125" style="45" customWidth="1"/>
    <col min="10" max="10" width="55.5703125" style="45" customWidth="1"/>
    <col min="11" max="11" width="36.42578125" style="45" customWidth="1"/>
    <col min="12" max="12" width="56" style="45" customWidth="1"/>
    <col min="13" max="13" width="45.5703125" style="45" customWidth="1"/>
    <col min="14" max="14" width="13.5703125" style="45" customWidth="1"/>
    <col min="15" max="15" width="35.7109375" style="45" customWidth="1"/>
    <col min="16" max="16" width="19.140625" style="45" customWidth="1"/>
    <col min="17" max="17" width="13.5703125" style="45" customWidth="1"/>
    <col min="18" max="18" width="16.42578125" style="45" customWidth="1"/>
    <col min="19" max="19" width="19.28515625" style="45" customWidth="1"/>
    <col min="20" max="20" width="22.140625" style="45" customWidth="1"/>
    <col min="21" max="21" width="24.85546875" style="45" customWidth="1"/>
    <col min="22" max="22" width="13.285156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3173</v>
      </c>
      <c r="C2" s="1"/>
      <c r="D2" s="1"/>
      <c r="E2" s="1" t="s">
        <v>30</v>
      </c>
      <c r="F2" s="1" t="s">
        <v>22</v>
      </c>
      <c r="G2" s="1" t="s">
        <v>3174</v>
      </c>
      <c r="H2" s="1" t="s">
        <v>3175</v>
      </c>
      <c r="I2" s="1" t="s">
        <v>933</v>
      </c>
      <c r="J2" s="1" t="s">
        <v>3176</v>
      </c>
      <c r="K2" s="1" t="s">
        <v>1074</v>
      </c>
      <c r="L2" s="1" t="s">
        <v>3177</v>
      </c>
      <c r="M2" s="1" t="s">
        <v>3178</v>
      </c>
      <c r="N2" s="3" t="s">
        <v>24</v>
      </c>
      <c r="O2" s="2" t="s">
        <v>935</v>
      </c>
      <c r="P2" s="12">
        <v>46014</v>
      </c>
    </row>
    <row r="3" spans="1:22" ht="150">
      <c r="A3" s="68">
        <v>2</v>
      </c>
      <c r="B3" s="68" t="s">
        <v>3179</v>
      </c>
      <c r="C3" s="69" t="s">
        <v>3662</v>
      </c>
      <c r="D3" s="70">
        <v>46020</v>
      </c>
      <c r="E3" s="68" t="s">
        <v>30</v>
      </c>
      <c r="F3" s="68" t="s">
        <v>22</v>
      </c>
      <c r="G3" s="68" t="s">
        <v>3174</v>
      </c>
      <c r="H3" s="68" t="s">
        <v>3180</v>
      </c>
      <c r="I3" s="68" t="s">
        <v>933</v>
      </c>
      <c r="J3" s="68" t="s">
        <v>3181</v>
      </c>
      <c r="K3" s="68" t="s">
        <v>3182</v>
      </c>
      <c r="L3" s="68" t="s">
        <v>3183</v>
      </c>
      <c r="M3" s="68" t="s">
        <v>3184</v>
      </c>
      <c r="N3" s="68" t="s">
        <v>24</v>
      </c>
      <c r="O3" s="71" t="s">
        <v>935</v>
      </c>
      <c r="P3" s="72">
        <v>46014</v>
      </c>
      <c r="Q3" s="140" t="s">
        <v>3159</v>
      </c>
      <c r="R3" s="68" t="s">
        <v>1220</v>
      </c>
      <c r="S3" s="68" t="s">
        <v>5075</v>
      </c>
      <c r="T3" s="72" t="s">
        <v>6160</v>
      </c>
      <c r="U3" s="84"/>
      <c r="V3" s="84"/>
    </row>
    <row r="4" spans="1:22" ht="180">
      <c r="A4" s="1">
        <v>3</v>
      </c>
      <c r="B4" s="1" t="s">
        <v>3185</v>
      </c>
      <c r="C4" s="1"/>
      <c r="D4" s="1"/>
      <c r="E4" s="1" t="s">
        <v>30</v>
      </c>
      <c r="F4" s="1" t="s">
        <v>22</v>
      </c>
      <c r="G4" s="1" t="s">
        <v>3174</v>
      </c>
      <c r="H4" s="1" t="s">
        <v>3186</v>
      </c>
      <c r="I4" s="1" t="s">
        <v>933</v>
      </c>
      <c r="J4" s="1" t="s">
        <v>3187</v>
      </c>
      <c r="K4" s="1" t="s">
        <v>255</v>
      </c>
      <c r="L4" s="1" t="s">
        <v>2833</v>
      </c>
      <c r="M4" s="1" t="s">
        <v>1524</v>
      </c>
      <c r="N4" s="3" t="s">
        <v>274</v>
      </c>
      <c r="O4" s="2" t="s">
        <v>935</v>
      </c>
      <c r="P4" s="12">
        <v>46014</v>
      </c>
    </row>
    <row r="5" spans="1:22" ht="165">
      <c r="A5" s="68">
        <v>4</v>
      </c>
      <c r="B5" s="68" t="s">
        <v>3188</v>
      </c>
      <c r="C5" s="69" t="s">
        <v>3663</v>
      </c>
      <c r="D5" s="70">
        <v>46020</v>
      </c>
      <c r="E5" s="68" t="s">
        <v>30</v>
      </c>
      <c r="F5" s="68" t="s">
        <v>22</v>
      </c>
      <c r="G5" s="68" t="s">
        <v>3174</v>
      </c>
      <c r="H5" s="68" t="s">
        <v>3189</v>
      </c>
      <c r="I5" s="68" t="s">
        <v>933</v>
      </c>
      <c r="J5" s="68" t="s">
        <v>3190</v>
      </c>
      <c r="K5" s="68" t="s">
        <v>1905</v>
      </c>
      <c r="L5" s="68" t="s">
        <v>2998</v>
      </c>
      <c r="M5" s="68" t="s">
        <v>3130</v>
      </c>
      <c r="N5" s="68" t="s">
        <v>24</v>
      </c>
      <c r="O5" s="71" t="s">
        <v>935</v>
      </c>
      <c r="P5" s="72">
        <v>46014</v>
      </c>
      <c r="Q5" s="140" t="s">
        <v>3159</v>
      </c>
      <c r="R5" s="68" t="s">
        <v>1220</v>
      </c>
      <c r="S5" s="68" t="s">
        <v>5075</v>
      </c>
      <c r="T5" s="72" t="s">
        <v>6160</v>
      </c>
      <c r="U5" s="84"/>
      <c r="V5" s="84"/>
    </row>
    <row r="6" spans="1:22" ht="180">
      <c r="A6" s="68">
        <v>5</v>
      </c>
      <c r="B6" s="68" t="s">
        <v>3191</v>
      </c>
      <c r="C6" s="69" t="s">
        <v>3664</v>
      </c>
      <c r="D6" s="70">
        <v>46020</v>
      </c>
      <c r="E6" s="68" t="s">
        <v>30</v>
      </c>
      <c r="F6" s="68" t="s">
        <v>22</v>
      </c>
      <c r="G6" s="68" t="s">
        <v>3174</v>
      </c>
      <c r="H6" s="68" t="s">
        <v>3192</v>
      </c>
      <c r="I6" s="68" t="s">
        <v>933</v>
      </c>
      <c r="J6" s="68" t="s">
        <v>3193</v>
      </c>
      <c r="K6" s="68" t="s">
        <v>1661</v>
      </c>
      <c r="L6" s="68" t="s">
        <v>3003</v>
      </c>
      <c r="M6" s="68" t="s">
        <v>3004</v>
      </c>
      <c r="N6" s="68" t="s">
        <v>24</v>
      </c>
      <c r="O6" s="71" t="s">
        <v>935</v>
      </c>
      <c r="P6" s="72">
        <v>46014</v>
      </c>
      <c r="Q6" s="140" t="s">
        <v>3159</v>
      </c>
      <c r="R6" s="68" t="s">
        <v>1220</v>
      </c>
      <c r="S6" s="68" t="s">
        <v>5075</v>
      </c>
      <c r="T6" s="72" t="s">
        <v>6160</v>
      </c>
      <c r="U6" s="84"/>
      <c r="V6" s="84"/>
    </row>
    <row r="7" spans="1:22" ht="105">
      <c r="A7" s="68">
        <v>6</v>
      </c>
      <c r="B7" s="68" t="s">
        <v>3194</v>
      </c>
      <c r="C7" s="69" t="s">
        <v>3665</v>
      </c>
      <c r="D7" s="70">
        <v>46020</v>
      </c>
      <c r="E7" s="68" t="s">
        <v>30</v>
      </c>
      <c r="F7" s="68" t="s">
        <v>22</v>
      </c>
      <c r="G7" s="68" t="s">
        <v>3174</v>
      </c>
      <c r="H7" s="68" t="s">
        <v>3195</v>
      </c>
      <c r="I7" s="68" t="s">
        <v>933</v>
      </c>
      <c r="J7" s="68" t="s">
        <v>3196</v>
      </c>
      <c r="K7" s="68" t="s">
        <v>3137</v>
      </c>
      <c r="L7" s="68" t="s">
        <v>3138</v>
      </c>
      <c r="M7" s="68" t="s">
        <v>3139</v>
      </c>
      <c r="N7" s="68" t="s">
        <v>24</v>
      </c>
      <c r="O7" s="71" t="s">
        <v>935</v>
      </c>
      <c r="P7" s="72">
        <v>46014</v>
      </c>
      <c r="Q7" s="140" t="s">
        <v>3159</v>
      </c>
      <c r="R7" s="68" t="s">
        <v>1220</v>
      </c>
      <c r="S7" s="68" t="s">
        <v>5075</v>
      </c>
      <c r="T7" s="72" t="s">
        <v>6160</v>
      </c>
      <c r="U7" s="84"/>
      <c r="V7" s="84"/>
    </row>
    <row r="8" spans="1:22" ht="180">
      <c r="A8" s="68">
        <v>7</v>
      </c>
      <c r="B8" s="68" t="s">
        <v>3197</v>
      </c>
      <c r="C8" s="69" t="s">
        <v>3666</v>
      </c>
      <c r="D8" s="70">
        <v>46020</v>
      </c>
      <c r="E8" s="68" t="s">
        <v>30</v>
      </c>
      <c r="F8" s="68" t="s">
        <v>22</v>
      </c>
      <c r="G8" s="68" t="s">
        <v>3174</v>
      </c>
      <c r="H8" s="68" t="s">
        <v>3198</v>
      </c>
      <c r="I8" s="68" t="s">
        <v>933</v>
      </c>
      <c r="J8" s="68" t="s">
        <v>3199</v>
      </c>
      <c r="K8" s="68" t="s">
        <v>2851</v>
      </c>
      <c r="L8" s="68" t="s">
        <v>2863</v>
      </c>
      <c r="M8" s="68" t="s">
        <v>3143</v>
      </c>
      <c r="N8" s="68" t="s">
        <v>24</v>
      </c>
      <c r="O8" s="71" t="s">
        <v>935</v>
      </c>
      <c r="P8" s="72">
        <v>46014</v>
      </c>
      <c r="Q8" s="140" t="s">
        <v>3159</v>
      </c>
      <c r="R8" s="68" t="s">
        <v>1220</v>
      </c>
      <c r="S8" s="68" t="s">
        <v>5075</v>
      </c>
      <c r="T8" s="72" t="s">
        <v>6160</v>
      </c>
      <c r="U8" s="84"/>
      <c r="V8" s="84"/>
    </row>
    <row r="9" spans="1:22" ht="105">
      <c r="A9" s="1">
        <v>8</v>
      </c>
      <c r="B9" s="1" t="s">
        <v>3200</v>
      </c>
      <c r="C9" s="1"/>
      <c r="D9" s="1"/>
      <c r="E9" s="1" t="s">
        <v>30</v>
      </c>
      <c r="F9" s="1" t="s">
        <v>22</v>
      </c>
      <c r="G9" s="1" t="s">
        <v>3174</v>
      </c>
      <c r="H9" s="1" t="s">
        <v>3201</v>
      </c>
      <c r="I9" s="1" t="s">
        <v>933</v>
      </c>
      <c r="J9" s="1" t="s">
        <v>3202</v>
      </c>
      <c r="K9" s="1" t="s">
        <v>1211</v>
      </c>
      <c r="L9" s="1" t="s">
        <v>1213</v>
      </c>
      <c r="M9" s="1" t="s">
        <v>258</v>
      </c>
      <c r="N9" s="3" t="s">
        <v>24</v>
      </c>
      <c r="O9" s="2" t="s">
        <v>935</v>
      </c>
      <c r="P9" s="12">
        <v>46014</v>
      </c>
    </row>
    <row r="10" spans="1:22" ht="135">
      <c r="A10" s="1">
        <v>9</v>
      </c>
      <c r="B10" s="1" t="s">
        <v>3203</v>
      </c>
      <c r="C10" s="1"/>
      <c r="D10" s="1"/>
      <c r="E10" s="1" t="s">
        <v>30</v>
      </c>
      <c r="F10" s="1" t="s">
        <v>22</v>
      </c>
      <c r="G10" s="1" t="s">
        <v>3174</v>
      </c>
      <c r="H10" s="1" t="s">
        <v>3204</v>
      </c>
      <c r="I10" s="1" t="s">
        <v>933</v>
      </c>
      <c r="J10" s="1" t="s">
        <v>3205</v>
      </c>
      <c r="K10" s="1" t="s">
        <v>3206</v>
      </c>
      <c r="L10" s="5" t="s">
        <v>2671</v>
      </c>
      <c r="M10" s="5" t="s">
        <v>2672</v>
      </c>
      <c r="N10" s="3" t="s">
        <v>24</v>
      </c>
      <c r="O10" s="2" t="s">
        <v>935</v>
      </c>
      <c r="P10" s="12">
        <v>46014</v>
      </c>
    </row>
    <row r="11" spans="1:22" ht="120">
      <c r="A11" s="1">
        <v>10</v>
      </c>
      <c r="B11" s="1" t="s">
        <v>3207</v>
      </c>
      <c r="C11" s="1"/>
      <c r="D11" s="1"/>
      <c r="E11" s="1" t="s">
        <v>30</v>
      </c>
      <c r="F11" s="1" t="s">
        <v>22</v>
      </c>
      <c r="G11" s="1" t="s">
        <v>3174</v>
      </c>
      <c r="H11" s="1" t="s">
        <v>3208</v>
      </c>
      <c r="I11" s="1" t="s">
        <v>933</v>
      </c>
      <c r="J11" s="1" t="s">
        <v>3209</v>
      </c>
      <c r="K11" s="1" t="s">
        <v>3050</v>
      </c>
      <c r="L11" s="1" t="s">
        <v>3051</v>
      </c>
      <c r="M11" s="1" t="s">
        <v>3058</v>
      </c>
      <c r="N11" s="3" t="s">
        <v>24</v>
      </c>
      <c r="O11" s="2" t="s">
        <v>935</v>
      </c>
      <c r="P11" s="12">
        <v>46014</v>
      </c>
    </row>
    <row r="12" spans="1:22" ht="135">
      <c r="A12" s="1">
        <v>11</v>
      </c>
      <c r="B12" s="1" t="s">
        <v>3210</v>
      </c>
      <c r="C12" s="1"/>
      <c r="D12" s="1"/>
      <c r="E12" s="1" t="s">
        <v>30</v>
      </c>
      <c r="F12" s="1" t="s">
        <v>22</v>
      </c>
      <c r="G12" s="1" t="s">
        <v>3174</v>
      </c>
      <c r="H12" s="1" t="s">
        <v>3211</v>
      </c>
      <c r="I12" s="1" t="s">
        <v>933</v>
      </c>
      <c r="J12" s="1" t="s">
        <v>3212</v>
      </c>
      <c r="K12" s="1" t="s">
        <v>866</v>
      </c>
      <c r="L12" s="1" t="s">
        <v>2913</v>
      </c>
      <c r="M12" s="1" t="s">
        <v>2914</v>
      </c>
      <c r="N12" s="3" t="s">
        <v>24</v>
      </c>
      <c r="O12" s="2" t="s">
        <v>935</v>
      </c>
      <c r="P12" s="12">
        <v>46014</v>
      </c>
    </row>
    <row r="13" spans="1:22" ht="150">
      <c r="A13" s="1">
        <v>12</v>
      </c>
      <c r="B13" s="1" t="s">
        <v>3213</v>
      </c>
      <c r="C13" s="1"/>
      <c r="D13" s="1"/>
      <c r="E13" s="1" t="s">
        <v>30</v>
      </c>
      <c r="F13" s="1" t="s">
        <v>22</v>
      </c>
      <c r="G13" s="1" t="s">
        <v>3174</v>
      </c>
      <c r="H13" s="1" t="s">
        <v>3214</v>
      </c>
      <c r="I13" s="1" t="s">
        <v>933</v>
      </c>
      <c r="J13" s="1" t="s">
        <v>3215</v>
      </c>
      <c r="K13" s="1" t="s">
        <v>3065</v>
      </c>
      <c r="L13" s="1" t="s">
        <v>3066</v>
      </c>
      <c r="M13" s="1" t="s">
        <v>2914</v>
      </c>
      <c r="N13" s="3" t="s">
        <v>24</v>
      </c>
      <c r="O13" s="2" t="s">
        <v>935</v>
      </c>
      <c r="P13" s="12">
        <v>46014</v>
      </c>
    </row>
    <row r="14" spans="1:22" ht="150">
      <c r="A14" s="1">
        <v>13</v>
      </c>
      <c r="B14" s="1" t="s">
        <v>3216</v>
      </c>
      <c r="C14" s="1"/>
      <c r="D14" s="1"/>
      <c r="E14" s="1" t="s">
        <v>30</v>
      </c>
      <c r="F14" s="1" t="s">
        <v>22</v>
      </c>
      <c r="G14" s="1" t="s">
        <v>3174</v>
      </c>
      <c r="H14" s="1" t="s">
        <v>3217</v>
      </c>
      <c r="I14" s="1" t="s">
        <v>933</v>
      </c>
      <c r="J14" s="1" t="s">
        <v>3218</v>
      </c>
      <c r="K14" s="1" t="s">
        <v>3219</v>
      </c>
      <c r="L14" s="1" t="s">
        <v>3220</v>
      </c>
      <c r="M14" s="5" t="s">
        <v>3073</v>
      </c>
      <c r="N14" s="3" t="s">
        <v>24</v>
      </c>
      <c r="O14" s="2" t="s">
        <v>935</v>
      </c>
      <c r="P14" s="12">
        <v>46014</v>
      </c>
    </row>
    <row r="15" spans="1:22" ht="150">
      <c r="A15" s="1">
        <v>14</v>
      </c>
      <c r="B15" s="1" t="s">
        <v>3221</v>
      </c>
      <c r="C15" s="1"/>
      <c r="D15" s="1"/>
      <c r="E15" s="1" t="s">
        <v>30</v>
      </c>
      <c r="F15" s="1" t="s">
        <v>22</v>
      </c>
      <c r="G15" s="1" t="s">
        <v>3174</v>
      </c>
      <c r="H15" s="1" t="s">
        <v>3222</v>
      </c>
      <c r="I15" s="1" t="s">
        <v>933</v>
      </c>
      <c r="J15" s="1" t="s">
        <v>3223</v>
      </c>
      <c r="K15" s="1" t="s">
        <v>1024</v>
      </c>
      <c r="L15" s="1" t="s">
        <v>3224</v>
      </c>
      <c r="M15" s="1" t="s">
        <v>1773</v>
      </c>
      <c r="N15" s="3" t="s">
        <v>24</v>
      </c>
      <c r="O15" s="2" t="s">
        <v>935</v>
      </c>
      <c r="P15" s="12">
        <v>46014</v>
      </c>
    </row>
    <row r="16" spans="1:22" ht="150">
      <c r="A16" s="1">
        <v>15</v>
      </c>
      <c r="B16" s="1" t="s">
        <v>3225</v>
      </c>
      <c r="C16" s="1"/>
      <c r="D16" s="1"/>
      <c r="E16" s="1" t="s">
        <v>30</v>
      </c>
      <c r="F16" s="1" t="s">
        <v>22</v>
      </c>
      <c r="G16" s="1" t="s">
        <v>3174</v>
      </c>
      <c r="H16" s="5" t="s">
        <v>3226</v>
      </c>
      <c r="I16" s="1" t="s">
        <v>933</v>
      </c>
      <c r="J16" s="1" t="s">
        <v>3227</v>
      </c>
      <c r="K16" s="5" t="s">
        <v>890</v>
      </c>
      <c r="L16" s="1" t="s">
        <v>3080</v>
      </c>
      <c r="M16" s="1" t="s">
        <v>3158</v>
      </c>
      <c r="N16" s="3" t="s">
        <v>274</v>
      </c>
      <c r="O16" s="2" t="s">
        <v>935</v>
      </c>
      <c r="P16" s="12">
        <v>46014</v>
      </c>
    </row>
    <row r="17" spans="1:22" ht="90">
      <c r="A17" s="1">
        <v>16</v>
      </c>
      <c r="B17" s="1" t="s">
        <v>3228</v>
      </c>
      <c r="C17" s="1"/>
      <c r="D17" s="1"/>
      <c r="E17" s="1" t="s">
        <v>30</v>
      </c>
      <c r="F17" s="1" t="s">
        <v>22</v>
      </c>
      <c r="G17" s="1" t="s">
        <v>3174</v>
      </c>
      <c r="H17" s="1" t="s">
        <v>3229</v>
      </c>
      <c r="I17" s="1" t="s">
        <v>933</v>
      </c>
      <c r="J17" s="1" t="s">
        <v>3230</v>
      </c>
      <c r="K17" s="1" t="s">
        <v>255</v>
      </c>
      <c r="L17" s="1" t="s">
        <v>3231</v>
      </c>
      <c r="M17" s="1" t="s">
        <v>6061</v>
      </c>
      <c r="N17" s="3" t="s">
        <v>274</v>
      </c>
      <c r="O17" s="2" t="s">
        <v>935</v>
      </c>
      <c r="P17" s="12">
        <v>46014</v>
      </c>
    </row>
    <row r="18" spans="1:22" ht="90">
      <c r="A18" s="1">
        <v>17</v>
      </c>
      <c r="B18" s="1" t="s">
        <v>3232</v>
      </c>
      <c r="C18" s="1"/>
      <c r="D18" s="1"/>
      <c r="E18" s="1" t="s">
        <v>30</v>
      </c>
      <c r="F18" s="1" t="s">
        <v>22</v>
      </c>
      <c r="G18" s="1" t="s">
        <v>3174</v>
      </c>
      <c r="H18" s="1" t="s">
        <v>3233</v>
      </c>
      <c r="I18" s="1" t="s">
        <v>933</v>
      </c>
      <c r="J18" s="1" t="s">
        <v>3234</v>
      </c>
      <c r="K18" s="1" t="s">
        <v>255</v>
      </c>
      <c r="L18" s="1" t="s">
        <v>3088</v>
      </c>
      <c r="M18" s="1" t="s">
        <v>1857</v>
      </c>
      <c r="N18" s="3" t="s">
        <v>24</v>
      </c>
      <c r="O18" s="2" t="s">
        <v>935</v>
      </c>
      <c r="P18" s="12">
        <v>46014</v>
      </c>
    </row>
    <row r="19" spans="1:22" ht="90">
      <c r="A19" s="68">
        <v>18</v>
      </c>
      <c r="B19" s="68" t="s">
        <v>3235</v>
      </c>
      <c r="C19" s="69" t="s">
        <v>3667</v>
      </c>
      <c r="D19" s="70">
        <v>46020</v>
      </c>
      <c r="E19" s="68" t="s">
        <v>30</v>
      </c>
      <c r="F19" s="68" t="s">
        <v>22</v>
      </c>
      <c r="G19" s="68" t="s">
        <v>3174</v>
      </c>
      <c r="H19" s="68" t="s">
        <v>3236</v>
      </c>
      <c r="I19" s="68" t="s">
        <v>933</v>
      </c>
      <c r="J19" s="68" t="s">
        <v>3237</v>
      </c>
      <c r="K19" s="68" t="s">
        <v>255</v>
      </c>
      <c r="L19" s="68" t="s">
        <v>2765</v>
      </c>
      <c r="M19" s="68" t="s">
        <v>3238</v>
      </c>
      <c r="N19" s="68" t="s">
        <v>24</v>
      </c>
      <c r="O19" s="71" t="s">
        <v>935</v>
      </c>
      <c r="P19" s="72">
        <v>46014</v>
      </c>
      <c r="Q19" s="140" t="s">
        <v>3159</v>
      </c>
      <c r="R19" s="68" t="s">
        <v>1220</v>
      </c>
      <c r="S19" s="68" t="s">
        <v>5075</v>
      </c>
      <c r="T19" s="72" t="s">
        <v>6160</v>
      </c>
      <c r="U19" s="84"/>
      <c r="V19" s="84"/>
    </row>
    <row r="20" spans="1:22" ht="105">
      <c r="A20" s="1">
        <v>19</v>
      </c>
      <c r="B20" s="1" t="s">
        <v>3239</v>
      </c>
      <c r="C20" s="1"/>
      <c r="D20" s="1"/>
      <c r="E20" s="1" t="s">
        <v>30</v>
      </c>
      <c r="F20" s="1" t="s">
        <v>22</v>
      </c>
      <c r="G20" s="1" t="s">
        <v>3174</v>
      </c>
      <c r="H20" s="1" t="s">
        <v>3240</v>
      </c>
      <c r="I20" s="1" t="s">
        <v>933</v>
      </c>
      <c r="J20" s="1" t="s">
        <v>3241</v>
      </c>
      <c r="K20" s="1" t="s">
        <v>255</v>
      </c>
      <c r="L20" s="1" t="s">
        <v>918</v>
      </c>
      <c r="M20" s="1" t="s">
        <v>6075</v>
      </c>
      <c r="N20" s="3" t="s">
        <v>274</v>
      </c>
      <c r="O20" s="2" t="s">
        <v>935</v>
      </c>
      <c r="P20" s="12">
        <v>46014</v>
      </c>
    </row>
  </sheetData>
  <autoFilter ref="A1:V20"/>
  <hyperlinks>
    <hyperlink ref="C3" r:id="rId1" display="https://hanssupport.atlassian.net/browse/BA-381"/>
    <hyperlink ref="C5" r:id="rId2" display="https://hanssupport.atlassian.net/browse/BA-382"/>
    <hyperlink ref="C6" r:id="rId3" display="https://hanssupport.atlassian.net/browse/BA-383"/>
    <hyperlink ref="C7" r:id="rId4" display="https://hanssupport.atlassian.net/browse/BA-384"/>
    <hyperlink ref="C8" r:id="rId5" display="https://hanssupport.atlassian.net/browse/BA-385"/>
    <hyperlink ref="C19" r:id="rId6" display="https://hanssupport.atlassian.net/browse/BA-386"/>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24"/>
  <sheetViews>
    <sheetView topLeftCell="M1" workbookViewId="0">
      <pane ySplit="1" topLeftCell="A14" activePane="bottomLeft" state="frozen"/>
      <selection pane="bottomLeft" activeCell="N16" sqref="N16"/>
    </sheetView>
  </sheetViews>
  <sheetFormatPr defaultRowHeight="15"/>
  <cols>
    <col min="1" max="1" width="9.140625" style="45"/>
    <col min="2" max="2" width="19.7109375" style="45" customWidth="1"/>
    <col min="3" max="3" width="11.140625" style="45" customWidth="1"/>
    <col min="4" max="4" width="23.28515625" style="45" customWidth="1"/>
    <col min="5" max="5" width="14.7109375" style="45" customWidth="1"/>
    <col min="6" max="6" width="12.140625" style="45" customWidth="1"/>
    <col min="7" max="7" width="21.28515625" style="45" customWidth="1"/>
    <col min="8" max="8" width="59.42578125" style="45" customWidth="1"/>
    <col min="9" max="9" width="48.42578125" style="45" customWidth="1"/>
    <col min="10" max="10" width="54.42578125" style="45" customWidth="1"/>
    <col min="11" max="11" width="36.42578125" style="45" customWidth="1"/>
    <col min="12" max="12" width="67.85546875" style="45" customWidth="1"/>
    <col min="13" max="13" width="67.28515625" style="45" customWidth="1"/>
    <col min="14" max="14" width="16.140625" style="45" customWidth="1"/>
    <col min="15" max="15" width="32.85546875" style="45" customWidth="1"/>
    <col min="16" max="16" width="19.42578125" style="45" customWidth="1"/>
    <col min="17" max="17" width="13.42578125" style="45" customWidth="1"/>
    <col min="18" max="18" width="16.42578125" style="45" customWidth="1"/>
    <col min="19" max="19" width="17.85546875" style="45" customWidth="1"/>
    <col min="20" max="20" width="21.7109375" style="45" customWidth="1"/>
    <col min="21" max="21" width="26" style="45" customWidth="1"/>
    <col min="22" max="22" width="12.8554687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75">
      <c r="A2" s="1">
        <v>1</v>
      </c>
      <c r="B2" s="1" t="s">
        <v>3243</v>
      </c>
      <c r="C2" s="1"/>
      <c r="D2" s="1"/>
      <c r="E2" s="1" t="s">
        <v>30</v>
      </c>
      <c r="F2" s="1" t="s">
        <v>22</v>
      </c>
      <c r="G2" s="1" t="s">
        <v>3242</v>
      </c>
      <c r="H2" s="1" t="s">
        <v>3244</v>
      </c>
      <c r="I2" s="1" t="s">
        <v>933</v>
      </c>
      <c r="J2" s="1" t="s">
        <v>3245</v>
      </c>
      <c r="K2" s="1" t="s">
        <v>1074</v>
      </c>
      <c r="L2" s="1" t="s">
        <v>3246</v>
      </c>
      <c r="M2" s="1" t="s">
        <v>3247</v>
      </c>
      <c r="N2" s="3" t="s">
        <v>24</v>
      </c>
      <c r="O2" s="2" t="s">
        <v>935</v>
      </c>
      <c r="P2" s="12">
        <v>46014</v>
      </c>
    </row>
    <row r="3" spans="1:22" ht="150">
      <c r="A3" s="68">
        <v>2</v>
      </c>
      <c r="B3" s="68" t="s">
        <v>3248</v>
      </c>
      <c r="C3" s="69" t="s">
        <v>3668</v>
      </c>
      <c r="D3" s="70">
        <v>46020</v>
      </c>
      <c r="E3" s="68" t="s">
        <v>30</v>
      </c>
      <c r="F3" s="68" t="s">
        <v>22</v>
      </c>
      <c r="G3" s="68" t="s">
        <v>3242</v>
      </c>
      <c r="H3" s="68" t="s">
        <v>3249</v>
      </c>
      <c r="I3" s="68" t="s">
        <v>933</v>
      </c>
      <c r="J3" s="68" t="s">
        <v>3250</v>
      </c>
      <c r="K3" s="68" t="s">
        <v>3251</v>
      </c>
      <c r="L3" s="68" t="s">
        <v>3252</v>
      </c>
      <c r="M3" s="68" t="s">
        <v>3253</v>
      </c>
      <c r="N3" s="68" t="s">
        <v>24</v>
      </c>
      <c r="O3" s="71" t="s">
        <v>935</v>
      </c>
      <c r="P3" s="72">
        <v>46014</v>
      </c>
      <c r="Q3" s="140" t="s">
        <v>3159</v>
      </c>
      <c r="R3" s="68" t="s">
        <v>1220</v>
      </c>
      <c r="S3" s="68" t="s">
        <v>5075</v>
      </c>
      <c r="T3" s="72" t="s">
        <v>6160</v>
      </c>
      <c r="U3" s="84"/>
      <c r="V3" s="84"/>
    </row>
    <row r="4" spans="1:22" ht="165">
      <c r="A4" s="1">
        <v>3</v>
      </c>
      <c r="B4" s="1" t="s">
        <v>3254</v>
      </c>
      <c r="C4" s="1"/>
      <c r="D4" s="1"/>
      <c r="E4" s="1" t="s">
        <v>30</v>
      </c>
      <c r="F4" s="1" t="s">
        <v>22</v>
      </c>
      <c r="G4" s="1" t="s">
        <v>3242</v>
      </c>
      <c r="H4" s="1" t="s">
        <v>3255</v>
      </c>
      <c r="I4" s="1" t="s">
        <v>933</v>
      </c>
      <c r="J4" s="1" t="s">
        <v>3256</v>
      </c>
      <c r="K4" s="1" t="s">
        <v>255</v>
      </c>
      <c r="L4" s="1" t="s">
        <v>2833</v>
      </c>
      <c r="M4" s="1" t="s">
        <v>1524</v>
      </c>
      <c r="N4" s="3" t="s">
        <v>274</v>
      </c>
      <c r="O4" s="2" t="s">
        <v>935</v>
      </c>
      <c r="P4" s="12">
        <v>46014</v>
      </c>
    </row>
    <row r="5" spans="1:22" ht="180">
      <c r="A5" s="1">
        <v>4</v>
      </c>
      <c r="B5" s="1" t="s">
        <v>3257</v>
      </c>
      <c r="C5" s="1"/>
      <c r="D5" s="1"/>
      <c r="E5" s="1" t="s">
        <v>30</v>
      </c>
      <c r="F5" s="1" t="s">
        <v>22</v>
      </c>
      <c r="G5" s="1" t="s">
        <v>3242</v>
      </c>
      <c r="H5" s="1" t="s">
        <v>3260</v>
      </c>
      <c r="I5" s="1" t="s">
        <v>933</v>
      </c>
      <c r="J5" s="1" t="s">
        <v>3258</v>
      </c>
      <c r="K5" s="1" t="s">
        <v>1905</v>
      </c>
      <c r="L5" s="1" t="s">
        <v>3259</v>
      </c>
      <c r="M5" s="14" t="s">
        <v>3261</v>
      </c>
      <c r="N5" s="3" t="s">
        <v>24</v>
      </c>
      <c r="O5" s="2" t="s">
        <v>935</v>
      </c>
      <c r="P5" s="12">
        <v>46014</v>
      </c>
    </row>
    <row r="6" spans="1:22" ht="120">
      <c r="A6" s="68">
        <v>5</v>
      </c>
      <c r="B6" s="68" t="s">
        <v>3262</v>
      </c>
      <c r="C6" s="69" t="s">
        <v>3669</v>
      </c>
      <c r="D6" s="70">
        <v>46020</v>
      </c>
      <c r="E6" s="68" t="s">
        <v>30</v>
      </c>
      <c r="F6" s="68" t="s">
        <v>22</v>
      </c>
      <c r="G6" s="68" t="s">
        <v>3242</v>
      </c>
      <c r="H6" s="68" t="s">
        <v>3263</v>
      </c>
      <c r="I6" s="68" t="s">
        <v>933</v>
      </c>
      <c r="J6" s="68" t="s">
        <v>3264</v>
      </c>
      <c r="K6" s="68" t="s">
        <v>3265</v>
      </c>
      <c r="L6" s="95" t="s">
        <v>3266</v>
      </c>
      <c r="M6" s="150" t="s">
        <v>3267</v>
      </c>
      <c r="N6" s="68" t="s">
        <v>24</v>
      </c>
      <c r="O6" s="71" t="s">
        <v>935</v>
      </c>
      <c r="P6" s="72">
        <v>46014</v>
      </c>
      <c r="Q6" s="140" t="s">
        <v>3159</v>
      </c>
      <c r="R6" s="68" t="s">
        <v>1220</v>
      </c>
      <c r="S6" s="68" t="s">
        <v>5075</v>
      </c>
      <c r="T6" s="72" t="s">
        <v>6160</v>
      </c>
      <c r="U6" s="84"/>
      <c r="V6" s="84"/>
    </row>
    <row r="7" spans="1:22" ht="165">
      <c r="A7" s="68">
        <v>6</v>
      </c>
      <c r="B7" s="68" t="s">
        <v>3268</v>
      </c>
      <c r="C7" s="69" t="s">
        <v>3670</v>
      </c>
      <c r="D7" s="70">
        <v>46020</v>
      </c>
      <c r="E7" s="68" t="s">
        <v>30</v>
      </c>
      <c r="F7" s="68" t="s">
        <v>22</v>
      </c>
      <c r="G7" s="68" t="s">
        <v>3242</v>
      </c>
      <c r="H7" s="68" t="s">
        <v>3269</v>
      </c>
      <c r="I7" s="68" t="s">
        <v>933</v>
      </c>
      <c r="J7" s="68" t="s">
        <v>3270</v>
      </c>
      <c r="K7" s="68" t="s">
        <v>3271</v>
      </c>
      <c r="L7" s="95" t="s">
        <v>3272</v>
      </c>
      <c r="M7" s="150" t="s">
        <v>3273</v>
      </c>
      <c r="N7" s="68" t="s">
        <v>24</v>
      </c>
      <c r="O7" s="71" t="s">
        <v>935</v>
      </c>
      <c r="P7" s="72">
        <v>46014</v>
      </c>
      <c r="Q7" s="140" t="s">
        <v>3159</v>
      </c>
      <c r="R7" s="68" t="s">
        <v>4538</v>
      </c>
      <c r="S7" s="68" t="s">
        <v>5075</v>
      </c>
      <c r="T7" s="72" t="s">
        <v>6160</v>
      </c>
      <c r="U7" s="84"/>
      <c r="V7" s="84"/>
    </row>
    <row r="8" spans="1:22" ht="150">
      <c r="A8" s="68">
        <v>7</v>
      </c>
      <c r="B8" s="68" t="s">
        <v>3274</v>
      </c>
      <c r="C8" s="69" t="s">
        <v>3671</v>
      </c>
      <c r="D8" s="70">
        <v>46020</v>
      </c>
      <c r="E8" s="68" t="s">
        <v>30</v>
      </c>
      <c r="F8" s="68" t="s">
        <v>22</v>
      </c>
      <c r="G8" s="68" t="s">
        <v>3242</v>
      </c>
      <c r="H8" s="68" t="s">
        <v>3275</v>
      </c>
      <c r="I8" s="68" t="s">
        <v>933</v>
      </c>
      <c r="J8" s="68" t="s">
        <v>3276</v>
      </c>
      <c r="K8" s="68" t="s">
        <v>2851</v>
      </c>
      <c r="L8" s="68" t="s">
        <v>2863</v>
      </c>
      <c r="M8" s="68" t="s">
        <v>3143</v>
      </c>
      <c r="N8" s="68" t="s">
        <v>24</v>
      </c>
      <c r="O8" s="71" t="s">
        <v>935</v>
      </c>
      <c r="P8" s="72">
        <v>46014</v>
      </c>
      <c r="Q8" s="140" t="s">
        <v>3159</v>
      </c>
      <c r="R8" s="68" t="s">
        <v>1220</v>
      </c>
      <c r="S8" s="68" t="s">
        <v>5075</v>
      </c>
      <c r="T8" s="72" t="s">
        <v>6160</v>
      </c>
      <c r="U8" s="84"/>
      <c r="V8" s="84"/>
    </row>
    <row r="9" spans="1:22" ht="105">
      <c r="A9" s="1">
        <v>8</v>
      </c>
      <c r="B9" s="1" t="s">
        <v>3277</v>
      </c>
      <c r="C9" s="1"/>
      <c r="D9" s="1"/>
      <c r="E9" s="1" t="s">
        <v>30</v>
      </c>
      <c r="F9" s="1" t="s">
        <v>22</v>
      </c>
      <c r="G9" s="1" t="s">
        <v>3242</v>
      </c>
      <c r="H9" s="1" t="s">
        <v>3278</v>
      </c>
      <c r="I9" s="1" t="s">
        <v>933</v>
      </c>
      <c r="J9" s="1" t="s">
        <v>3279</v>
      </c>
      <c r="K9" s="1" t="s">
        <v>3280</v>
      </c>
      <c r="L9" s="1" t="s">
        <v>3281</v>
      </c>
      <c r="M9" s="1" t="s">
        <v>3288</v>
      </c>
      <c r="N9" s="3" t="s">
        <v>24</v>
      </c>
      <c r="O9" s="2" t="s">
        <v>935</v>
      </c>
      <c r="P9" s="12">
        <v>46014</v>
      </c>
    </row>
    <row r="10" spans="1:22" ht="105">
      <c r="A10" s="1">
        <v>9</v>
      </c>
      <c r="B10" s="1" t="s">
        <v>3282</v>
      </c>
      <c r="C10" s="1"/>
      <c r="D10" s="1"/>
      <c r="E10" s="1" t="s">
        <v>30</v>
      </c>
      <c r="F10" s="1" t="s">
        <v>22</v>
      </c>
      <c r="G10" s="1" t="s">
        <v>3242</v>
      </c>
      <c r="H10" s="1" t="s">
        <v>3283</v>
      </c>
      <c r="I10" s="1" t="s">
        <v>933</v>
      </c>
      <c r="J10" s="1" t="s">
        <v>3284</v>
      </c>
      <c r="K10" s="1" t="s">
        <v>3285</v>
      </c>
      <c r="L10" s="1" t="s">
        <v>3286</v>
      </c>
      <c r="M10" s="1" t="s">
        <v>3287</v>
      </c>
      <c r="N10" s="3" t="s">
        <v>24</v>
      </c>
      <c r="O10" s="2" t="s">
        <v>935</v>
      </c>
      <c r="P10" s="12">
        <v>46014</v>
      </c>
    </row>
    <row r="11" spans="1:22" ht="105">
      <c r="A11" s="1">
        <v>10</v>
      </c>
      <c r="B11" s="1" t="s">
        <v>3289</v>
      </c>
      <c r="C11" s="1"/>
      <c r="D11" s="1"/>
      <c r="E11" s="1" t="s">
        <v>30</v>
      </c>
      <c r="F11" s="1" t="s">
        <v>22</v>
      </c>
      <c r="G11" s="1" t="s">
        <v>3242</v>
      </c>
      <c r="H11" s="1" t="s">
        <v>3290</v>
      </c>
      <c r="I11" s="1" t="s">
        <v>933</v>
      </c>
      <c r="J11" s="1" t="s">
        <v>3291</v>
      </c>
      <c r="K11" s="1" t="s">
        <v>3292</v>
      </c>
      <c r="L11" s="1" t="s">
        <v>3293</v>
      </c>
      <c r="M11" s="1" t="s">
        <v>3294</v>
      </c>
      <c r="N11" s="3" t="s">
        <v>274</v>
      </c>
      <c r="O11" s="2" t="s">
        <v>935</v>
      </c>
      <c r="P11" s="12">
        <v>46014</v>
      </c>
    </row>
    <row r="12" spans="1:22" ht="105">
      <c r="A12" s="1">
        <v>11</v>
      </c>
      <c r="B12" s="1" t="s">
        <v>3295</v>
      </c>
      <c r="C12" s="1"/>
      <c r="D12" s="1"/>
      <c r="E12" s="1" t="s">
        <v>30</v>
      </c>
      <c r="F12" s="1" t="s">
        <v>22</v>
      </c>
      <c r="G12" s="1" t="s">
        <v>3242</v>
      </c>
      <c r="H12" s="1" t="s">
        <v>3296</v>
      </c>
      <c r="I12" s="1" t="s">
        <v>933</v>
      </c>
      <c r="J12" s="1" t="s">
        <v>3297</v>
      </c>
      <c r="K12" s="1" t="s">
        <v>3298</v>
      </c>
      <c r="L12" s="1" t="s">
        <v>3299</v>
      </c>
      <c r="M12" s="1" t="s">
        <v>3300</v>
      </c>
      <c r="N12" s="3" t="s">
        <v>274</v>
      </c>
      <c r="O12" s="2" t="s">
        <v>935</v>
      </c>
      <c r="P12" s="12">
        <v>46014</v>
      </c>
    </row>
    <row r="13" spans="1:22" ht="105">
      <c r="A13" s="1">
        <v>12</v>
      </c>
      <c r="B13" s="1" t="s">
        <v>3301</v>
      </c>
      <c r="C13" s="1"/>
      <c r="D13" s="1"/>
      <c r="E13" s="1" t="s">
        <v>30</v>
      </c>
      <c r="F13" s="1" t="s">
        <v>22</v>
      </c>
      <c r="G13" s="1" t="s">
        <v>3242</v>
      </c>
      <c r="H13" s="1" t="s">
        <v>3302</v>
      </c>
      <c r="I13" s="1" t="s">
        <v>933</v>
      </c>
      <c r="J13" s="1" t="s">
        <v>3303</v>
      </c>
      <c r="K13" s="1" t="s">
        <v>866</v>
      </c>
      <c r="L13" s="1" t="s">
        <v>2913</v>
      </c>
      <c r="M13" s="1" t="s">
        <v>2914</v>
      </c>
      <c r="N13" s="3" t="s">
        <v>24</v>
      </c>
      <c r="O13" s="2" t="s">
        <v>935</v>
      </c>
      <c r="P13" s="12">
        <v>46014</v>
      </c>
    </row>
    <row r="14" spans="1:22" ht="150">
      <c r="A14" s="1">
        <v>13</v>
      </c>
      <c r="B14" s="1" t="s">
        <v>3304</v>
      </c>
      <c r="C14" s="1"/>
      <c r="D14" s="1"/>
      <c r="E14" s="1" t="s">
        <v>30</v>
      </c>
      <c r="F14" s="1" t="s">
        <v>22</v>
      </c>
      <c r="G14" s="1" t="s">
        <v>3242</v>
      </c>
      <c r="H14" s="1" t="s">
        <v>3305</v>
      </c>
      <c r="I14" s="1" t="s">
        <v>933</v>
      </c>
      <c r="J14" s="1" t="s">
        <v>3306</v>
      </c>
      <c r="K14" s="1" t="s">
        <v>3307</v>
      </c>
      <c r="L14" s="1" t="s">
        <v>3066</v>
      </c>
      <c r="M14" s="1" t="s">
        <v>2914</v>
      </c>
      <c r="N14" s="3" t="s">
        <v>24</v>
      </c>
      <c r="O14" s="2" t="s">
        <v>935</v>
      </c>
      <c r="P14" s="12">
        <v>46015</v>
      </c>
    </row>
    <row r="15" spans="1:22" ht="225">
      <c r="A15" s="68">
        <v>14</v>
      </c>
      <c r="B15" s="68" t="s">
        <v>3308</v>
      </c>
      <c r="C15" s="69" t="s">
        <v>3672</v>
      </c>
      <c r="D15" s="70">
        <v>46020</v>
      </c>
      <c r="E15" s="68" t="s">
        <v>30</v>
      </c>
      <c r="F15" s="68" t="s">
        <v>22</v>
      </c>
      <c r="G15" s="68" t="s">
        <v>3242</v>
      </c>
      <c r="H15" s="68" t="s">
        <v>3309</v>
      </c>
      <c r="I15" s="68" t="s">
        <v>933</v>
      </c>
      <c r="J15" s="68" t="s">
        <v>3310</v>
      </c>
      <c r="K15" s="68" t="s">
        <v>3311</v>
      </c>
      <c r="L15" s="68" t="s">
        <v>3220</v>
      </c>
      <c r="M15" s="142" t="s">
        <v>6161</v>
      </c>
      <c r="N15" s="68" t="s">
        <v>24</v>
      </c>
      <c r="O15" s="71" t="s">
        <v>935</v>
      </c>
      <c r="P15" s="72">
        <v>46015</v>
      </c>
      <c r="Q15" s="140" t="s">
        <v>3159</v>
      </c>
      <c r="R15" s="68" t="s">
        <v>1220</v>
      </c>
      <c r="S15" s="68" t="s">
        <v>5075</v>
      </c>
      <c r="T15" s="72" t="s">
        <v>6160</v>
      </c>
      <c r="U15" s="84"/>
      <c r="V15" s="84"/>
    </row>
    <row r="16" spans="1:22" ht="120">
      <c r="A16" s="1">
        <v>15</v>
      </c>
      <c r="B16" s="1" t="s">
        <v>3312</v>
      </c>
      <c r="C16" s="1"/>
      <c r="D16" s="1"/>
      <c r="E16" s="1" t="s">
        <v>30</v>
      </c>
      <c r="F16" s="1" t="s">
        <v>22</v>
      </c>
      <c r="G16" s="1" t="s">
        <v>3242</v>
      </c>
      <c r="H16" s="1" t="s">
        <v>3313</v>
      </c>
      <c r="I16" s="1" t="s">
        <v>933</v>
      </c>
      <c r="J16" s="1" t="s">
        <v>3314</v>
      </c>
      <c r="K16" s="1" t="s">
        <v>2933</v>
      </c>
      <c r="L16" s="1" t="s">
        <v>2934</v>
      </c>
      <c r="M16" s="1" t="s">
        <v>2935</v>
      </c>
      <c r="N16" s="3" t="s">
        <v>24</v>
      </c>
      <c r="O16" s="2" t="s">
        <v>935</v>
      </c>
      <c r="P16" s="12">
        <v>46015</v>
      </c>
    </row>
    <row r="17" spans="1:22" ht="135">
      <c r="A17" s="1">
        <v>16</v>
      </c>
      <c r="B17" s="1" t="s">
        <v>3315</v>
      </c>
      <c r="C17" s="1"/>
      <c r="D17" s="1"/>
      <c r="E17" s="1" t="s">
        <v>30</v>
      </c>
      <c r="F17" s="1" t="s">
        <v>22</v>
      </c>
      <c r="G17" s="1" t="s">
        <v>3242</v>
      </c>
      <c r="H17" s="1" t="s">
        <v>3316</v>
      </c>
      <c r="I17" s="1" t="s">
        <v>933</v>
      </c>
      <c r="J17" s="1" t="s">
        <v>3317</v>
      </c>
      <c r="K17" s="1" t="s">
        <v>2933</v>
      </c>
      <c r="L17" s="1" t="s">
        <v>2939</v>
      </c>
      <c r="M17" s="1" t="s">
        <v>3318</v>
      </c>
      <c r="N17" s="3" t="s">
        <v>24</v>
      </c>
      <c r="O17" s="2" t="s">
        <v>935</v>
      </c>
      <c r="P17" s="12">
        <v>46015</v>
      </c>
    </row>
    <row r="18" spans="1:22" ht="135">
      <c r="A18" s="1">
        <v>17</v>
      </c>
      <c r="B18" s="1" t="s">
        <v>3319</v>
      </c>
      <c r="C18" s="1"/>
      <c r="D18" s="1"/>
      <c r="E18" s="1" t="s">
        <v>30</v>
      </c>
      <c r="F18" s="1" t="s">
        <v>22</v>
      </c>
      <c r="G18" s="1" t="s">
        <v>3242</v>
      </c>
      <c r="H18" s="1" t="s">
        <v>3320</v>
      </c>
      <c r="I18" s="1" t="s">
        <v>933</v>
      </c>
      <c r="J18" s="1" t="s">
        <v>3321</v>
      </c>
      <c r="K18" s="1" t="s">
        <v>255</v>
      </c>
      <c r="L18" s="1" t="s">
        <v>2943</v>
      </c>
      <c r="M18" s="1" t="s">
        <v>2949</v>
      </c>
      <c r="N18" s="3" t="s">
        <v>24</v>
      </c>
      <c r="O18" s="2" t="s">
        <v>935</v>
      </c>
      <c r="P18" s="12">
        <v>46015</v>
      </c>
    </row>
    <row r="19" spans="1:22" ht="150">
      <c r="A19" s="1">
        <v>18</v>
      </c>
      <c r="B19" s="1" t="s">
        <v>3322</v>
      </c>
      <c r="C19" s="1"/>
      <c r="D19" s="1"/>
      <c r="E19" s="1" t="s">
        <v>30</v>
      </c>
      <c r="F19" s="1" t="s">
        <v>22</v>
      </c>
      <c r="G19" s="1" t="s">
        <v>3242</v>
      </c>
      <c r="H19" s="1" t="s">
        <v>3323</v>
      </c>
      <c r="I19" s="1" t="s">
        <v>933</v>
      </c>
      <c r="J19" s="1" t="s">
        <v>3324</v>
      </c>
      <c r="K19" s="1" t="s">
        <v>255</v>
      </c>
      <c r="L19" s="1" t="s">
        <v>2948</v>
      </c>
      <c r="M19" s="1" t="s">
        <v>2950</v>
      </c>
      <c r="N19" s="3" t="s">
        <v>24</v>
      </c>
      <c r="O19" s="2" t="s">
        <v>935</v>
      </c>
      <c r="P19" s="12">
        <v>46015</v>
      </c>
    </row>
    <row r="20" spans="1:22" ht="120">
      <c r="A20" s="1">
        <v>19</v>
      </c>
      <c r="B20" s="1" t="s">
        <v>3325</v>
      </c>
      <c r="C20" s="1"/>
      <c r="D20" s="1"/>
      <c r="E20" s="1" t="s">
        <v>30</v>
      </c>
      <c r="F20" s="1" t="s">
        <v>22</v>
      </c>
      <c r="G20" s="1" t="s">
        <v>3242</v>
      </c>
      <c r="H20" s="1" t="s">
        <v>3326</v>
      </c>
      <c r="I20" s="1" t="s">
        <v>933</v>
      </c>
      <c r="J20" s="1" t="s">
        <v>3327</v>
      </c>
      <c r="K20" s="1" t="s">
        <v>2953</v>
      </c>
      <c r="L20" s="1" t="s">
        <v>3328</v>
      </c>
      <c r="M20" s="1" t="s">
        <v>854</v>
      </c>
      <c r="N20" s="3" t="s">
        <v>24</v>
      </c>
      <c r="O20" s="2" t="s">
        <v>935</v>
      </c>
      <c r="P20" s="12">
        <v>46015</v>
      </c>
    </row>
    <row r="21" spans="1:22" ht="150">
      <c r="A21" s="68">
        <v>20</v>
      </c>
      <c r="B21" s="68" t="s">
        <v>3329</v>
      </c>
      <c r="C21" s="69" t="s">
        <v>3673</v>
      </c>
      <c r="D21" s="70">
        <v>46020</v>
      </c>
      <c r="E21" s="68" t="s">
        <v>30</v>
      </c>
      <c r="F21" s="68" t="s">
        <v>22</v>
      </c>
      <c r="G21" s="68" t="s">
        <v>3242</v>
      </c>
      <c r="H21" s="68" t="s">
        <v>3330</v>
      </c>
      <c r="I21" s="68" t="s">
        <v>933</v>
      </c>
      <c r="J21" s="68" t="s">
        <v>3331</v>
      </c>
      <c r="K21" s="68" t="s">
        <v>890</v>
      </c>
      <c r="L21" s="68" t="s">
        <v>3332</v>
      </c>
      <c r="M21" s="68" t="s">
        <v>6079</v>
      </c>
      <c r="N21" s="68" t="s">
        <v>47</v>
      </c>
      <c r="O21" s="71" t="s">
        <v>935</v>
      </c>
      <c r="P21" s="72">
        <v>46015</v>
      </c>
      <c r="Q21" s="140" t="s">
        <v>3159</v>
      </c>
      <c r="R21" s="84"/>
      <c r="S21" s="84"/>
      <c r="T21" s="84"/>
      <c r="U21" s="84"/>
      <c r="V21" s="84"/>
    </row>
    <row r="22" spans="1:22" ht="90">
      <c r="A22" s="1">
        <v>21</v>
      </c>
      <c r="B22" s="1" t="s">
        <v>3333</v>
      </c>
      <c r="C22" s="1"/>
      <c r="D22" s="1"/>
      <c r="E22" s="1" t="s">
        <v>30</v>
      </c>
      <c r="F22" s="1" t="s">
        <v>22</v>
      </c>
      <c r="G22" s="1" t="s">
        <v>3242</v>
      </c>
      <c r="H22" s="1" t="s">
        <v>3334</v>
      </c>
      <c r="I22" s="1" t="s">
        <v>933</v>
      </c>
      <c r="J22" s="1" t="s">
        <v>3335</v>
      </c>
      <c r="K22" s="1" t="s">
        <v>255</v>
      </c>
      <c r="L22" s="1" t="s">
        <v>3336</v>
      </c>
      <c r="M22" s="1" t="s">
        <v>6069</v>
      </c>
      <c r="N22" s="3" t="s">
        <v>274</v>
      </c>
      <c r="O22" s="2" t="s">
        <v>935</v>
      </c>
      <c r="P22" s="12">
        <v>46015</v>
      </c>
    </row>
    <row r="23" spans="1:22" ht="90">
      <c r="A23" s="1">
        <v>22</v>
      </c>
      <c r="B23" s="1" t="s">
        <v>3337</v>
      </c>
      <c r="C23" s="1"/>
      <c r="D23" s="1"/>
      <c r="E23" s="1" t="s">
        <v>30</v>
      </c>
      <c r="F23" s="1" t="s">
        <v>22</v>
      </c>
      <c r="G23" s="1" t="s">
        <v>3242</v>
      </c>
      <c r="H23" s="1" t="s">
        <v>3338</v>
      </c>
      <c r="I23" s="1" t="s">
        <v>933</v>
      </c>
      <c r="J23" s="1" t="s">
        <v>3339</v>
      </c>
      <c r="K23" s="1" t="s">
        <v>255</v>
      </c>
      <c r="L23" s="1" t="s">
        <v>3088</v>
      </c>
      <c r="M23" s="1" t="s">
        <v>1857</v>
      </c>
      <c r="N23" s="3" t="s">
        <v>24</v>
      </c>
      <c r="O23" s="2" t="s">
        <v>935</v>
      </c>
      <c r="P23" s="12">
        <v>46015</v>
      </c>
    </row>
    <row r="24" spans="1:22" ht="90">
      <c r="A24" s="1">
        <v>23</v>
      </c>
      <c r="B24" s="1" t="s">
        <v>3340</v>
      </c>
      <c r="C24" s="1"/>
      <c r="D24" s="1"/>
      <c r="E24" s="1" t="s">
        <v>30</v>
      </c>
      <c r="F24" s="1" t="s">
        <v>22</v>
      </c>
      <c r="G24" s="1" t="s">
        <v>3242</v>
      </c>
      <c r="H24" s="1" t="s">
        <v>3341</v>
      </c>
      <c r="I24" s="1" t="s">
        <v>933</v>
      </c>
      <c r="J24" s="1" t="s">
        <v>3342</v>
      </c>
      <c r="K24" s="1" t="s">
        <v>255</v>
      </c>
      <c r="L24" s="1" t="s">
        <v>918</v>
      </c>
      <c r="M24" s="1" t="s">
        <v>6076</v>
      </c>
      <c r="N24" s="3" t="s">
        <v>274</v>
      </c>
      <c r="O24" s="2" t="s">
        <v>935</v>
      </c>
      <c r="P24" s="12">
        <v>46015</v>
      </c>
    </row>
  </sheetData>
  <autoFilter ref="A1:V24"/>
  <hyperlinks>
    <hyperlink ref="C3" r:id="rId1" display="https://hanssupport.atlassian.net/browse/BA-387"/>
    <hyperlink ref="C6" r:id="rId2" display="https://hanssupport.atlassian.net/browse/BA-388"/>
    <hyperlink ref="C7" r:id="rId3" display="https://hanssupport.atlassian.net/browse/BA-389"/>
    <hyperlink ref="C8" r:id="rId4" display="https://hanssupport.atlassian.net/browse/BA-390"/>
    <hyperlink ref="C15" r:id="rId5" display="https://hanssupport.atlassian.net/browse/BA-391"/>
    <hyperlink ref="C21" r:id="rId6" display="https://hanssupport.atlassian.net/browse/BA-392"/>
  </hyperlinks>
  <pageMargins left="0.7" right="0.7" top="0.75" bottom="0.75" header="0.3" footer="0.3"/>
  <pageSetup paperSize="9" orientation="portrait" verticalDpi="0" r:id="rId7"/>
</worksheet>
</file>

<file path=xl/worksheets/sheet37.xml><?xml version="1.0" encoding="utf-8"?>
<worksheet xmlns="http://schemas.openxmlformats.org/spreadsheetml/2006/main" xmlns:r="http://schemas.openxmlformats.org/officeDocument/2006/relationships">
  <dimension ref="A1:V20"/>
  <sheetViews>
    <sheetView workbookViewId="0">
      <pane ySplit="1" topLeftCell="A8" activePane="bottomLeft" state="frozen"/>
      <selection pane="bottomLeft" activeCell="A8" sqref="A8"/>
    </sheetView>
  </sheetViews>
  <sheetFormatPr defaultRowHeight="15"/>
  <cols>
    <col min="1" max="1" width="7.42578125" style="45" customWidth="1"/>
    <col min="2" max="2" width="19.140625" style="45" customWidth="1"/>
    <col min="3" max="3" width="12.7109375" style="45" customWidth="1"/>
    <col min="4" max="4" width="20.42578125" style="45" customWidth="1"/>
    <col min="5" max="5" width="13.7109375" style="45" customWidth="1"/>
    <col min="6" max="6" width="15.28515625" style="45" customWidth="1"/>
    <col min="7" max="7" width="20.85546875" style="45" customWidth="1"/>
    <col min="8" max="8" width="59.5703125" style="45" customWidth="1"/>
    <col min="9" max="9" width="39.85546875" style="45" customWidth="1"/>
    <col min="10" max="10" width="52.28515625" style="45" customWidth="1"/>
    <col min="11" max="11" width="37.85546875" style="45" customWidth="1"/>
    <col min="12" max="12" width="62.28515625" style="45" customWidth="1"/>
    <col min="13" max="13" width="49.7109375" style="45" customWidth="1"/>
    <col min="14" max="14" width="13.5703125" style="45" customWidth="1"/>
    <col min="15" max="15" width="33.7109375" style="45" customWidth="1"/>
    <col min="16" max="16" width="20.28515625" style="45" customWidth="1"/>
    <col min="17" max="17" width="16" style="45" customWidth="1"/>
    <col min="18" max="18" width="18.7109375" style="45" customWidth="1"/>
    <col min="19" max="19" width="20.140625" style="45" customWidth="1"/>
    <col min="20" max="20" width="21" style="45" customWidth="1"/>
    <col min="21" max="21" width="26.140625" style="45" customWidth="1"/>
    <col min="22" max="22" width="21.1406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3351</v>
      </c>
      <c r="C2" s="1"/>
      <c r="D2" s="1"/>
      <c r="E2" s="1" t="s">
        <v>30</v>
      </c>
      <c r="F2" s="1" t="s">
        <v>22</v>
      </c>
      <c r="G2" s="1" t="s">
        <v>3352</v>
      </c>
      <c r="H2" s="1" t="s">
        <v>3353</v>
      </c>
      <c r="I2" s="1" t="s">
        <v>933</v>
      </c>
      <c r="J2" s="1" t="s">
        <v>3354</v>
      </c>
      <c r="K2" s="1" t="s">
        <v>1074</v>
      </c>
      <c r="L2" s="1" t="s">
        <v>3355</v>
      </c>
      <c r="M2" s="1" t="s">
        <v>3356</v>
      </c>
      <c r="N2" s="3" t="s">
        <v>24</v>
      </c>
      <c r="O2" s="2" t="s">
        <v>935</v>
      </c>
      <c r="P2" s="12">
        <v>46015</v>
      </c>
    </row>
    <row r="3" spans="1:22" ht="105">
      <c r="A3" s="68">
        <v>2</v>
      </c>
      <c r="B3" s="68" t="s">
        <v>3357</v>
      </c>
      <c r="C3" s="69" t="s">
        <v>3674</v>
      </c>
      <c r="D3" s="70">
        <v>46020</v>
      </c>
      <c r="E3" s="68" t="s">
        <v>30</v>
      </c>
      <c r="F3" s="68" t="s">
        <v>22</v>
      </c>
      <c r="G3" s="68" t="s">
        <v>3352</v>
      </c>
      <c r="H3" s="68" t="s">
        <v>3358</v>
      </c>
      <c r="I3" s="68" t="s">
        <v>933</v>
      </c>
      <c r="J3" s="68" t="s">
        <v>3359</v>
      </c>
      <c r="K3" s="68" t="s">
        <v>3360</v>
      </c>
      <c r="L3" s="68" t="s">
        <v>3361</v>
      </c>
      <c r="M3" s="68" t="s">
        <v>3362</v>
      </c>
      <c r="N3" s="68" t="s">
        <v>24</v>
      </c>
      <c r="O3" s="71" t="s">
        <v>935</v>
      </c>
      <c r="P3" s="72">
        <v>46015</v>
      </c>
      <c r="Q3" s="140" t="s">
        <v>3159</v>
      </c>
      <c r="R3" s="68" t="s">
        <v>1220</v>
      </c>
      <c r="S3" s="68" t="s">
        <v>5075</v>
      </c>
      <c r="T3" s="72" t="s">
        <v>6160</v>
      </c>
      <c r="U3" s="72"/>
      <c r="V3" s="84"/>
    </row>
    <row r="4" spans="1:22" ht="165">
      <c r="A4" s="1">
        <v>3</v>
      </c>
      <c r="B4" s="1" t="s">
        <v>3363</v>
      </c>
      <c r="C4" s="1"/>
      <c r="D4" s="1"/>
      <c r="E4" s="1" t="s">
        <v>30</v>
      </c>
      <c r="F4" s="1" t="s">
        <v>22</v>
      </c>
      <c r="G4" s="1" t="s">
        <v>3352</v>
      </c>
      <c r="H4" s="1" t="s">
        <v>3364</v>
      </c>
      <c r="I4" s="1" t="s">
        <v>933</v>
      </c>
      <c r="J4" s="1" t="s">
        <v>3365</v>
      </c>
      <c r="K4" s="1" t="s">
        <v>255</v>
      </c>
      <c r="L4" s="1" t="s">
        <v>2833</v>
      </c>
      <c r="M4" s="1" t="s">
        <v>1524</v>
      </c>
      <c r="N4" s="3" t="s">
        <v>274</v>
      </c>
      <c r="O4" s="2" t="s">
        <v>935</v>
      </c>
      <c r="P4" s="12">
        <v>46015</v>
      </c>
    </row>
    <row r="5" spans="1:22" ht="180">
      <c r="A5" s="1">
        <v>4</v>
      </c>
      <c r="B5" s="1" t="s">
        <v>3366</v>
      </c>
      <c r="C5" s="1"/>
      <c r="D5" s="1"/>
      <c r="E5" s="1" t="s">
        <v>30</v>
      </c>
      <c r="F5" s="1" t="s">
        <v>22</v>
      </c>
      <c r="G5" s="1" t="s">
        <v>3352</v>
      </c>
      <c r="H5" s="1" t="s">
        <v>3367</v>
      </c>
      <c r="I5" s="1" t="s">
        <v>933</v>
      </c>
      <c r="J5" s="1" t="s">
        <v>3368</v>
      </c>
      <c r="K5" s="1" t="s">
        <v>1905</v>
      </c>
      <c r="L5" s="1" t="s">
        <v>3369</v>
      </c>
      <c r="M5" s="14" t="s">
        <v>3261</v>
      </c>
      <c r="N5" s="3" t="s">
        <v>24</v>
      </c>
      <c r="O5" s="2" t="s">
        <v>935</v>
      </c>
      <c r="P5" s="12">
        <v>46015</v>
      </c>
    </row>
    <row r="6" spans="1:22" ht="165">
      <c r="A6" s="68">
        <v>5</v>
      </c>
      <c r="B6" s="68" t="s">
        <v>3370</v>
      </c>
      <c r="C6" s="69" t="s">
        <v>3675</v>
      </c>
      <c r="D6" s="70">
        <v>46020</v>
      </c>
      <c r="E6" s="68" t="s">
        <v>30</v>
      </c>
      <c r="F6" s="68" t="s">
        <v>22</v>
      </c>
      <c r="G6" s="68" t="s">
        <v>3352</v>
      </c>
      <c r="H6" s="68" t="s">
        <v>3371</v>
      </c>
      <c r="I6" s="68" t="s">
        <v>933</v>
      </c>
      <c r="J6" s="68" t="s">
        <v>3372</v>
      </c>
      <c r="K6" s="68" t="s">
        <v>3373</v>
      </c>
      <c r="L6" s="68" t="s">
        <v>3374</v>
      </c>
      <c r="M6" s="68" t="s">
        <v>3375</v>
      </c>
      <c r="N6" s="68" t="s">
        <v>24</v>
      </c>
      <c r="O6" s="71" t="s">
        <v>935</v>
      </c>
      <c r="P6" s="72">
        <v>46015</v>
      </c>
      <c r="Q6" s="140" t="s">
        <v>3159</v>
      </c>
      <c r="R6" s="68" t="s">
        <v>1220</v>
      </c>
      <c r="S6" s="68" t="s">
        <v>5075</v>
      </c>
      <c r="T6" s="72" t="s">
        <v>6160</v>
      </c>
      <c r="U6" s="84"/>
      <c r="V6" s="84"/>
    </row>
    <row r="7" spans="1:22" ht="150">
      <c r="A7" s="68">
        <v>6</v>
      </c>
      <c r="B7" s="68" t="s">
        <v>3376</v>
      </c>
      <c r="C7" s="69" t="s">
        <v>3676</v>
      </c>
      <c r="D7" s="70">
        <v>46020</v>
      </c>
      <c r="E7" s="68" t="s">
        <v>30</v>
      </c>
      <c r="F7" s="68" t="s">
        <v>22</v>
      </c>
      <c r="G7" s="68" t="s">
        <v>3352</v>
      </c>
      <c r="H7" s="95" t="s">
        <v>3378</v>
      </c>
      <c r="I7" s="68" t="s">
        <v>933</v>
      </c>
      <c r="J7" s="95" t="s">
        <v>3379</v>
      </c>
      <c r="K7" s="95" t="s">
        <v>1120</v>
      </c>
      <c r="L7" s="95" t="s">
        <v>3380</v>
      </c>
      <c r="M7" s="95" t="s">
        <v>3381</v>
      </c>
      <c r="N7" s="68" t="s">
        <v>24</v>
      </c>
      <c r="O7" s="71" t="s">
        <v>935</v>
      </c>
      <c r="P7" s="72">
        <v>46015</v>
      </c>
      <c r="Q7" s="140" t="s">
        <v>3159</v>
      </c>
      <c r="R7" s="68" t="s">
        <v>1220</v>
      </c>
      <c r="S7" s="68" t="s">
        <v>5075</v>
      </c>
      <c r="T7" s="72" t="s">
        <v>6160</v>
      </c>
      <c r="U7" s="84"/>
      <c r="V7" s="84"/>
    </row>
    <row r="8" spans="1:22" ht="195">
      <c r="A8" s="68">
        <v>7</v>
      </c>
      <c r="B8" s="68" t="s">
        <v>3382</v>
      </c>
      <c r="C8" s="69" t="s">
        <v>3677</v>
      </c>
      <c r="D8" s="70">
        <v>46020</v>
      </c>
      <c r="E8" s="68" t="s">
        <v>30</v>
      </c>
      <c r="F8" s="68" t="s">
        <v>22</v>
      </c>
      <c r="G8" s="68" t="s">
        <v>3352</v>
      </c>
      <c r="H8" s="68" t="s">
        <v>3383</v>
      </c>
      <c r="I8" s="68" t="s">
        <v>933</v>
      </c>
      <c r="J8" s="68" t="s">
        <v>3384</v>
      </c>
      <c r="K8" s="68" t="s">
        <v>3385</v>
      </c>
      <c r="L8" s="68" t="s">
        <v>3386</v>
      </c>
      <c r="M8" s="68" t="s">
        <v>6163</v>
      </c>
      <c r="N8" s="68" t="s">
        <v>24</v>
      </c>
      <c r="O8" s="71" t="s">
        <v>935</v>
      </c>
      <c r="P8" s="72">
        <v>46015</v>
      </c>
      <c r="Q8" s="140" t="s">
        <v>3159</v>
      </c>
      <c r="R8" s="68" t="s">
        <v>1220</v>
      </c>
      <c r="S8" s="68" t="s">
        <v>5075</v>
      </c>
      <c r="T8" s="72" t="s">
        <v>6160</v>
      </c>
      <c r="U8" s="84"/>
      <c r="V8" s="84"/>
    </row>
    <row r="9" spans="1:22" ht="135">
      <c r="A9" s="1">
        <v>8</v>
      </c>
      <c r="B9" s="1" t="s">
        <v>3387</v>
      </c>
      <c r="C9" s="1"/>
      <c r="D9" s="1"/>
      <c r="E9" s="1" t="s">
        <v>30</v>
      </c>
      <c r="F9" s="1" t="s">
        <v>22</v>
      </c>
      <c r="G9" s="1" t="s">
        <v>3352</v>
      </c>
      <c r="H9" s="1" t="s">
        <v>3388</v>
      </c>
      <c r="I9" s="1" t="s">
        <v>933</v>
      </c>
      <c r="J9" s="1" t="s">
        <v>3403</v>
      </c>
      <c r="K9" s="1" t="s">
        <v>866</v>
      </c>
      <c r="L9" s="1" t="s">
        <v>2913</v>
      </c>
      <c r="M9" s="1" t="s">
        <v>2914</v>
      </c>
      <c r="N9" s="3" t="s">
        <v>24</v>
      </c>
      <c r="O9" s="2" t="s">
        <v>935</v>
      </c>
      <c r="P9" s="12">
        <v>46015</v>
      </c>
    </row>
    <row r="10" spans="1:22" ht="135">
      <c r="A10" s="68">
        <v>9</v>
      </c>
      <c r="B10" s="68" t="s">
        <v>3389</v>
      </c>
      <c r="C10" s="69" t="s">
        <v>3678</v>
      </c>
      <c r="D10" s="70">
        <v>46020</v>
      </c>
      <c r="E10" s="68" t="s">
        <v>30</v>
      </c>
      <c r="F10" s="68" t="s">
        <v>22</v>
      </c>
      <c r="G10" s="68" t="s">
        <v>3352</v>
      </c>
      <c r="H10" s="68" t="s">
        <v>3390</v>
      </c>
      <c r="I10" s="68" t="s">
        <v>933</v>
      </c>
      <c r="J10" s="68" t="s">
        <v>3402</v>
      </c>
      <c r="K10" s="68" t="s">
        <v>3391</v>
      </c>
      <c r="L10" s="68" t="s">
        <v>3393</v>
      </c>
      <c r="M10" s="68" t="s">
        <v>3392</v>
      </c>
      <c r="N10" s="68" t="s">
        <v>24</v>
      </c>
      <c r="O10" s="71" t="s">
        <v>935</v>
      </c>
      <c r="P10" s="72">
        <v>46015</v>
      </c>
      <c r="Q10" s="140" t="s">
        <v>3159</v>
      </c>
      <c r="R10" s="68" t="s">
        <v>1220</v>
      </c>
      <c r="S10" s="68" t="s">
        <v>5075</v>
      </c>
      <c r="T10" s="72" t="s">
        <v>6160</v>
      </c>
      <c r="U10" s="84"/>
      <c r="V10" s="84"/>
    </row>
    <row r="11" spans="1:22" ht="165">
      <c r="A11" s="68">
        <v>10</v>
      </c>
      <c r="B11" s="68" t="s">
        <v>3394</v>
      </c>
      <c r="C11" s="69" t="s">
        <v>3679</v>
      </c>
      <c r="D11" s="70">
        <v>46020</v>
      </c>
      <c r="E11" s="68" t="s">
        <v>30</v>
      </c>
      <c r="F11" s="68" t="s">
        <v>22</v>
      </c>
      <c r="G11" s="68" t="s">
        <v>3352</v>
      </c>
      <c r="H11" s="68" t="s">
        <v>3395</v>
      </c>
      <c r="I11" s="68" t="s">
        <v>933</v>
      </c>
      <c r="J11" s="68" t="s">
        <v>3401</v>
      </c>
      <c r="K11" s="68" t="s">
        <v>3396</v>
      </c>
      <c r="L11" s="68" t="s">
        <v>3220</v>
      </c>
      <c r="M11" s="95" t="s">
        <v>6162</v>
      </c>
      <c r="N11" s="68" t="s">
        <v>24</v>
      </c>
      <c r="O11" s="71" t="s">
        <v>935</v>
      </c>
      <c r="P11" s="72">
        <v>46015</v>
      </c>
      <c r="Q11" s="140" t="s">
        <v>3159</v>
      </c>
      <c r="R11" s="68" t="s">
        <v>1220</v>
      </c>
      <c r="S11" s="68" t="s">
        <v>5075</v>
      </c>
      <c r="T11" s="72" t="s">
        <v>6160</v>
      </c>
      <c r="U11" s="84"/>
      <c r="V11" s="84"/>
    </row>
    <row r="12" spans="1:22" ht="150">
      <c r="A12" s="1">
        <v>11</v>
      </c>
      <c r="B12" s="1" t="s">
        <v>3397</v>
      </c>
      <c r="C12" s="1"/>
      <c r="D12" s="1"/>
      <c r="E12" s="1" t="s">
        <v>30</v>
      </c>
      <c r="F12" s="1" t="s">
        <v>22</v>
      </c>
      <c r="G12" s="1" t="s">
        <v>3352</v>
      </c>
      <c r="H12" s="1" t="s">
        <v>3398</v>
      </c>
      <c r="I12" s="1" t="s">
        <v>933</v>
      </c>
      <c r="J12" s="1" t="s">
        <v>3404</v>
      </c>
      <c r="K12" s="1" t="s">
        <v>2933</v>
      </c>
      <c r="L12" s="1" t="s">
        <v>2934</v>
      </c>
      <c r="M12" s="1" t="s">
        <v>2935</v>
      </c>
      <c r="N12" s="3" t="s">
        <v>24</v>
      </c>
      <c r="O12" s="2" t="s">
        <v>935</v>
      </c>
      <c r="P12" s="12">
        <v>46015</v>
      </c>
    </row>
    <row r="13" spans="1:22" ht="150">
      <c r="A13" s="1">
        <v>12</v>
      </c>
      <c r="B13" s="1" t="s">
        <v>3399</v>
      </c>
      <c r="C13" s="1"/>
      <c r="D13" s="1"/>
      <c r="E13" s="1" t="s">
        <v>30</v>
      </c>
      <c r="F13" s="1" t="s">
        <v>22</v>
      </c>
      <c r="G13" s="1" t="s">
        <v>3352</v>
      </c>
      <c r="H13" s="1" t="s">
        <v>3400</v>
      </c>
      <c r="I13" s="1" t="s">
        <v>933</v>
      </c>
      <c r="J13" s="1" t="s">
        <v>3405</v>
      </c>
      <c r="K13" s="1" t="s">
        <v>2933</v>
      </c>
      <c r="L13" s="1" t="s">
        <v>2939</v>
      </c>
      <c r="M13" s="1" t="s">
        <v>3318</v>
      </c>
      <c r="N13" s="3" t="s">
        <v>24</v>
      </c>
      <c r="O13" s="2" t="s">
        <v>935</v>
      </c>
      <c r="P13" s="12">
        <v>46015</v>
      </c>
    </row>
    <row r="14" spans="1:22" ht="165">
      <c r="A14" s="1">
        <v>13</v>
      </c>
      <c r="B14" s="1" t="s">
        <v>3406</v>
      </c>
      <c r="C14" s="1"/>
      <c r="D14" s="1"/>
      <c r="E14" s="1" t="s">
        <v>30</v>
      </c>
      <c r="F14" s="1" t="s">
        <v>22</v>
      </c>
      <c r="G14" s="1" t="s">
        <v>3352</v>
      </c>
      <c r="H14" s="1" t="s">
        <v>3407</v>
      </c>
      <c r="I14" s="1" t="s">
        <v>933</v>
      </c>
      <c r="J14" s="1" t="s">
        <v>3408</v>
      </c>
      <c r="K14" s="1" t="s">
        <v>255</v>
      </c>
      <c r="L14" s="1" t="s">
        <v>2943</v>
      </c>
      <c r="M14" s="1" t="s">
        <v>2949</v>
      </c>
      <c r="N14" s="3" t="s">
        <v>24</v>
      </c>
      <c r="O14" s="2" t="s">
        <v>935</v>
      </c>
      <c r="P14" s="12">
        <v>46015</v>
      </c>
    </row>
    <row r="15" spans="1:22" ht="150">
      <c r="A15" s="1">
        <v>14</v>
      </c>
      <c r="B15" s="1" t="s">
        <v>3409</v>
      </c>
      <c r="C15" s="1"/>
      <c r="D15" s="1"/>
      <c r="E15" s="1" t="s">
        <v>30</v>
      </c>
      <c r="F15" s="1" t="s">
        <v>22</v>
      </c>
      <c r="G15" s="1" t="s">
        <v>3352</v>
      </c>
      <c r="H15" s="1" t="s">
        <v>3410</v>
      </c>
      <c r="I15" s="1" t="s">
        <v>933</v>
      </c>
      <c r="J15" s="1" t="s">
        <v>3411</v>
      </c>
      <c r="K15" s="1" t="s">
        <v>255</v>
      </c>
      <c r="L15" s="1" t="s">
        <v>2948</v>
      </c>
      <c r="M15" s="1" t="s">
        <v>2950</v>
      </c>
      <c r="N15" s="3" t="s">
        <v>24</v>
      </c>
      <c r="O15" s="2" t="s">
        <v>935</v>
      </c>
      <c r="P15" s="12">
        <v>46015</v>
      </c>
    </row>
    <row r="16" spans="1:22" ht="120">
      <c r="A16" s="1">
        <v>15</v>
      </c>
      <c r="B16" s="1" t="s">
        <v>3412</v>
      </c>
      <c r="C16" s="1"/>
      <c r="D16" s="1"/>
      <c r="E16" s="1" t="s">
        <v>30</v>
      </c>
      <c r="F16" s="1" t="s">
        <v>22</v>
      </c>
      <c r="G16" s="1" t="s">
        <v>3352</v>
      </c>
      <c r="H16" s="1" t="s">
        <v>3413</v>
      </c>
      <c r="I16" s="1" t="s">
        <v>933</v>
      </c>
      <c r="J16" s="1" t="s">
        <v>3414</v>
      </c>
      <c r="K16" s="1" t="s">
        <v>2953</v>
      </c>
      <c r="L16" s="1" t="s">
        <v>3328</v>
      </c>
      <c r="M16" s="1" t="s">
        <v>854</v>
      </c>
      <c r="N16" s="3" t="s">
        <v>24</v>
      </c>
      <c r="O16" s="2" t="s">
        <v>935</v>
      </c>
      <c r="P16" s="12">
        <v>46015</v>
      </c>
    </row>
    <row r="17" spans="1:16" ht="165">
      <c r="A17" s="1">
        <v>16</v>
      </c>
      <c r="B17" s="1" t="s">
        <v>3415</v>
      </c>
      <c r="C17" s="1"/>
      <c r="D17" s="1"/>
      <c r="E17" s="1" t="s">
        <v>30</v>
      </c>
      <c r="F17" s="1" t="s">
        <v>22</v>
      </c>
      <c r="G17" s="1" t="s">
        <v>3352</v>
      </c>
      <c r="H17" s="1" t="s">
        <v>3416</v>
      </c>
      <c r="I17" s="1" t="s">
        <v>933</v>
      </c>
      <c r="J17" s="1" t="s">
        <v>3417</v>
      </c>
      <c r="K17" s="1" t="s">
        <v>890</v>
      </c>
      <c r="L17" s="1" t="s">
        <v>3332</v>
      </c>
      <c r="M17" s="1" t="s">
        <v>1773</v>
      </c>
      <c r="N17" s="3" t="s">
        <v>24</v>
      </c>
      <c r="O17" s="2" t="s">
        <v>935</v>
      </c>
      <c r="P17" s="12">
        <v>46015</v>
      </c>
    </row>
    <row r="18" spans="1:16" ht="90">
      <c r="A18" s="1">
        <v>17</v>
      </c>
      <c r="B18" s="1" t="s">
        <v>3418</v>
      </c>
      <c r="C18" s="1"/>
      <c r="D18" s="1"/>
      <c r="E18" s="1" t="s">
        <v>30</v>
      </c>
      <c r="F18" s="1" t="s">
        <v>22</v>
      </c>
      <c r="G18" s="1" t="s">
        <v>3352</v>
      </c>
      <c r="H18" s="1" t="s">
        <v>3419</v>
      </c>
      <c r="I18" s="1" t="s">
        <v>933</v>
      </c>
      <c r="J18" s="1" t="s">
        <v>3422</v>
      </c>
      <c r="K18" s="1" t="s">
        <v>255</v>
      </c>
      <c r="L18" s="1" t="s">
        <v>3423</v>
      </c>
      <c r="M18" s="1" t="s">
        <v>6069</v>
      </c>
      <c r="N18" s="3" t="s">
        <v>274</v>
      </c>
      <c r="O18" s="2" t="s">
        <v>935</v>
      </c>
      <c r="P18" s="12">
        <v>46015</v>
      </c>
    </row>
    <row r="19" spans="1:16" ht="90">
      <c r="A19" s="1">
        <v>18</v>
      </c>
      <c r="B19" s="1" t="s">
        <v>3425</v>
      </c>
      <c r="C19" s="1"/>
      <c r="D19" s="1"/>
      <c r="E19" s="1" t="s">
        <v>30</v>
      </c>
      <c r="F19" s="1" t="s">
        <v>22</v>
      </c>
      <c r="G19" s="1" t="s">
        <v>3352</v>
      </c>
      <c r="H19" s="1" t="s">
        <v>3420</v>
      </c>
      <c r="I19" s="1" t="s">
        <v>933</v>
      </c>
      <c r="J19" s="1" t="s">
        <v>3424</v>
      </c>
      <c r="K19" s="1" t="s">
        <v>255</v>
      </c>
      <c r="L19" s="1" t="s">
        <v>3088</v>
      </c>
      <c r="M19" s="1" t="s">
        <v>1857</v>
      </c>
      <c r="N19" s="3" t="s">
        <v>24</v>
      </c>
      <c r="O19" s="2" t="s">
        <v>935</v>
      </c>
      <c r="P19" s="12">
        <v>46015</v>
      </c>
    </row>
    <row r="20" spans="1:16" ht="90">
      <c r="A20" s="1">
        <v>19</v>
      </c>
      <c r="B20" s="1" t="s">
        <v>3426</v>
      </c>
      <c r="C20" s="1"/>
      <c r="D20" s="1"/>
      <c r="E20" s="1" t="s">
        <v>30</v>
      </c>
      <c r="F20" s="1" t="s">
        <v>22</v>
      </c>
      <c r="G20" s="1" t="s">
        <v>3352</v>
      </c>
      <c r="H20" s="1" t="s">
        <v>3421</v>
      </c>
      <c r="I20" s="1" t="s">
        <v>933</v>
      </c>
      <c r="J20" s="1" t="s">
        <v>3427</v>
      </c>
      <c r="K20" s="1" t="s">
        <v>255</v>
      </c>
      <c r="L20" s="1" t="s">
        <v>918</v>
      </c>
      <c r="M20" s="1" t="s">
        <v>6077</v>
      </c>
      <c r="N20" s="3" t="s">
        <v>274</v>
      </c>
      <c r="O20" s="2" t="s">
        <v>935</v>
      </c>
      <c r="P20" s="12">
        <v>46015</v>
      </c>
    </row>
  </sheetData>
  <autoFilter ref="A1:V20"/>
  <hyperlinks>
    <hyperlink ref="C3" r:id="rId1" display="https://hanssupport.atlassian.net/browse/BA-393"/>
    <hyperlink ref="C6" r:id="rId2" display="https://hanssupport.atlassian.net/browse/BA-394"/>
    <hyperlink ref="C7" r:id="rId3" display="https://hanssupport.atlassian.net/browse/BA-395"/>
    <hyperlink ref="C8" r:id="rId4" display="https://hanssupport.atlassian.net/browse/BA-396"/>
    <hyperlink ref="C10" r:id="rId5" display="https://hanssupport.atlassian.net/browse/BA-397"/>
    <hyperlink ref="C11" r:id="rId6" display="https://hanssupport.atlassian.net/browse/BA-398"/>
  </hyperlinks>
  <pageMargins left="0.7" right="0.7" top="0.75" bottom="0.75" header="0.3" footer="0.3"/>
  <pageSetup paperSize="9" orientation="portrait" verticalDpi="0" r:id="rId7"/>
</worksheet>
</file>

<file path=xl/worksheets/sheet38.xml><?xml version="1.0" encoding="utf-8"?>
<worksheet xmlns="http://schemas.openxmlformats.org/spreadsheetml/2006/main" xmlns:r="http://schemas.openxmlformats.org/officeDocument/2006/relationships">
  <sheetPr filterMode="1"/>
  <dimension ref="A1:V77"/>
  <sheetViews>
    <sheetView topLeftCell="I1" workbookViewId="0">
      <pane ySplit="1" topLeftCell="A21" activePane="bottomLeft" state="frozen"/>
      <selection pane="bottomLeft" activeCell="M49" sqref="M49"/>
    </sheetView>
  </sheetViews>
  <sheetFormatPr defaultRowHeight="15"/>
  <cols>
    <col min="1" max="1" width="9.85546875" style="45" customWidth="1"/>
    <col min="2" max="2" width="21.7109375" style="45" customWidth="1"/>
    <col min="3" max="3" width="13.7109375" style="45" customWidth="1"/>
    <col min="4" max="4" width="22.140625" style="45" customWidth="1"/>
    <col min="5" max="5" width="15.140625" style="45" customWidth="1"/>
    <col min="6" max="6" width="13.28515625" style="45" customWidth="1"/>
    <col min="7" max="7" width="22" style="45" customWidth="1"/>
    <col min="8" max="8" width="65.5703125" style="45" customWidth="1"/>
    <col min="9" max="9" width="42.5703125" style="45" customWidth="1"/>
    <col min="10" max="10" width="59.85546875" style="45" customWidth="1"/>
    <col min="11" max="11" width="39" style="45" customWidth="1"/>
    <col min="12" max="12" width="63.5703125" style="45" customWidth="1"/>
    <col min="13" max="13" width="58.140625" style="45" customWidth="1"/>
    <col min="14" max="14" width="13.7109375" style="45" customWidth="1"/>
    <col min="15" max="15" width="34.85546875" style="45" customWidth="1"/>
    <col min="16" max="16" width="19.5703125" style="45" customWidth="1"/>
    <col min="17" max="17" width="18.5703125" style="45" customWidth="1"/>
    <col min="18" max="18" width="16.85546875" style="45" customWidth="1"/>
    <col min="19" max="19" width="23" style="45" customWidth="1"/>
    <col min="20" max="20" width="22.7109375" style="45" customWidth="1"/>
    <col min="21" max="21" width="27" style="45" customWidth="1"/>
    <col min="22" max="22" width="16"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hidden="1">
      <c r="A2" s="1">
        <v>1</v>
      </c>
      <c r="B2" s="1" t="s">
        <v>3431</v>
      </c>
      <c r="C2" s="1"/>
      <c r="D2" s="1"/>
      <c r="E2" s="1" t="s">
        <v>30</v>
      </c>
      <c r="F2" s="1" t="s">
        <v>22</v>
      </c>
      <c r="G2" s="1" t="s">
        <v>3432</v>
      </c>
      <c r="H2" s="1" t="s">
        <v>3433</v>
      </c>
      <c r="I2" s="1" t="s">
        <v>933</v>
      </c>
      <c r="J2" s="1" t="s">
        <v>3434</v>
      </c>
      <c r="K2" s="1" t="s">
        <v>1074</v>
      </c>
      <c r="L2" s="1" t="s">
        <v>3435</v>
      </c>
      <c r="M2" s="1" t="s">
        <v>3436</v>
      </c>
      <c r="N2" s="3" t="s">
        <v>24</v>
      </c>
      <c r="O2" s="2" t="s">
        <v>935</v>
      </c>
      <c r="P2" s="12">
        <v>46017</v>
      </c>
    </row>
    <row r="3" spans="1:22" ht="90" hidden="1">
      <c r="A3" s="1">
        <v>2</v>
      </c>
      <c r="B3" s="1" t="s">
        <v>3437</v>
      </c>
      <c r="C3" s="1"/>
      <c r="D3" s="1"/>
      <c r="E3" s="1" t="s">
        <v>30</v>
      </c>
      <c r="F3" s="1" t="s">
        <v>22</v>
      </c>
      <c r="G3" s="1" t="s">
        <v>3432</v>
      </c>
      <c r="H3" s="5" t="s">
        <v>3588</v>
      </c>
      <c r="I3" s="1" t="s">
        <v>933</v>
      </c>
      <c r="J3" s="1" t="s">
        <v>3434</v>
      </c>
      <c r="K3" s="14" t="s">
        <v>255</v>
      </c>
      <c r="L3" s="14" t="s">
        <v>3440</v>
      </c>
      <c r="M3" s="14" t="s">
        <v>3441</v>
      </c>
      <c r="N3" s="3" t="s">
        <v>24</v>
      </c>
      <c r="O3" s="2" t="s">
        <v>935</v>
      </c>
      <c r="P3" s="12">
        <v>46017</v>
      </c>
    </row>
    <row r="4" spans="1:22" ht="135" hidden="1">
      <c r="A4" s="1">
        <v>3</v>
      </c>
      <c r="B4" s="1" t="s">
        <v>3442</v>
      </c>
      <c r="C4" s="1"/>
      <c r="D4" s="1"/>
      <c r="E4" s="1" t="s">
        <v>30</v>
      </c>
      <c r="F4" s="1" t="s">
        <v>22</v>
      </c>
      <c r="G4" s="1" t="s">
        <v>3432</v>
      </c>
      <c r="H4" s="5" t="s">
        <v>3589</v>
      </c>
      <c r="I4" s="1" t="s">
        <v>933</v>
      </c>
      <c r="J4" s="1" t="s">
        <v>3444</v>
      </c>
      <c r="K4" s="1" t="s">
        <v>3443</v>
      </c>
      <c r="L4" s="5" t="s">
        <v>3445</v>
      </c>
      <c r="M4" s="5" t="s">
        <v>3446</v>
      </c>
      <c r="N4" s="3" t="s">
        <v>24</v>
      </c>
      <c r="O4" s="2" t="s">
        <v>935</v>
      </c>
      <c r="P4" s="12">
        <v>46017</v>
      </c>
    </row>
    <row r="5" spans="1:22" ht="165">
      <c r="A5" s="1">
        <v>4</v>
      </c>
      <c r="B5" s="1" t="s">
        <v>3447</v>
      </c>
      <c r="C5" s="23" t="s">
        <v>3894</v>
      </c>
      <c r="D5" s="36">
        <v>46023</v>
      </c>
      <c r="E5" s="1" t="s">
        <v>30</v>
      </c>
      <c r="F5" s="1" t="s">
        <v>22</v>
      </c>
      <c r="G5" s="1" t="s">
        <v>3432</v>
      </c>
      <c r="H5" s="5" t="s">
        <v>3590</v>
      </c>
      <c r="I5" s="1" t="s">
        <v>933</v>
      </c>
      <c r="J5" s="1" t="s">
        <v>3448</v>
      </c>
      <c r="K5" s="1" t="s">
        <v>3449</v>
      </c>
      <c r="L5" s="1" t="s">
        <v>3450</v>
      </c>
      <c r="M5" s="1" t="s">
        <v>3893</v>
      </c>
      <c r="N5" s="19" t="s">
        <v>47</v>
      </c>
      <c r="O5" s="2" t="s">
        <v>935</v>
      </c>
      <c r="P5" s="12">
        <v>46017</v>
      </c>
    </row>
    <row r="6" spans="1:22" ht="165">
      <c r="A6" s="1">
        <v>5</v>
      </c>
      <c r="B6" s="1" t="s">
        <v>3452</v>
      </c>
      <c r="C6" s="23" t="s">
        <v>3895</v>
      </c>
      <c r="D6" s="36">
        <v>46023</v>
      </c>
      <c r="E6" s="1" t="s">
        <v>30</v>
      </c>
      <c r="F6" s="1" t="s">
        <v>22</v>
      </c>
      <c r="G6" s="1" t="s">
        <v>3432</v>
      </c>
      <c r="H6" s="5" t="s">
        <v>3591</v>
      </c>
      <c r="I6" s="1" t="s">
        <v>933</v>
      </c>
      <c r="J6" s="1" t="s">
        <v>3453</v>
      </c>
      <c r="K6" s="1" t="s">
        <v>3458</v>
      </c>
      <c r="L6" s="1" t="s">
        <v>3454</v>
      </c>
      <c r="M6" s="1" t="s">
        <v>3455</v>
      </c>
      <c r="N6" s="19" t="s">
        <v>47</v>
      </c>
      <c r="O6" s="2" t="s">
        <v>935</v>
      </c>
      <c r="P6" s="12">
        <v>46017</v>
      </c>
    </row>
    <row r="7" spans="1:22" ht="150">
      <c r="A7" s="1">
        <v>6</v>
      </c>
      <c r="B7" s="1" t="s">
        <v>3456</v>
      </c>
      <c r="C7" s="23" t="s">
        <v>3896</v>
      </c>
      <c r="D7" s="36">
        <v>46023</v>
      </c>
      <c r="E7" s="1" t="s">
        <v>30</v>
      </c>
      <c r="F7" s="1" t="s">
        <v>22</v>
      </c>
      <c r="G7" s="1" t="s">
        <v>3432</v>
      </c>
      <c r="H7" s="5" t="s">
        <v>3592</v>
      </c>
      <c r="I7" s="1" t="s">
        <v>933</v>
      </c>
      <c r="J7" s="1" t="s">
        <v>3457</v>
      </c>
      <c r="K7" s="1" t="s">
        <v>3459</v>
      </c>
      <c r="L7" s="1" t="s">
        <v>3460</v>
      </c>
      <c r="M7" s="1" t="s">
        <v>3461</v>
      </c>
      <c r="N7" s="19" t="s">
        <v>47</v>
      </c>
      <c r="O7" s="2" t="s">
        <v>935</v>
      </c>
      <c r="P7" s="12">
        <v>46017</v>
      </c>
    </row>
    <row r="8" spans="1:22" ht="120" hidden="1">
      <c r="A8" s="1">
        <v>7</v>
      </c>
      <c r="B8" s="1" t="s">
        <v>3462</v>
      </c>
      <c r="C8" s="1"/>
      <c r="D8" s="1"/>
      <c r="E8" s="1" t="s">
        <v>30</v>
      </c>
      <c r="F8" s="1" t="s">
        <v>22</v>
      </c>
      <c r="G8" s="1" t="s">
        <v>3432</v>
      </c>
      <c r="H8" s="5" t="s">
        <v>3595</v>
      </c>
      <c r="I8" s="1" t="s">
        <v>933</v>
      </c>
      <c r="J8" s="1" t="s">
        <v>3463</v>
      </c>
      <c r="K8" s="1" t="s">
        <v>3464</v>
      </c>
      <c r="L8" s="5" t="s">
        <v>3465</v>
      </c>
      <c r="M8" s="5" t="s">
        <v>3466</v>
      </c>
      <c r="N8" s="3" t="s">
        <v>24</v>
      </c>
      <c r="O8" s="2" t="s">
        <v>935</v>
      </c>
      <c r="P8" s="12">
        <v>46017</v>
      </c>
    </row>
    <row r="9" spans="1:22" ht="135">
      <c r="A9" s="1">
        <v>8</v>
      </c>
      <c r="B9" s="1" t="s">
        <v>3467</v>
      </c>
      <c r="C9" s="23" t="s">
        <v>3680</v>
      </c>
      <c r="D9" s="36">
        <v>46020</v>
      </c>
      <c r="E9" s="1" t="s">
        <v>30</v>
      </c>
      <c r="F9" s="1" t="s">
        <v>22</v>
      </c>
      <c r="G9" s="1" t="s">
        <v>3432</v>
      </c>
      <c r="H9" s="1" t="s">
        <v>3596</v>
      </c>
      <c r="I9" s="1" t="s">
        <v>933</v>
      </c>
      <c r="J9" s="1" t="s">
        <v>3468</v>
      </c>
      <c r="K9" s="1" t="s">
        <v>3469</v>
      </c>
      <c r="L9" s="1" t="s">
        <v>3470</v>
      </c>
      <c r="M9" s="1" t="s">
        <v>6149</v>
      </c>
      <c r="N9" s="19" t="s">
        <v>47</v>
      </c>
      <c r="O9" s="2" t="s">
        <v>935</v>
      </c>
      <c r="P9" s="12">
        <v>46017</v>
      </c>
      <c r="Q9" s="40" t="s">
        <v>3159</v>
      </c>
    </row>
    <row r="10" spans="1:22" ht="105" hidden="1">
      <c r="A10" s="1">
        <v>9</v>
      </c>
      <c r="B10" s="1" t="s">
        <v>3471</v>
      </c>
      <c r="C10" s="1"/>
      <c r="D10" s="1"/>
      <c r="E10" s="1" t="s">
        <v>30</v>
      </c>
      <c r="F10" s="1" t="s">
        <v>22</v>
      </c>
      <c r="G10" s="1" t="s">
        <v>3432</v>
      </c>
      <c r="H10" s="1" t="s">
        <v>3597</v>
      </c>
      <c r="I10" s="1" t="s">
        <v>933</v>
      </c>
      <c r="J10" s="1" t="s">
        <v>3472</v>
      </c>
      <c r="K10" s="1" t="s">
        <v>2633</v>
      </c>
      <c r="L10" s="1" t="s">
        <v>3473</v>
      </c>
      <c r="M10" s="1" t="s">
        <v>3474</v>
      </c>
      <c r="N10" s="3" t="s">
        <v>24</v>
      </c>
      <c r="O10" s="2" t="s">
        <v>935</v>
      </c>
      <c r="P10" s="12">
        <v>46017</v>
      </c>
    </row>
    <row r="11" spans="1:22" ht="105" hidden="1">
      <c r="A11" s="1">
        <v>10</v>
      </c>
      <c r="B11" s="1" t="s">
        <v>3475</v>
      </c>
      <c r="C11" s="1"/>
      <c r="D11" s="1"/>
      <c r="E11" s="1" t="s">
        <v>30</v>
      </c>
      <c r="F11" s="1" t="s">
        <v>22</v>
      </c>
      <c r="G11" s="1" t="s">
        <v>3432</v>
      </c>
      <c r="H11" s="1" t="s">
        <v>3598</v>
      </c>
      <c r="I11" s="1" t="s">
        <v>933</v>
      </c>
      <c r="J11" s="1" t="s">
        <v>3476</v>
      </c>
      <c r="K11" s="1" t="s">
        <v>3477</v>
      </c>
      <c r="L11" s="1" t="s">
        <v>3478</v>
      </c>
      <c r="M11" s="1" t="s">
        <v>3479</v>
      </c>
      <c r="N11" s="3" t="s">
        <v>24</v>
      </c>
      <c r="O11" s="2" t="s">
        <v>935</v>
      </c>
      <c r="P11" s="12">
        <v>46017</v>
      </c>
    </row>
    <row r="12" spans="1:22" ht="120" hidden="1">
      <c r="A12" s="1">
        <v>11</v>
      </c>
      <c r="B12" s="1" t="s">
        <v>3480</v>
      </c>
      <c r="C12" s="1"/>
      <c r="D12" s="1"/>
      <c r="E12" s="1" t="s">
        <v>30</v>
      </c>
      <c r="F12" s="1" t="s">
        <v>22</v>
      </c>
      <c r="G12" s="1" t="s">
        <v>3432</v>
      </c>
      <c r="H12" s="5" t="s">
        <v>3599</v>
      </c>
      <c r="I12" s="1" t="s">
        <v>933</v>
      </c>
      <c r="J12" s="1" t="s">
        <v>3481</v>
      </c>
      <c r="K12" s="1" t="s">
        <v>3482</v>
      </c>
      <c r="L12" s="5" t="s">
        <v>3483</v>
      </c>
      <c r="M12" s="5" t="s">
        <v>3484</v>
      </c>
      <c r="N12" s="3" t="s">
        <v>24</v>
      </c>
      <c r="O12" s="2" t="s">
        <v>935</v>
      </c>
      <c r="P12" s="12">
        <v>46017</v>
      </c>
    </row>
    <row r="13" spans="1:22" ht="90">
      <c r="A13" s="1">
        <v>12</v>
      </c>
      <c r="B13" s="1" t="s">
        <v>3485</v>
      </c>
      <c r="C13" s="1"/>
      <c r="D13" s="1"/>
      <c r="E13" s="1" t="s">
        <v>30</v>
      </c>
      <c r="F13" s="1" t="s">
        <v>22</v>
      </c>
      <c r="G13" s="1" t="s">
        <v>3432</v>
      </c>
      <c r="H13" s="5" t="s">
        <v>3600</v>
      </c>
      <c r="I13" s="1" t="s">
        <v>933</v>
      </c>
      <c r="J13" s="1" t="s">
        <v>3486</v>
      </c>
      <c r="K13" s="1" t="s">
        <v>3487</v>
      </c>
      <c r="L13" s="1" t="s">
        <v>6150</v>
      </c>
      <c r="M13" s="1" t="s">
        <v>6151</v>
      </c>
      <c r="N13" s="20" t="s">
        <v>333</v>
      </c>
      <c r="O13" s="2" t="s">
        <v>935</v>
      </c>
      <c r="P13" s="12">
        <v>46017</v>
      </c>
    </row>
    <row r="14" spans="1:22" ht="150">
      <c r="A14" s="1">
        <v>13</v>
      </c>
      <c r="B14" s="1" t="s">
        <v>3488</v>
      </c>
      <c r="C14" s="23" t="s">
        <v>3897</v>
      </c>
      <c r="D14" s="36">
        <v>46023</v>
      </c>
      <c r="E14" s="1" t="s">
        <v>30</v>
      </c>
      <c r="F14" s="1" t="s">
        <v>22</v>
      </c>
      <c r="G14" s="1" t="s">
        <v>3432</v>
      </c>
      <c r="H14" s="5" t="s">
        <v>3601</v>
      </c>
      <c r="I14" s="1" t="s">
        <v>933</v>
      </c>
      <c r="J14" s="1" t="s">
        <v>3489</v>
      </c>
      <c r="K14" s="1" t="s">
        <v>3490</v>
      </c>
      <c r="L14" s="1" t="s">
        <v>3491</v>
      </c>
      <c r="M14" s="1" t="s">
        <v>3492</v>
      </c>
      <c r="N14" s="19" t="s">
        <v>47</v>
      </c>
      <c r="O14" s="2" t="s">
        <v>935</v>
      </c>
      <c r="P14" s="12">
        <v>46017</v>
      </c>
    </row>
    <row r="15" spans="1:22" ht="105" hidden="1">
      <c r="A15" s="1">
        <v>14</v>
      </c>
      <c r="B15" s="1" t="s">
        <v>3493</v>
      </c>
      <c r="C15" s="1"/>
      <c r="D15" s="1"/>
      <c r="E15" s="1" t="s">
        <v>30</v>
      </c>
      <c r="F15" s="1" t="s">
        <v>22</v>
      </c>
      <c r="G15" s="1" t="s">
        <v>3432</v>
      </c>
      <c r="H15" s="1" t="s">
        <v>3602</v>
      </c>
      <c r="I15" s="1" t="s">
        <v>933</v>
      </c>
      <c r="J15" s="1" t="s">
        <v>3494</v>
      </c>
      <c r="K15" s="1" t="s">
        <v>3495</v>
      </c>
      <c r="L15" s="1" t="s">
        <v>3496</v>
      </c>
      <c r="M15" s="1" t="s">
        <v>3497</v>
      </c>
      <c r="N15" s="3" t="s">
        <v>24</v>
      </c>
      <c r="O15" s="2" t="s">
        <v>935</v>
      </c>
      <c r="P15" s="12">
        <v>46017</v>
      </c>
    </row>
    <row r="16" spans="1:22" ht="120" hidden="1">
      <c r="A16" s="1">
        <v>15</v>
      </c>
      <c r="B16" s="1" t="s">
        <v>3498</v>
      </c>
      <c r="C16" s="1"/>
      <c r="D16" s="1"/>
      <c r="E16" s="1" t="s">
        <v>30</v>
      </c>
      <c r="F16" s="1" t="s">
        <v>22</v>
      </c>
      <c r="G16" s="1" t="s">
        <v>3432</v>
      </c>
      <c r="H16" s="5" t="s">
        <v>3603</v>
      </c>
      <c r="I16" s="1" t="s">
        <v>933</v>
      </c>
      <c r="J16" s="1" t="s">
        <v>3499</v>
      </c>
      <c r="K16" s="1" t="s">
        <v>3500</v>
      </c>
      <c r="L16" s="5" t="s">
        <v>3501</v>
      </c>
      <c r="M16" s="5" t="s">
        <v>3502</v>
      </c>
      <c r="N16" s="3" t="s">
        <v>24</v>
      </c>
      <c r="O16" s="2" t="s">
        <v>935</v>
      </c>
      <c r="P16" s="12">
        <v>46017</v>
      </c>
    </row>
    <row r="17" spans="1:17" ht="150">
      <c r="A17" s="1">
        <v>16</v>
      </c>
      <c r="B17" s="1" t="s">
        <v>3503</v>
      </c>
      <c r="C17" s="23" t="s">
        <v>3681</v>
      </c>
      <c r="D17" s="36">
        <v>46020</v>
      </c>
      <c r="E17" s="1" t="s">
        <v>30</v>
      </c>
      <c r="F17" s="1" t="s">
        <v>22</v>
      </c>
      <c r="G17" s="1" t="s">
        <v>3432</v>
      </c>
      <c r="H17" s="1" t="s">
        <v>3604</v>
      </c>
      <c r="I17" s="1" t="s">
        <v>933</v>
      </c>
      <c r="J17" s="1" t="s">
        <v>3504</v>
      </c>
      <c r="K17" s="1" t="s">
        <v>3505</v>
      </c>
      <c r="L17" s="1" t="s">
        <v>3506</v>
      </c>
      <c r="M17" s="1" t="s">
        <v>3507</v>
      </c>
      <c r="N17" s="19" t="s">
        <v>47</v>
      </c>
      <c r="O17" s="2" t="s">
        <v>935</v>
      </c>
      <c r="P17" s="12">
        <v>46017</v>
      </c>
      <c r="Q17" s="40" t="s">
        <v>3159</v>
      </c>
    </row>
    <row r="18" spans="1:17" ht="120" hidden="1">
      <c r="A18" s="1">
        <v>17</v>
      </c>
      <c r="B18" s="1" t="s">
        <v>3508</v>
      </c>
      <c r="C18" s="1"/>
      <c r="D18" s="1"/>
      <c r="E18" s="1" t="s">
        <v>30</v>
      </c>
      <c r="F18" s="1" t="s">
        <v>22</v>
      </c>
      <c r="G18" s="1" t="s">
        <v>3432</v>
      </c>
      <c r="H18" s="5" t="s">
        <v>3605</v>
      </c>
      <c r="I18" s="1" t="s">
        <v>933</v>
      </c>
      <c r="J18" s="1" t="s">
        <v>3509</v>
      </c>
      <c r="K18" s="1" t="s">
        <v>3510</v>
      </c>
      <c r="L18" s="5" t="s">
        <v>3511</v>
      </c>
      <c r="M18" s="5" t="s">
        <v>3512</v>
      </c>
      <c r="N18" s="3" t="s">
        <v>24</v>
      </c>
      <c r="O18" s="2" t="s">
        <v>935</v>
      </c>
      <c r="P18" s="12">
        <v>46017</v>
      </c>
    </row>
    <row r="19" spans="1:17" ht="105" hidden="1">
      <c r="A19" s="1">
        <v>18</v>
      </c>
      <c r="B19" s="1" t="s">
        <v>3513</v>
      </c>
      <c r="C19" s="1"/>
      <c r="D19" s="1"/>
      <c r="E19" s="1" t="s">
        <v>30</v>
      </c>
      <c r="F19" s="1" t="s">
        <v>22</v>
      </c>
      <c r="G19" s="1" t="s">
        <v>3432</v>
      </c>
      <c r="H19" s="1" t="s">
        <v>3606</v>
      </c>
      <c r="I19" s="1" t="s">
        <v>933</v>
      </c>
      <c r="J19" s="1" t="s">
        <v>3514</v>
      </c>
      <c r="K19" s="1" t="s">
        <v>3515</v>
      </c>
      <c r="L19" s="1" t="s">
        <v>3286</v>
      </c>
      <c r="M19" s="1" t="s">
        <v>3287</v>
      </c>
      <c r="N19" s="3" t="s">
        <v>24</v>
      </c>
      <c r="O19" s="2" t="s">
        <v>935</v>
      </c>
      <c r="P19" s="12">
        <v>46017</v>
      </c>
    </row>
    <row r="20" spans="1:17" ht="120" hidden="1">
      <c r="A20" s="1">
        <v>19</v>
      </c>
      <c r="B20" s="1" t="s">
        <v>3516</v>
      </c>
      <c r="C20" s="1"/>
      <c r="D20" s="1"/>
      <c r="E20" s="1" t="s">
        <v>30</v>
      </c>
      <c r="F20" s="1" t="s">
        <v>22</v>
      </c>
      <c r="G20" s="1" t="s">
        <v>3432</v>
      </c>
      <c r="H20" s="5" t="s">
        <v>3607</v>
      </c>
      <c r="I20" s="1" t="s">
        <v>933</v>
      </c>
      <c r="J20" s="1" t="s">
        <v>3517</v>
      </c>
      <c r="K20" s="1" t="s">
        <v>3518</v>
      </c>
      <c r="L20" s="5" t="s">
        <v>3519</v>
      </c>
      <c r="M20" s="5" t="s">
        <v>3520</v>
      </c>
      <c r="N20" s="3" t="s">
        <v>24</v>
      </c>
      <c r="O20" s="2" t="s">
        <v>935</v>
      </c>
      <c r="P20" s="12">
        <v>46017</v>
      </c>
    </row>
    <row r="21" spans="1:17" ht="120">
      <c r="A21" s="1">
        <v>20</v>
      </c>
      <c r="B21" s="1" t="s">
        <v>3521</v>
      </c>
      <c r="C21" s="23" t="s">
        <v>3887</v>
      </c>
      <c r="D21" s="36">
        <v>46023</v>
      </c>
      <c r="E21" s="1" t="s">
        <v>30</v>
      </c>
      <c r="F21" s="1" t="s">
        <v>22</v>
      </c>
      <c r="G21" s="1" t="s">
        <v>3432</v>
      </c>
      <c r="H21" s="1" t="s">
        <v>3608</v>
      </c>
      <c r="I21" s="1" t="s">
        <v>933</v>
      </c>
      <c r="J21" s="1" t="s">
        <v>3522</v>
      </c>
      <c r="K21" s="1" t="s">
        <v>3523</v>
      </c>
      <c r="L21" s="1" t="s">
        <v>3524</v>
      </c>
      <c r="M21" s="1" t="s">
        <v>3525</v>
      </c>
      <c r="N21" s="19" t="s">
        <v>47</v>
      </c>
      <c r="O21" s="2" t="s">
        <v>935</v>
      </c>
      <c r="P21" s="12">
        <v>46017</v>
      </c>
    </row>
    <row r="22" spans="1:17" ht="120" hidden="1">
      <c r="A22" s="1">
        <v>21</v>
      </c>
      <c r="B22" s="1" t="s">
        <v>3526</v>
      </c>
      <c r="C22" s="1"/>
      <c r="D22" s="1"/>
      <c r="E22" s="1" t="s">
        <v>30</v>
      </c>
      <c r="F22" s="1" t="s">
        <v>22</v>
      </c>
      <c r="G22" s="1" t="s">
        <v>3432</v>
      </c>
      <c r="H22" s="5" t="s">
        <v>3609</v>
      </c>
      <c r="I22" s="1" t="s">
        <v>933</v>
      </c>
      <c r="J22" s="1" t="s">
        <v>3527</v>
      </c>
      <c r="K22" s="1" t="s">
        <v>3528</v>
      </c>
      <c r="L22" s="5" t="s">
        <v>3529</v>
      </c>
      <c r="M22" s="5" t="s">
        <v>3530</v>
      </c>
      <c r="N22" s="3" t="s">
        <v>24</v>
      </c>
      <c r="O22" s="2" t="s">
        <v>935</v>
      </c>
      <c r="P22" s="12">
        <v>46017</v>
      </c>
    </row>
    <row r="23" spans="1:17" ht="105" hidden="1">
      <c r="A23" s="1">
        <v>22</v>
      </c>
      <c r="B23" s="1" t="s">
        <v>3531</v>
      </c>
      <c r="C23" s="1"/>
      <c r="D23" s="1"/>
      <c r="E23" s="1" t="s">
        <v>30</v>
      </c>
      <c r="F23" s="1" t="s">
        <v>22</v>
      </c>
      <c r="G23" s="1" t="s">
        <v>3432</v>
      </c>
      <c r="H23" s="5" t="s">
        <v>3611</v>
      </c>
      <c r="I23" s="1" t="s">
        <v>933</v>
      </c>
      <c r="J23" s="1" t="s">
        <v>3534</v>
      </c>
      <c r="K23" s="1" t="s">
        <v>255</v>
      </c>
      <c r="L23" s="14" t="s">
        <v>3532</v>
      </c>
      <c r="M23" s="14" t="s">
        <v>3533</v>
      </c>
      <c r="N23" s="3" t="s">
        <v>24</v>
      </c>
      <c r="O23" s="2" t="s">
        <v>935</v>
      </c>
      <c r="P23" s="12">
        <v>46017</v>
      </c>
    </row>
    <row r="24" spans="1:17" ht="120" hidden="1">
      <c r="A24" s="1">
        <v>23</v>
      </c>
      <c r="B24" s="1" t="s">
        <v>3535</v>
      </c>
      <c r="C24" s="1"/>
      <c r="D24" s="1"/>
      <c r="E24" s="1" t="s">
        <v>30</v>
      </c>
      <c r="F24" s="1" t="s">
        <v>22</v>
      </c>
      <c r="G24" s="1" t="s">
        <v>3432</v>
      </c>
      <c r="H24" s="5" t="s">
        <v>3610</v>
      </c>
      <c r="I24" s="1" t="s">
        <v>933</v>
      </c>
      <c r="J24" s="1" t="s">
        <v>3536</v>
      </c>
      <c r="K24" s="1" t="s">
        <v>3537</v>
      </c>
      <c r="L24" s="5" t="s">
        <v>3538</v>
      </c>
      <c r="M24" s="5" t="s">
        <v>3539</v>
      </c>
      <c r="N24" s="3" t="s">
        <v>24</v>
      </c>
      <c r="O24" s="2" t="s">
        <v>935</v>
      </c>
      <c r="P24" s="12">
        <v>46017</v>
      </c>
    </row>
    <row r="25" spans="1:17" ht="165">
      <c r="A25" s="1">
        <v>24</v>
      </c>
      <c r="B25" s="1" t="s">
        <v>3540</v>
      </c>
      <c r="C25" s="23" t="s">
        <v>6154</v>
      </c>
      <c r="D25" s="36">
        <v>46086</v>
      </c>
      <c r="E25" s="1" t="s">
        <v>30</v>
      </c>
      <c r="F25" s="1" t="s">
        <v>22</v>
      </c>
      <c r="G25" s="1" t="s">
        <v>3432</v>
      </c>
      <c r="H25" s="5" t="s">
        <v>3612</v>
      </c>
      <c r="I25" s="1" t="s">
        <v>933</v>
      </c>
      <c r="J25" s="1" t="s">
        <v>3541</v>
      </c>
      <c r="K25" s="1" t="s">
        <v>3542</v>
      </c>
      <c r="L25" s="1" t="s">
        <v>6152</v>
      </c>
      <c r="M25" s="130" t="s">
        <v>6153</v>
      </c>
      <c r="N25" s="19" t="s">
        <v>47</v>
      </c>
      <c r="O25" s="2" t="s">
        <v>935</v>
      </c>
      <c r="P25" s="12">
        <v>46017</v>
      </c>
    </row>
    <row r="26" spans="1:17" ht="105" hidden="1">
      <c r="A26" s="1">
        <v>25</v>
      </c>
      <c r="B26" s="1" t="s">
        <v>3543</v>
      </c>
      <c r="C26" s="1"/>
      <c r="D26" s="1"/>
      <c r="E26" s="1" t="s">
        <v>30</v>
      </c>
      <c r="F26" s="1" t="s">
        <v>22</v>
      </c>
      <c r="G26" s="1" t="s">
        <v>3432</v>
      </c>
      <c r="H26" s="1" t="s">
        <v>3613</v>
      </c>
      <c r="I26" s="1" t="s">
        <v>933</v>
      </c>
      <c r="J26" s="1" t="s">
        <v>3544</v>
      </c>
      <c r="K26" s="1" t="s">
        <v>3545</v>
      </c>
      <c r="L26" s="1" t="s">
        <v>3546</v>
      </c>
      <c r="M26" s="1" t="s">
        <v>3547</v>
      </c>
      <c r="N26" s="3" t="s">
        <v>24</v>
      </c>
      <c r="O26" s="2" t="s">
        <v>935</v>
      </c>
      <c r="P26" s="12">
        <v>46017</v>
      </c>
    </row>
    <row r="27" spans="1:17" ht="150">
      <c r="A27" s="1">
        <v>26</v>
      </c>
      <c r="B27" s="1" t="s">
        <v>3548</v>
      </c>
      <c r="C27" s="23" t="s">
        <v>3899</v>
      </c>
      <c r="D27" s="36">
        <v>46023</v>
      </c>
      <c r="E27" s="1" t="s">
        <v>30</v>
      </c>
      <c r="F27" s="1" t="s">
        <v>22</v>
      </c>
      <c r="G27" s="1" t="s">
        <v>3432</v>
      </c>
      <c r="H27" s="5" t="s">
        <v>3614</v>
      </c>
      <c r="I27" s="1" t="s">
        <v>933</v>
      </c>
      <c r="J27" s="1" t="s">
        <v>3549</v>
      </c>
      <c r="K27" s="1" t="s">
        <v>3550</v>
      </c>
      <c r="L27" s="1" t="s">
        <v>3551</v>
      </c>
      <c r="M27" s="1" t="s">
        <v>3552</v>
      </c>
      <c r="N27" s="19" t="s">
        <v>47</v>
      </c>
      <c r="O27" s="2" t="s">
        <v>935</v>
      </c>
      <c r="P27" s="12">
        <v>46017</v>
      </c>
    </row>
    <row r="28" spans="1:17" ht="135" hidden="1">
      <c r="A28" s="1">
        <v>27</v>
      </c>
      <c r="B28" s="1" t="s">
        <v>3553</v>
      </c>
      <c r="C28" s="1"/>
      <c r="D28" s="1"/>
      <c r="E28" s="1" t="s">
        <v>30</v>
      </c>
      <c r="F28" s="1" t="s">
        <v>22</v>
      </c>
      <c r="G28" s="1" t="s">
        <v>3432</v>
      </c>
      <c r="H28" s="5" t="s">
        <v>3615</v>
      </c>
      <c r="I28" s="1" t="s">
        <v>933</v>
      </c>
      <c r="J28" s="1" t="s">
        <v>3554</v>
      </c>
      <c r="K28" s="1" t="s">
        <v>3555</v>
      </c>
      <c r="L28" s="1" t="s">
        <v>3556</v>
      </c>
      <c r="M28" s="1" t="s">
        <v>3557</v>
      </c>
      <c r="N28" s="3" t="s">
        <v>274</v>
      </c>
      <c r="O28" s="2" t="s">
        <v>935</v>
      </c>
      <c r="P28" s="12">
        <v>46017</v>
      </c>
    </row>
    <row r="29" spans="1:17" ht="120">
      <c r="A29" s="1">
        <v>28</v>
      </c>
      <c r="B29" s="1" t="s">
        <v>3558</v>
      </c>
      <c r="C29" s="23" t="s">
        <v>3888</v>
      </c>
      <c r="D29" s="36">
        <v>46023</v>
      </c>
      <c r="E29" s="1" t="s">
        <v>30</v>
      </c>
      <c r="F29" s="1" t="s">
        <v>22</v>
      </c>
      <c r="G29" s="1" t="s">
        <v>3432</v>
      </c>
      <c r="H29" s="1" t="s">
        <v>3616</v>
      </c>
      <c r="I29" s="1" t="s">
        <v>933</v>
      </c>
      <c r="J29" s="1" t="s">
        <v>3559</v>
      </c>
      <c r="K29" s="1" t="s">
        <v>3560</v>
      </c>
      <c r="L29" s="1" t="s">
        <v>3561</v>
      </c>
      <c r="M29" s="1" t="s">
        <v>3562</v>
      </c>
      <c r="N29" s="19" t="s">
        <v>47</v>
      </c>
      <c r="O29" s="2" t="s">
        <v>935</v>
      </c>
      <c r="P29" s="12">
        <v>46017</v>
      </c>
    </row>
    <row r="30" spans="1:17" ht="150" hidden="1">
      <c r="A30" s="1">
        <v>29</v>
      </c>
      <c r="B30" s="1" t="s">
        <v>3563</v>
      </c>
      <c r="C30" s="1"/>
      <c r="D30" s="1"/>
      <c r="E30" s="1" t="s">
        <v>30</v>
      </c>
      <c r="F30" s="1" t="s">
        <v>22</v>
      </c>
      <c r="G30" s="1" t="s">
        <v>3432</v>
      </c>
      <c r="H30" s="5" t="s">
        <v>3617</v>
      </c>
      <c r="I30" s="1" t="s">
        <v>933</v>
      </c>
      <c r="J30" s="1" t="s">
        <v>3564</v>
      </c>
      <c r="K30" s="1" t="s">
        <v>3565</v>
      </c>
      <c r="L30" s="1" t="s">
        <v>3566</v>
      </c>
      <c r="M30" s="1" t="s">
        <v>3567</v>
      </c>
      <c r="N30" s="3" t="s">
        <v>274</v>
      </c>
      <c r="O30" s="2" t="s">
        <v>935</v>
      </c>
      <c r="P30" s="12">
        <v>46017</v>
      </c>
    </row>
    <row r="31" spans="1:17" ht="120" hidden="1">
      <c r="A31" s="1">
        <v>30</v>
      </c>
      <c r="B31" s="1" t="s">
        <v>3568</v>
      </c>
      <c r="C31" s="1"/>
      <c r="D31" s="1"/>
      <c r="E31" s="1" t="s">
        <v>30</v>
      </c>
      <c r="F31" s="1" t="s">
        <v>22</v>
      </c>
      <c r="G31" s="1" t="s">
        <v>3432</v>
      </c>
      <c r="H31" s="5" t="s">
        <v>3618</v>
      </c>
      <c r="I31" s="1" t="s">
        <v>933</v>
      </c>
      <c r="J31" s="1" t="s">
        <v>3569</v>
      </c>
      <c r="K31" s="1" t="s">
        <v>3570</v>
      </c>
      <c r="L31" s="5" t="s">
        <v>3571</v>
      </c>
      <c r="M31" s="5" t="s">
        <v>3572</v>
      </c>
      <c r="N31" s="3" t="s">
        <v>24</v>
      </c>
      <c r="O31" s="2" t="s">
        <v>935</v>
      </c>
      <c r="P31" s="12">
        <v>46017</v>
      </c>
    </row>
    <row r="32" spans="1:17" ht="120" hidden="1">
      <c r="A32" s="1">
        <v>31</v>
      </c>
      <c r="B32" s="1" t="s">
        <v>3573</v>
      </c>
      <c r="C32" s="1"/>
      <c r="D32" s="1"/>
      <c r="E32" s="1" t="s">
        <v>30</v>
      </c>
      <c r="F32" s="1" t="s">
        <v>22</v>
      </c>
      <c r="G32" s="1" t="s">
        <v>3432</v>
      </c>
      <c r="H32" s="5" t="s">
        <v>3619</v>
      </c>
      <c r="I32" s="1" t="s">
        <v>933</v>
      </c>
      <c r="J32" s="1" t="s">
        <v>3574</v>
      </c>
      <c r="K32" s="1" t="s">
        <v>3575</v>
      </c>
      <c r="L32" s="5" t="s">
        <v>3576</v>
      </c>
      <c r="M32" s="5" t="s">
        <v>3577</v>
      </c>
      <c r="N32" s="3" t="s">
        <v>24</v>
      </c>
      <c r="O32" s="2" t="s">
        <v>935</v>
      </c>
      <c r="P32" s="12">
        <v>46017</v>
      </c>
    </row>
    <row r="33" spans="1:16" ht="150">
      <c r="A33" s="1">
        <v>32</v>
      </c>
      <c r="B33" s="1" t="s">
        <v>3578</v>
      </c>
      <c r="C33" s="23" t="s">
        <v>6156</v>
      </c>
      <c r="D33" s="36">
        <v>46086</v>
      </c>
      <c r="E33" s="1" t="s">
        <v>30</v>
      </c>
      <c r="F33" s="1" t="s">
        <v>22</v>
      </c>
      <c r="G33" s="1" t="s">
        <v>3432</v>
      </c>
      <c r="H33" s="5" t="s">
        <v>3620</v>
      </c>
      <c r="I33" s="1" t="s">
        <v>933</v>
      </c>
      <c r="J33" s="1" t="s">
        <v>3579</v>
      </c>
      <c r="K33" s="1" t="s">
        <v>3580</v>
      </c>
      <c r="L33" s="1" t="s">
        <v>3581</v>
      </c>
      <c r="M33" s="92" t="s">
        <v>6155</v>
      </c>
      <c r="N33" s="19" t="s">
        <v>47</v>
      </c>
      <c r="O33" s="2" t="s">
        <v>935</v>
      </c>
      <c r="P33" s="12">
        <v>46017</v>
      </c>
    </row>
    <row r="34" spans="1:16" ht="90" hidden="1">
      <c r="A34" s="1">
        <v>33</v>
      </c>
      <c r="B34" s="1" t="s">
        <v>3582</v>
      </c>
      <c r="C34" s="1"/>
      <c r="D34" s="1"/>
      <c r="E34" s="1" t="s">
        <v>30</v>
      </c>
      <c r="F34" s="1" t="s">
        <v>22</v>
      </c>
      <c r="G34" s="1" t="s">
        <v>3432</v>
      </c>
      <c r="H34" s="5" t="s">
        <v>3621</v>
      </c>
      <c r="I34" s="1" t="s">
        <v>933</v>
      </c>
      <c r="J34" s="1" t="s">
        <v>3434</v>
      </c>
      <c r="K34" s="14" t="s">
        <v>255</v>
      </c>
      <c r="L34" s="14" t="s">
        <v>3440</v>
      </c>
      <c r="M34" s="14" t="s">
        <v>3441</v>
      </c>
      <c r="N34" s="3" t="s">
        <v>24</v>
      </c>
      <c r="O34" s="2" t="s">
        <v>935</v>
      </c>
      <c r="P34" s="12">
        <v>46017</v>
      </c>
    </row>
    <row r="35" spans="1:16" ht="150" hidden="1">
      <c r="A35" s="1">
        <v>34</v>
      </c>
      <c r="B35" s="1" t="s">
        <v>3583</v>
      </c>
      <c r="C35" s="1"/>
      <c r="D35" s="1"/>
      <c r="E35" s="1" t="s">
        <v>30</v>
      </c>
      <c r="F35" s="1" t="s">
        <v>22</v>
      </c>
      <c r="G35" s="1" t="s">
        <v>3432</v>
      </c>
      <c r="H35" s="5" t="s">
        <v>3594</v>
      </c>
      <c r="I35" s="1" t="s">
        <v>933</v>
      </c>
      <c r="J35" s="1" t="s">
        <v>3584</v>
      </c>
      <c r="K35" s="1" t="s">
        <v>3585</v>
      </c>
      <c r="L35" s="1" t="s">
        <v>3586</v>
      </c>
      <c r="M35" s="1" t="s">
        <v>3587</v>
      </c>
      <c r="N35" s="3" t="s">
        <v>274</v>
      </c>
      <c r="O35" s="2" t="s">
        <v>935</v>
      </c>
      <c r="P35" s="12">
        <v>46017</v>
      </c>
    </row>
    <row r="36" spans="1:16" ht="270" hidden="1">
      <c r="A36" s="1">
        <v>35</v>
      </c>
      <c r="B36" s="1" t="s">
        <v>3593</v>
      </c>
      <c r="C36" s="1"/>
      <c r="D36" s="1"/>
      <c r="E36" s="1" t="s">
        <v>30</v>
      </c>
      <c r="F36" s="1" t="s">
        <v>22</v>
      </c>
      <c r="G36" s="1" t="s">
        <v>3432</v>
      </c>
      <c r="H36" s="5" t="s">
        <v>3622</v>
      </c>
      <c r="I36" s="1" t="s">
        <v>933</v>
      </c>
      <c r="J36" s="1" t="s">
        <v>3623</v>
      </c>
      <c r="K36" s="10" t="s">
        <v>3624</v>
      </c>
      <c r="L36" s="14" t="s">
        <v>3625</v>
      </c>
      <c r="M36" s="14" t="s">
        <v>3626</v>
      </c>
      <c r="N36" s="3" t="s">
        <v>24</v>
      </c>
      <c r="O36" s="2" t="s">
        <v>935</v>
      </c>
      <c r="P36" s="12">
        <v>46017</v>
      </c>
    </row>
    <row r="37" spans="1:16" ht="270" hidden="1">
      <c r="A37" s="1">
        <v>36</v>
      </c>
      <c r="B37" s="1" t="s">
        <v>3682</v>
      </c>
      <c r="C37" s="1"/>
      <c r="D37" s="1"/>
      <c r="E37" s="1" t="s">
        <v>30</v>
      </c>
      <c r="F37" s="1" t="s">
        <v>22</v>
      </c>
      <c r="G37" s="1" t="s">
        <v>3432</v>
      </c>
      <c r="H37" s="5" t="s">
        <v>3683</v>
      </c>
      <c r="I37" s="1" t="s">
        <v>933</v>
      </c>
      <c r="J37" s="1" t="s">
        <v>3684</v>
      </c>
      <c r="K37" s="5" t="s">
        <v>3685</v>
      </c>
      <c r="L37" s="14" t="s">
        <v>3686</v>
      </c>
      <c r="M37" s="14" t="s">
        <v>3687</v>
      </c>
      <c r="N37" s="3" t="s">
        <v>24</v>
      </c>
      <c r="O37" s="2" t="s">
        <v>935</v>
      </c>
      <c r="P37" s="12">
        <v>46021</v>
      </c>
    </row>
    <row r="38" spans="1:16" ht="315" hidden="1">
      <c r="A38" s="1">
        <v>37</v>
      </c>
      <c r="B38" s="1" t="s">
        <v>3688</v>
      </c>
      <c r="C38" s="1"/>
      <c r="D38" s="1"/>
      <c r="E38" s="1" t="s">
        <v>30</v>
      </c>
      <c r="F38" s="1" t="s">
        <v>22</v>
      </c>
      <c r="G38" s="1" t="s">
        <v>3432</v>
      </c>
      <c r="H38" s="5" t="s">
        <v>3689</v>
      </c>
      <c r="I38" s="1" t="s">
        <v>933</v>
      </c>
      <c r="J38" s="1" t="s">
        <v>3690</v>
      </c>
      <c r="K38" s="5" t="s">
        <v>3691</v>
      </c>
      <c r="L38" s="14" t="s">
        <v>3692</v>
      </c>
      <c r="M38" s="14" t="s">
        <v>3693</v>
      </c>
      <c r="N38" s="3" t="s">
        <v>24</v>
      </c>
      <c r="O38" s="2" t="s">
        <v>935</v>
      </c>
      <c r="P38" s="12">
        <v>46021</v>
      </c>
    </row>
    <row r="39" spans="1:16" ht="195" hidden="1">
      <c r="A39" s="1">
        <v>38</v>
      </c>
      <c r="B39" s="1" t="s">
        <v>3694</v>
      </c>
      <c r="C39" s="1"/>
      <c r="D39" s="1"/>
      <c r="E39" s="1" t="s">
        <v>30</v>
      </c>
      <c r="F39" s="1" t="s">
        <v>22</v>
      </c>
      <c r="G39" s="1" t="s">
        <v>3432</v>
      </c>
      <c r="H39" s="5" t="s">
        <v>3755</v>
      </c>
      <c r="I39" s="1" t="s">
        <v>933</v>
      </c>
      <c r="J39" s="1" t="s">
        <v>3695</v>
      </c>
      <c r="K39" s="1" t="s">
        <v>3696</v>
      </c>
      <c r="L39" s="14" t="s">
        <v>3697</v>
      </c>
      <c r="M39" s="1" t="s">
        <v>3698</v>
      </c>
      <c r="N39" s="3" t="s">
        <v>24</v>
      </c>
      <c r="O39" s="2" t="s">
        <v>935</v>
      </c>
      <c r="P39" s="12">
        <v>46021</v>
      </c>
    </row>
    <row r="40" spans="1:16" ht="120" hidden="1">
      <c r="A40" s="1">
        <v>39</v>
      </c>
      <c r="B40" s="1" t="s">
        <v>3699</v>
      </c>
      <c r="C40" s="1"/>
      <c r="D40" s="1"/>
      <c r="E40" s="1" t="s">
        <v>30</v>
      </c>
      <c r="F40" s="1" t="s">
        <v>22</v>
      </c>
      <c r="G40" s="1" t="s">
        <v>3432</v>
      </c>
      <c r="H40" s="5" t="s">
        <v>3700</v>
      </c>
      <c r="I40" s="1" t="s">
        <v>933</v>
      </c>
      <c r="J40" s="1" t="s">
        <v>3701</v>
      </c>
      <c r="K40" s="1" t="s">
        <v>3702</v>
      </c>
      <c r="L40" s="5" t="s">
        <v>3703</v>
      </c>
      <c r="M40" s="5" t="s">
        <v>3704</v>
      </c>
      <c r="N40" s="3" t="s">
        <v>24</v>
      </c>
      <c r="O40" s="2" t="s">
        <v>935</v>
      </c>
      <c r="P40" s="12">
        <v>46021</v>
      </c>
    </row>
    <row r="41" spans="1:16" ht="120" hidden="1">
      <c r="A41" s="1">
        <v>40</v>
      </c>
      <c r="B41" s="1" t="s">
        <v>3705</v>
      </c>
      <c r="C41" s="1"/>
      <c r="D41" s="1"/>
      <c r="E41" s="1" t="s">
        <v>30</v>
      </c>
      <c r="F41" s="1" t="s">
        <v>22</v>
      </c>
      <c r="G41" s="1" t="s">
        <v>3432</v>
      </c>
      <c r="H41" s="5" t="s">
        <v>3706</v>
      </c>
      <c r="I41" s="1" t="s">
        <v>933</v>
      </c>
      <c r="J41" s="1" t="s">
        <v>3707</v>
      </c>
      <c r="K41" s="1" t="s">
        <v>3708</v>
      </c>
      <c r="L41" s="5" t="s">
        <v>3709</v>
      </c>
      <c r="M41" s="5" t="s">
        <v>3710</v>
      </c>
      <c r="N41" s="3" t="s">
        <v>24</v>
      </c>
      <c r="O41" s="2" t="s">
        <v>935</v>
      </c>
      <c r="P41" s="12">
        <v>46021</v>
      </c>
    </row>
    <row r="42" spans="1:16" ht="120">
      <c r="A42" s="1">
        <v>41</v>
      </c>
      <c r="B42" s="1" t="s">
        <v>3711</v>
      </c>
      <c r="C42" s="23" t="s">
        <v>3889</v>
      </c>
      <c r="D42" s="36">
        <v>46023</v>
      </c>
      <c r="E42" s="1" t="s">
        <v>30</v>
      </c>
      <c r="F42" s="1" t="s">
        <v>22</v>
      </c>
      <c r="G42" s="1" t="s">
        <v>3432</v>
      </c>
      <c r="H42" s="1" t="s">
        <v>3712</v>
      </c>
      <c r="I42" s="1" t="s">
        <v>933</v>
      </c>
      <c r="J42" s="1" t="s">
        <v>3713</v>
      </c>
      <c r="K42" s="1" t="s">
        <v>3714</v>
      </c>
      <c r="L42" s="1" t="s">
        <v>3524</v>
      </c>
      <c r="M42" s="1" t="s">
        <v>3715</v>
      </c>
      <c r="N42" s="19" t="s">
        <v>47</v>
      </c>
      <c r="O42" s="2" t="s">
        <v>935</v>
      </c>
      <c r="P42" s="12">
        <v>46021</v>
      </c>
    </row>
    <row r="43" spans="1:16" ht="165">
      <c r="A43" s="1">
        <v>42</v>
      </c>
      <c r="B43" s="1" t="s">
        <v>3716</v>
      </c>
      <c r="C43" s="23" t="s">
        <v>3890</v>
      </c>
      <c r="D43" s="36">
        <v>46023</v>
      </c>
      <c r="E43" s="1" t="s">
        <v>30</v>
      </c>
      <c r="F43" s="1" t="s">
        <v>22</v>
      </c>
      <c r="G43" s="1" t="s">
        <v>3432</v>
      </c>
      <c r="H43" s="1" t="s">
        <v>3717</v>
      </c>
      <c r="I43" s="1" t="s">
        <v>933</v>
      </c>
      <c r="J43" s="1" t="s">
        <v>3559</v>
      </c>
      <c r="K43" s="1" t="s">
        <v>3719</v>
      </c>
      <c r="L43" s="1" t="s">
        <v>3720</v>
      </c>
      <c r="M43" s="1" t="s">
        <v>3718</v>
      </c>
      <c r="N43" s="19" t="s">
        <v>47</v>
      </c>
      <c r="O43" s="2" t="s">
        <v>935</v>
      </c>
      <c r="P43" s="12">
        <v>46021</v>
      </c>
    </row>
    <row r="44" spans="1:16" ht="150">
      <c r="A44" s="1">
        <v>43</v>
      </c>
      <c r="B44" s="1" t="s">
        <v>3721</v>
      </c>
      <c r="C44" s="23" t="s">
        <v>3900</v>
      </c>
      <c r="D44" s="36">
        <v>46023</v>
      </c>
      <c r="E44" s="1" t="s">
        <v>30</v>
      </c>
      <c r="F44" s="1" t="s">
        <v>22</v>
      </c>
      <c r="G44" s="1" t="s">
        <v>3432</v>
      </c>
      <c r="H44" s="1" t="s">
        <v>3722</v>
      </c>
      <c r="I44" s="1" t="s">
        <v>933</v>
      </c>
      <c r="J44" s="1" t="s">
        <v>3723</v>
      </c>
      <c r="K44" s="1" t="s">
        <v>3373</v>
      </c>
      <c r="L44" s="1" t="s">
        <v>3724</v>
      </c>
      <c r="M44" s="1" t="s">
        <v>3725</v>
      </c>
      <c r="N44" s="19" t="s">
        <v>47</v>
      </c>
      <c r="O44" s="2" t="s">
        <v>935</v>
      </c>
      <c r="P44" s="12">
        <v>46021</v>
      </c>
    </row>
    <row r="45" spans="1:16" ht="150">
      <c r="A45" s="1">
        <v>44</v>
      </c>
      <c r="B45" s="1" t="s">
        <v>3726</v>
      </c>
      <c r="C45" s="23" t="s">
        <v>3901</v>
      </c>
      <c r="D45" s="36">
        <v>46023</v>
      </c>
      <c r="E45" s="1" t="s">
        <v>30</v>
      </c>
      <c r="F45" s="1" t="s">
        <v>22</v>
      </c>
      <c r="G45" s="1" t="s">
        <v>3432</v>
      </c>
      <c r="H45" s="1" t="s">
        <v>3727</v>
      </c>
      <c r="I45" s="1" t="s">
        <v>933</v>
      </c>
      <c r="J45" s="1" t="s">
        <v>3457</v>
      </c>
      <c r="K45" s="1" t="s">
        <v>3459</v>
      </c>
      <c r="L45" s="1" t="s">
        <v>3460</v>
      </c>
      <c r="M45" s="1" t="s">
        <v>3461</v>
      </c>
      <c r="N45" s="19" t="s">
        <v>47</v>
      </c>
      <c r="O45" s="2" t="s">
        <v>935</v>
      </c>
      <c r="P45" s="12">
        <v>46021</v>
      </c>
    </row>
    <row r="46" spans="1:16" ht="105" hidden="1">
      <c r="A46" s="1">
        <v>45</v>
      </c>
      <c r="B46" s="1" t="s">
        <v>3728</v>
      </c>
      <c r="C46" s="1"/>
      <c r="D46" s="1"/>
      <c r="E46" s="1" t="s">
        <v>30</v>
      </c>
      <c r="F46" s="1" t="s">
        <v>22</v>
      </c>
      <c r="G46" s="1" t="s">
        <v>3432</v>
      </c>
      <c r="H46" s="1" t="s">
        <v>3729</v>
      </c>
      <c r="I46" s="1" t="s">
        <v>933</v>
      </c>
      <c r="J46" s="1" t="s">
        <v>3476</v>
      </c>
      <c r="K46" s="1" t="s">
        <v>3730</v>
      </c>
      <c r="L46" s="1" t="s">
        <v>3478</v>
      </c>
      <c r="M46" s="1" t="s">
        <v>3479</v>
      </c>
      <c r="N46" s="3" t="s">
        <v>24</v>
      </c>
      <c r="O46" s="2" t="s">
        <v>935</v>
      </c>
      <c r="P46" s="12">
        <v>46021</v>
      </c>
    </row>
    <row r="47" spans="1:16" ht="105" hidden="1">
      <c r="A47" s="1">
        <v>46</v>
      </c>
      <c r="B47" s="1" t="s">
        <v>3731</v>
      </c>
      <c r="C47" s="1"/>
      <c r="D47" s="1"/>
      <c r="E47" s="1" t="s">
        <v>30</v>
      </c>
      <c r="F47" s="1" t="s">
        <v>22</v>
      </c>
      <c r="G47" s="1" t="s">
        <v>3432</v>
      </c>
      <c r="H47" s="1" t="s">
        <v>3732</v>
      </c>
      <c r="I47" s="1" t="s">
        <v>933</v>
      </c>
      <c r="J47" s="1" t="s">
        <v>3494</v>
      </c>
      <c r="K47" s="1" t="s">
        <v>3733</v>
      </c>
      <c r="L47" s="1" t="s">
        <v>3496</v>
      </c>
      <c r="M47" s="1" t="s">
        <v>3497</v>
      </c>
      <c r="N47" s="3" t="s">
        <v>24</v>
      </c>
      <c r="O47" s="2" t="s">
        <v>935</v>
      </c>
      <c r="P47" s="12">
        <v>46021</v>
      </c>
    </row>
    <row r="48" spans="1:16" ht="90" hidden="1">
      <c r="A48" s="1">
        <v>47</v>
      </c>
      <c r="B48" s="1" t="s">
        <v>3734</v>
      </c>
      <c r="C48" s="1"/>
      <c r="D48" s="1"/>
      <c r="E48" s="1" t="s">
        <v>30</v>
      </c>
      <c r="F48" s="1" t="s">
        <v>22</v>
      </c>
      <c r="G48" s="1" t="s">
        <v>3432</v>
      </c>
      <c r="H48" s="5" t="s">
        <v>3788</v>
      </c>
      <c r="I48" s="1" t="s">
        <v>933</v>
      </c>
      <c r="J48" s="1" t="s">
        <v>3434</v>
      </c>
      <c r="K48" s="14" t="s">
        <v>255</v>
      </c>
      <c r="L48" s="14" t="s">
        <v>3789</v>
      </c>
      <c r="M48" s="14" t="s">
        <v>258</v>
      </c>
      <c r="N48" s="3" t="s">
        <v>24</v>
      </c>
      <c r="O48" s="2" t="s">
        <v>935</v>
      </c>
      <c r="P48" s="12">
        <v>46021</v>
      </c>
    </row>
    <row r="49" spans="1:16" s="58" customFormat="1" ht="390">
      <c r="A49" s="24">
        <v>48</v>
      </c>
      <c r="B49" s="24" t="s">
        <v>3735</v>
      </c>
      <c r="C49" s="24"/>
      <c r="D49" s="24"/>
      <c r="E49" s="24" t="s">
        <v>30</v>
      </c>
      <c r="F49" s="24" t="s">
        <v>22</v>
      </c>
      <c r="G49" s="24" t="s">
        <v>3432</v>
      </c>
      <c r="H49" s="16" t="s">
        <v>3736</v>
      </c>
      <c r="I49" s="24" t="s">
        <v>933</v>
      </c>
      <c r="J49" s="24" t="s">
        <v>3737</v>
      </c>
      <c r="K49" s="16" t="s">
        <v>3738</v>
      </c>
      <c r="L49" s="24" t="s">
        <v>3740</v>
      </c>
      <c r="M49" s="31" t="s">
        <v>3741</v>
      </c>
      <c r="N49" s="19" t="s">
        <v>47</v>
      </c>
      <c r="O49" s="26" t="s">
        <v>935</v>
      </c>
      <c r="P49" s="27">
        <v>46021</v>
      </c>
    </row>
    <row r="50" spans="1:16" ht="240" hidden="1">
      <c r="A50" s="24">
        <v>49</v>
      </c>
      <c r="B50" s="24" t="s">
        <v>3739</v>
      </c>
      <c r="C50" s="24"/>
      <c r="D50" s="24"/>
      <c r="E50" s="24" t="s">
        <v>30</v>
      </c>
      <c r="F50" s="24" t="s">
        <v>22</v>
      </c>
      <c r="G50" s="24" t="s">
        <v>3432</v>
      </c>
      <c r="H50" s="16" t="s">
        <v>3742</v>
      </c>
      <c r="I50" s="24" t="s">
        <v>933</v>
      </c>
      <c r="J50" s="24" t="s">
        <v>3743</v>
      </c>
      <c r="K50" s="5" t="s">
        <v>3744</v>
      </c>
      <c r="L50" s="24" t="s">
        <v>3745</v>
      </c>
      <c r="M50" s="31" t="s">
        <v>3749</v>
      </c>
      <c r="N50" s="3" t="s">
        <v>274</v>
      </c>
      <c r="O50" s="26" t="s">
        <v>935</v>
      </c>
      <c r="P50" s="27">
        <v>46021</v>
      </c>
    </row>
    <row r="51" spans="1:16" ht="285" hidden="1">
      <c r="A51" s="24">
        <v>50</v>
      </c>
      <c r="B51" s="24" t="s">
        <v>3746</v>
      </c>
      <c r="C51" s="24"/>
      <c r="D51" s="24"/>
      <c r="E51" s="24" t="s">
        <v>30</v>
      </c>
      <c r="F51" s="24" t="s">
        <v>22</v>
      </c>
      <c r="G51" s="24" t="s">
        <v>3432</v>
      </c>
      <c r="H51" s="16" t="s">
        <v>3750</v>
      </c>
      <c r="I51" s="24" t="s">
        <v>933</v>
      </c>
      <c r="J51" s="24" t="s">
        <v>3747</v>
      </c>
      <c r="K51" s="5" t="s">
        <v>3748</v>
      </c>
      <c r="L51" s="14" t="s">
        <v>3751</v>
      </c>
      <c r="M51" s="14" t="s">
        <v>3752</v>
      </c>
      <c r="N51" s="3" t="s">
        <v>274</v>
      </c>
      <c r="O51" s="26" t="s">
        <v>935</v>
      </c>
      <c r="P51" s="27">
        <v>46021</v>
      </c>
    </row>
    <row r="52" spans="1:16" ht="195" hidden="1">
      <c r="A52" s="24">
        <v>51</v>
      </c>
      <c r="B52" s="24" t="s">
        <v>3753</v>
      </c>
      <c r="C52" s="24"/>
      <c r="D52" s="24"/>
      <c r="E52" s="24" t="s">
        <v>30</v>
      </c>
      <c r="F52" s="24" t="s">
        <v>22</v>
      </c>
      <c r="G52" s="24" t="s">
        <v>3432</v>
      </c>
      <c r="H52" s="5" t="s">
        <v>3754</v>
      </c>
      <c r="I52" s="1" t="s">
        <v>933</v>
      </c>
      <c r="J52" s="1" t="s">
        <v>3756</v>
      </c>
      <c r="K52" s="1" t="s">
        <v>3696</v>
      </c>
      <c r="L52" s="14" t="s">
        <v>3757</v>
      </c>
      <c r="M52" s="1" t="s">
        <v>3758</v>
      </c>
      <c r="N52" s="3" t="s">
        <v>24</v>
      </c>
      <c r="O52" s="26" t="s">
        <v>935</v>
      </c>
      <c r="P52" s="27">
        <v>46021</v>
      </c>
    </row>
    <row r="53" spans="1:16" ht="120" hidden="1">
      <c r="A53" s="24">
        <v>52</v>
      </c>
      <c r="B53" s="24" t="s">
        <v>3759</v>
      </c>
      <c r="C53" s="24"/>
      <c r="D53" s="24"/>
      <c r="E53" s="24" t="s">
        <v>30</v>
      </c>
      <c r="F53" s="24" t="s">
        <v>22</v>
      </c>
      <c r="G53" s="24" t="s">
        <v>3432</v>
      </c>
      <c r="H53" s="5" t="s">
        <v>3760</v>
      </c>
      <c r="I53" s="1" t="s">
        <v>933</v>
      </c>
      <c r="J53" s="1" t="s">
        <v>3761</v>
      </c>
      <c r="K53" s="1" t="s">
        <v>3762</v>
      </c>
      <c r="L53" s="5" t="s">
        <v>3763</v>
      </c>
      <c r="M53" s="5" t="s">
        <v>3764</v>
      </c>
      <c r="N53" s="3" t="s">
        <v>24</v>
      </c>
      <c r="O53" s="26" t="s">
        <v>935</v>
      </c>
      <c r="P53" s="27">
        <v>46021</v>
      </c>
    </row>
    <row r="54" spans="1:16" ht="120" hidden="1">
      <c r="A54" s="24">
        <v>53</v>
      </c>
      <c r="B54" s="24" t="s">
        <v>3765</v>
      </c>
      <c r="C54" s="24"/>
      <c r="D54" s="24"/>
      <c r="E54" s="24" t="s">
        <v>30</v>
      </c>
      <c r="F54" s="24" t="s">
        <v>22</v>
      </c>
      <c r="G54" s="24" t="s">
        <v>3432</v>
      </c>
      <c r="H54" s="5" t="s">
        <v>3766</v>
      </c>
      <c r="I54" s="1" t="s">
        <v>933</v>
      </c>
      <c r="J54" s="1" t="s">
        <v>3761</v>
      </c>
      <c r="K54" s="1" t="s">
        <v>3767</v>
      </c>
      <c r="L54" s="5" t="s">
        <v>3768</v>
      </c>
      <c r="M54" s="1" t="s">
        <v>3769</v>
      </c>
      <c r="N54" s="3" t="s">
        <v>24</v>
      </c>
      <c r="O54" s="26" t="s">
        <v>935</v>
      </c>
      <c r="P54" s="27">
        <v>46021</v>
      </c>
    </row>
    <row r="55" spans="1:16" ht="240" hidden="1">
      <c r="A55" s="24">
        <v>54</v>
      </c>
      <c r="B55" s="24" t="s">
        <v>3770</v>
      </c>
      <c r="C55" s="24"/>
      <c r="D55" s="24"/>
      <c r="E55" s="24" t="s">
        <v>30</v>
      </c>
      <c r="F55" s="24" t="s">
        <v>22</v>
      </c>
      <c r="G55" s="24" t="s">
        <v>3432</v>
      </c>
      <c r="H55" s="5" t="s">
        <v>3771</v>
      </c>
      <c r="I55" s="1" t="s">
        <v>933</v>
      </c>
      <c r="J55" s="1" t="s">
        <v>3778</v>
      </c>
      <c r="K55" s="1" t="s">
        <v>3772</v>
      </c>
      <c r="L55" s="1" t="s">
        <v>3773</v>
      </c>
      <c r="M55" s="1" t="s">
        <v>3774</v>
      </c>
      <c r="N55" s="3" t="s">
        <v>274</v>
      </c>
      <c r="O55" s="26" t="s">
        <v>935</v>
      </c>
      <c r="P55" s="27">
        <v>46021</v>
      </c>
    </row>
    <row r="56" spans="1:16" ht="240" hidden="1">
      <c r="A56" s="24">
        <v>55</v>
      </c>
      <c r="B56" s="24" t="s">
        <v>3775</v>
      </c>
      <c r="C56" s="24"/>
      <c r="D56" s="24"/>
      <c r="E56" s="24" t="s">
        <v>30</v>
      </c>
      <c r="F56" s="24" t="s">
        <v>22</v>
      </c>
      <c r="G56" s="24" t="s">
        <v>3432</v>
      </c>
      <c r="H56" s="5" t="s">
        <v>3776</v>
      </c>
      <c r="I56" s="1" t="s">
        <v>933</v>
      </c>
      <c r="J56" s="1" t="s">
        <v>3778</v>
      </c>
      <c r="K56" s="1" t="s">
        <v>3777</v>
      </c>
      <c r="L56" s="1" t="s">
        <v>3779</v>
      </c>
      <c r="M56" s="1" t="s">
        <v>3780</v>
      </c>
      <c r="N56" s="3" t="s">
        <v>274</v>
      </c>
      <c r="O56" s="26" t="s">
        <v>935</v>
      </c>
      <c r="P56" s="27">
        <v>46021</v>
      </c>
    </row>
    <row r="57" spans="1:16" ht="150">
      <c r="A57" s="24">
        <v>56</v>
      </c>
      <c r="B57" s="24" t="s">
        <v>3781</v>
      </c>
      <c r="C57" s="24"/>
      <c r="D57" s="24"/>
      <c r="E57" s="24" t="s">
        <v>30</v>
      </c>
      <c r="F57" s="24" t="s">
        <v>22</v>
      </c>
      <c r="G57" s="24" t="s">
        <v>3432</v>
      </c>
      <c r="H57" s="5" t="s">
        <v>3782</v>
      </c>
      <c r="I57" s="1" t="s">
        <v>933</v>
      </c>
      <c r="J57" s="1" t="s">
        <v>3783</v>
      </c>
      <c r="K57" s="1" t="s">
        <v>3784</v>
      </c>
      <c r="L57" s="1" t="s">
        <v>3785</v>
      </c>
      <c r="M57" s="1" t="s">
        <v>3786</v>
      </c>
      <c r="N57" s="19" t="s">
        <v>47</v>
      </c>
      <c r="O57" s="26" t="s">
        <v>935</v>
      </c>
      <c r="P57" s="27">
        <v>46021</v>
      </c>
    </row>
    <row r="58" spans="1:16" ht="90" hidden="1">
      <c r="A58" s="24">
        <v>57</v>
      </c>
      <c r="B58" s="24" t="s">
        <v>3787</v>
      </c>
      <c r="C58" s="24"/>
      <c r="D58" s="24"/>
      <c r="E58" s="24" t="s">
        <v>30</v>
      </c>
      <c r="F58" s="24" t="s">
        <v>22</v>
      </c>
      <c r="G58" s="24" t="s">
        <v>3432</v>
      </c>
      <c r="H58" s="5" t="s">
        <v>3790</v>
      </c>
      <c r="I58" s="1" t="s">
        <v>933</v>
      </c>
      <c r="J58" s="1" t="s">
        <v>3434</v>
      </c>
      <c r="K58" s="14" t="s">
        <v>255</v>
      </c>
      <c r="L58" s="14" t="s">
        <v>3789</v>
      </c>
      <c r="M58" s="14" t="s">
        <v>258</v>
      </c>
      <c r="N58" s="3" t="s">
        <v>24</v>
      </c>
      <c r="O58" s="26" t="s">
        <v>935</v>
      </c>
      <c r="P58" s="27">
        <v>46021</v>
      </c>
    </row>
    <row r="59" spans="1:16" ht="240">
      <c r="A59" s="24">
        <v>58</v>
      </c>
      <c r="B59" s="24" t="s">
        <v>3791</v>
      </c>
      <c r="C59" s="24"/>
      <c r="D59" s="24"/>
      <c r="E59" s="24" t="s">
        <v>30</v>
      </c>
      <c r="F59" s="24" t="s">
        <v>22</v>
      </c>
      <c r="G59" s="24" t="s">
        <v>3432</v>
      </c>
      <c r="H59" s="16" t="s">
        <v>3792</v>
      </c>
      <c r="I59" s="24" t="s">
        <v>933</v>
      </c>
      <c r="J59" s="24" t="s">
        <v>3793</v>
      </c>
      <c r="K59" s="16" t="s">
        <v>3794</v>
      </c>
      <c r="L59" s="24" t="s">
        <v>3795</v>
      </c>
      <c r="M59" s="5" t="s">
        <v>3801</v>
      </c>
      <c r="N59" s="19" t="s">
        <v>47</v>
      </c>
      <c r="O59" s="26" t="s">
        <v>935</v>
      </c>
      <c r="P59" s="27">
        <v>46021</v>
      </c>
    </row>
    <row r="60" spans="1:16" ht="345">
      <c r="A60" s="24">
        <v>59</v>
      </c>
      <c r="B60" s="24" t="s">
        <v>3796</v>
      </c>
      <c r="C60" s="24"/>
      <c r="D60" s="24"/>
      <c r="E60" s="24" t="s">
        <v>30</v>
      </c>
      <c r="F60" s="24" t="s">
        <v>22</v>
      </c>
      <c r="G60" s="24" t="s">
        <v>3432</v>
      </c>
      <c r="H60" s="16" t="s">
        <v>3797</v>
      </c>
      <c r="I60" s="24" t="s">
        <v>933</v>
      </c>
      <c r="J60" s="24" t="s">
        <v>3798</v>
      </c>
      <c r="K60" s="5" t="s">
        <v>3799</v>
      </c>
      <c r="L60" s="24" t="s">
        <v>3800</v>
      </c>
      <c r="M60" s="5" t="s">
        <v>3802</v>
      </c>
      <c r="N60" s="19" t="s">
        <v>47</v>
      </c>
      <c r="O60" s="26" t="s">
        <v>935</v>
      </c>
      <c r="P60" s="27">
        <v>46021</v>
      </c>
    </row>
    <row r="61" spans="1:16" ht="285" hidden="1">
      <c r="A61" s="24">
        <v>60</v>
      </c>
      <c r="B61" s="24" t="s">
        <v>3803</v>
      </c>
      <c r="C61" s="24"/>
      <c r="D61" s="24"/>
      <c r="E61" s="24" t="s">
        <v>30</v>
      </c>
      <c r="F61" s="24" t="s">
        <v>22</v>
      </c>
      <c r="G61" s="24" t="s">
        <v>3432</v>
      </c>
      <c r="H61" s="16" t="s">
        <v>3804</v>
      </c>
      <c r="I61" s="24" t="s">
        <v>933</v>
      </c>
      <c r="J61" s="24" t="s">
        <v>3805</v>
      </c>
      <c r="K61" s="5" t="s">
        <v>3806</v>
      </c>
      <c r="L61" s="14" t="s">
        <v>3807</v>
      </c>
      <c r="M61" s="14" t="s">
        <v>3808</v>
      </c>
      <c r="N61" s="3" t="s">
        <v>24</v>
      </c>
      <c r="O61" s="26" t="s">
        <v>935</v>
      </c>
      <c r="P61" s="27">
        <v>46022</v>
      </c>
    </row>
    <row r="62" spans="1:16" ht="180" hidden="1">
      <c r="A62" s="24">
        <v>61</v>
      </c>
      <c r="B62" s="24" t="s">
        <v>3809</v>
      </c>
      <c r="C62" s="24"/>
      <c r="D62" s="24"/>
      <c r="E62" s="24" t="s">
        <v>30</v>
      </c>
      <c r="F62" s="24" t="s">
        <v>22</v>
      </c>
      <c r="G62" s="24" t="s">
        <v>3432</v>
      </c>
      <c r="H62" s="5" t="s">
        <v>3810</v>
      </c>
      <c r="I62" s="1" t="s">
        <v>933</v>
      </c>
      <c r="J62" s="1" t="s">
        <v>3811</v>
      </c>
      <c r="K62" s="1" t="s">
        <v>3696</v>
      </c>
      <c r="L62" s="14" t="s">
        <v>3812</v>
      </c>
      <c r="M62" s="1" t="s">
        <v>3813</v>
      </c>
      <c r="N62" s="3" t="s">
        <v>24</v>
      </c>
      <c r="O62" s="26" t="s">
        <v>935</v>
      </c>
      <c r="P62" s="27">
        <v>46022</v>
      </c>
    </row>
    <row r="63" spans="1:16" ht="240">
      <c r="A63" s="24">
        <v>62</v>
      </c>
      <c r="B63" s="24" t="s">
        <v>3814</v>
      </c>
      <c r="C63" s="24"/>
      <c r="D63" s="24"/>
      <c r="E63" s="24" t="s">
        <v>30</v>
      </c>
      <c r="F63" s="24" t="s">
        <v>22</v>
      </c>
      <c r="G63" s="24" t="s">
        <v>3432</v>
      </c>
      <c r="H63" s="1" t="s">
        <v>3825</v>
      </c>
      <c r="I63" s="1" t="s">
        <v>933</v>
      </c>
      <c r="J63" s="1" t="s">
        <v>3816</v>
      </c>
      <c r="K63" s="1" t="s">
        <v>3815</v>
      </c>
      <c r="L63" s="1" t="s">
        <v>3817</v>
      </c>
      <c r="M63" s="1" t="s">
        <v>3818</v>
      </c>
      <c r="N63" s="19" t="s">
        <v>47</v>
      </c>
      <c r="O63" s="26" t="s">
        <v>935</v>
      </c>
      <c r="P63" s="27">
        <v>46022</v>
      </c>
    </row>
    <row r="64" spans="1:16" ht="150">
      <c r="A64" s="24">
        <v>63</v>
      </c>
      <c r="B64" s="24" t="s">
        <v>3819</v>
      </c>
      <c r="C64" s="65" t="s">
        <v>3898</v>
      </c>
      <c r="D64" s="66">
        <v>46023</v>
      </c>
      <c r="E64" s="24" t="s">
        <v>30</v>
      </c>
      <c r="F64" s="24" t="s">
        <v>22</v>
      </c>
      <c r="G64" s="24" t="s">
        <v>3432</v>
      </c>
      <c r="H64" s="1" t="s">
        <v>3824</v>
      </c>
      <c r="I64" s="1" t="s">
        <v>933</v>
      </c>
      <c r="J64" s="1" t="s">
        <v>3820</v>
      </c>
      <c r="K64" s="40" t="s">
        <v>255</v>
      </c>
      <c r="L64" s="1" t="s">
        <v>3821</v>
      </c>
      <c r="M64" s="1" t="s">
        <v>3822</v>
      </c>
      <c r="N64" s="19" t="s">
        <v>47</v>
      </c>
      <c r="O64" s="26" t="s">
        <v>935</v>
      </c>
      <c r="P64" s="27">
        <v>46022</v>
      </c>
    </row>
    <row r="65" spans="1:16" ht="90" hidden="1">
      <c r="A65" s="24">
        <v>64</v>
      </c>
      <c r="B65" s="24" t="s">
        <v>3823</v>
      </c>
      <c r="C65" s="24"/>
      <c r="D65" s="24"/>
      <c r="E65" s="24" t="s">
        <v>30</v>
      </c>
      <c r="F65" s="24" t="s">
        <v>22</v>
      </c>
      <c r="G65" s="24" t="s">
        <v>3432</v>
      </c>
      <c r="H65" s="1" t="s">
        <v>3829</v>
      </c>
      <c r="I65" s="1" t="s">
        <v>933</v>
      </c>
      <c r="J65" s="1" t="s">
        <v>3826</v>
      </c>
      <c r="K65" s="1" t="s">
        <v>255</v>
      </c>
      <c r="L65" s="1" t="s">
        <v>3827</v>
      </c>
      <c r="M65" s="1" t="s">
        <v>6069</v>
      </c>
      <c r="N65" s="3" t="s">
        <v>274</v>
      </c>
      <c r="O65" s="26" t="s">
        <v>935</v>
      </c>
      <c r="P65" s="27">
        <v>46022</v>
      </c>
    </row>
    <row r="66" spans="1:16" ht="120" hidden="1">
      <c r="A66" s="24">
        <v>65</v>
      </c>
      <c r="B66" s="24" t="s">
        <v>3828</v>
      </c>
      <c r="C66" s="24"/>
      <c r="D66" s="24"/>
      <c r="E66" s="24" t="s">
        <v>30</v>
      </c>
      <c r="F66" s="24" t="s">
        <v>22</v>
      </c>
      <c r="G66" s="24" t="s">
        <v>3432</v>
      </c>
      <c r="H66" s="1" t="s">
        <v>3830</v>
      </c>
      <c r="I66" s="1" t="s">
        <v>933</v>
      </c>
      <c r="J66" s="1" t="s">
        <v>3831</v>
      </c>
      <c r="K66" s="1" t="s">
        <v>255</v>
      </c>
      <c r="L66" s="1" t="s">
        <v>3832</v>
      </c>
      <c r="M66" s="1" t="s">
        <v>3833</v>
      </c>
      <c r="N66" s="3" t="s">
        <v>274</v>
      </c>
      <c r="O66" s="26" t="s">
        <v>935</v>
      </c>
      <c r="P66" s="27">
        <v>46022</v>
      </c>
    </row>
    <row r="67" spans="1:16" ht="105" hidden="1">
      <c r="A67" s="24">
        <v>66</v>
      </c>
      <c r="B67" s="24" t="s">
        <v>3834</v>
      </c>
      <c r="C67" s="24"/>
      <c r="D67" s="24"/>
      <c r="E67" s="24" t="s">
        <v>30</v>
      </c>
      <c r="F67" s="24" t="s">
        <v>22</v>
      </c>
      <c r="G67" s="24" t="s">
        <v>3432</v>
      </c>
      <c r="H67" s="1" t="s">
        <v>3835</v>
      </c>
      <c r="I67" s="1" t="s">
        <v>933</v>
      </c>
      <c r="J67" s="1" t="s">
        <v>3836</v>
      </c>
      <c r="K67" s="1" t="s">
        <v>255</v>
      </c>
      <c r="L67" s="1" t="s">
        <v>3837</v>
      </c>
      <c r="M67" s="1" t="s">
        <v>6078</v>
      </c>
      <c r="N67" s="3" t="s">
        <v>274</v>
      </c>
      <c r="O67" s="26" t="s">
        <v>935</v>
      </c>
      <c r="P67" s="27">
        <v>46022</v>
      </c>
    </row>
    <row r="68" spans="1:16" ht="135">
      <c r="A68" s="59">
        <v>67</v>
      </c>
      <c r="B68" s="59" t="s">
        <v>3838</v>
      </c>
      <c r="C68" s="63" t="s">
        <v>3891</v>
      </c>
      <c r="D68" s="64">
        <v>46023</v>
      </c>
      <c r="E68" s="59" t="s">
        <v>30</v>
      </c>
      <c r="F68" s="59" t="s">
        <v>22</v>
      </c>
      <c r="G68" s="59" t="s">
        <v>3432</v>
      </c>
      <c r="H68" s="60" t="s">
        <v>3841</v>
      </c>
      <c r="I68" s="59" t="s">
        <v>933</v>
      </c>
      <c r="J68" s="59" t="s">
        <v>3842</v>
      </c>
      <c r="K68" s="59" t="s">
        <v>3839</v>
      </c>
      <c r="L68" s="59" t="s">
        <v>3843</v>
      </c>
      <c r="M68" s="59" t="s">
        <v>3840</v>
      </c>
      <c r="N68" s="19" t="s">
        <v>47</v>
      </c>
      <c r="O68" s="61" t="s">
        <v>935</v>
      </c>
      <c r="P68" s="62">
        <v>46022</v>
      </c>
    </row>
    <row r="69" spans="1:16" ht="135">
      <c r="A69" s="24">
        <v>68</v>
      </c>
      <c r="B69" s="24" t="s">
        <v>3844</v>
      </c>
      <c r="C69" s="65" t="s">
        <v>3892</v>
      </c>
      <c r="D69" s="66">
        <v>46023</v>
      </c>
      <c r="E69" s="24" t="s">
        <v>30</v>
      </c>
      <c r="F69" s="24" t="s">
        <v>22</v>
      </c>
      <c r="G69" s="24" t="s">
        <v>3432</v>
      </c>
      <c r="H69" s="16" t="s">
        <v>3845</v>
      </c>
      <c r="I69" s="24" t="s">
        <v>933</v>
      </c>
      <c r="J69" s="24" t="s">
        <v>3846</v>
      </c>
      <c r="K69" s="24" t="s">
        <v>3847</v>
      </c>
      <c r="L69" s="24" t="s">
        <v>3848</v>
      </c>
      <c r="M69" s="24" t="s">
        <v>3849</v>
      </c>
      <c r="N69" s="19" t="s">
        <v>47</v>
      </c>
      <c r="O69" s="26" t="s">
        <v>935</v>
      </c>
      <c r="P69" s="27">
        <v>46022</v>
      </c>
    </row>
    <row r="70" spans="1:16" ht="150" hidden="1">
      <c r="A70" s="24">
        <v>69</v>
      </c>
      <c r="B70" s="24" t="s">
        <v>3850</v>
      </c>
      <c r="C70" s="24"/>
      <c r="D70" s="24"/>
      <c r="E70" s="24" t="s">
        <v>30</v>
      </c>
      <c r="F70" s="24" t="s">
        <v>22</v>
      </c>
      <c r="G70" s="24" t="s">
        <v>3432</v>
      </c>
      <c r="H70" s="16" t="s">
        <v>3851</v>
      </c>
      <c r="I70" s="24" t="s">
        <v>933</v>
      </c>
      <c r="J70" s="1" t="s">
        <v>3854</v>
      </c>
      <c r="K70" s="1" t="s">
        <v>3449</v>
      </c>
      <c r="L70" s="1" t="s">
        <v>3450</v>
      </c>
      <c r="M70" s="1" t="s">
        <v>3451</v>
      </c>
      <c r="N70" s="3" t="s">
        <v>274</v>
      </c>
      <c r="O70" s="26" t="s">
        <v>935</v>
      </c>
      <c r="P70" s="27">
        <v>46022</v>
      </c>
    </row>
    <row r="71" spans="1:16" ht="165">
      <c r="A71" s="24">
        <v>70</v>
      </c>
      <c r="B71" s="24" t="s">
        <v>3852</v>
      </c>
      <c r="C71" s="24"/>
      <c r="D71" s="24"/>
      <c r="E71" s="24" t="s">
        <v>30</v>
      </c>
      <c r="F71" s="24" t="s">
        <v>22</v>
      </c>
      <c r="G71" s="24" t="s">
        <v>3432</v>
      </c>
      <c r="H71" s="16" t="s">
        <v>3853</v>
      </c>
      <c r="I71" s="1" t="s">
        <v>933</v>
      </c>
      <c r="J71" s="1" t="s">
        <v>3855</v>
      </c>
      <c r="K71" s="1" t="s">
        <v>3458</v>
      </c>
      <c r="L71" s="1" t="s">
        <v>3454</v>
      </c>
      <c r="M71" s="1" t="s">
        <v>3455</v>
      </c>
      <c r="N71" s="19" t="s">
        <v>47</v>
      </c>
      <c r="O71" s="26" t="s">
        <v>935</v>
      </c>
      <c r="P71" s="27">
        <v>46022</v>
      </c>
    </row>
    <row r="72" spans="1:16" ht="150" hidden="1">
      <c r="A72" s="24">
        <v>71</v>
      </c>
      <c r="B72" s="24" t="s">
        <v>3856</v>
      </c>
      <c r="C72" s="24"/>
      <c r="D72" s="24"/>
      <c r="E72" s="24" t="s">
        <v>30</v>
      </c>
      <c r="F72" s="24" t="s">
        <v>22</v>
      </c>
      <c r="G72" s="24" t="s">
        <v>3432</v>
      </c>
      <c r="H72" s="16" t="s">
        <v>3857</v>
      </c>
      <c r="I72" s="1" t="s">
        <v>933</v>
      </c>
      <c r="J72" s="1" t="s">
        <v>3858</v>
      </c>
      <c r="K72" s="1" t="s">
        <v>3859</v>
      </c>
      <c r="L72" s="1" t="s">
        <v>3860</v>
      </c>
      <c r="M72" s="1" t="s">
        <v>3861</v>
      </c>
      <c r="N72" s="3" t="s">
        <v>274</v>
      </c>
      <c r="O72" s="26" t="s">
        <v>935</v>
      </c>
      <c r="P72" s="27">
        <v>46022</v>
      </c>
    </row>
    <row r="73" spans="1:16" ht="135" hidden="1">
      <c r="A73" s="24">
        <v>72</v>
      </c>
      <c r="B73" s="24" t="s">
        <v>3862</v>
      </c>
      <c r="C73" s="24"/>
      <c r="D73" s="24"/>
      <c r="E73" s="24" t="s">
        <v>30</v>
      </c>
      <c r="F73" s="24" t="s">
        <v>22</v>
      </c>
      <c r="G73" s="24" t="s">
        <v>3432</v>
      </c>
      <c r="H73" s="16" t="s">
        <v>3863</v>
      </c>
      <c r="I73" s="1" t="s">
        <v>933</v>
      </c>
      <c r="J73" s="1" t="s">
        <v>3864</v>
      </c>
      <c r="K73" s="1" t="s">
        <v>3865</v>
      </c>
      <c r="L73" s="5" t="s">
        <v>3866</v>
      </c>
      <c r="M73" s="5" t="s">
        <v>3867</v>
      </c>
      <c r="N73" s="3" t="s">
        <v>24</v>
      </c>
      <c r="O73" s="26" t="s">
        <v>935</v>
      </c>
      <c r="P73" s="27">
        <v>46022</v>
      </c>
    </row>
    <row r="74" spans="1:16" ht="150">
      <c r="A74" s="24">
        <v>73</v>
      </c>
      <c r="B74" s="24" t="s">
        <v>3868</v>
      </c>
      <c r="C74" s="24"/>
      <c r="D74" s="24"/>
      <c r="E74" s="24" t="s">
        <v>30</v>
      </c>
      <c r="F74" s="24" t="s">
        <v>22</v>
      </c>
      <c r="G74" s="24" t="s">
        <v>3432</v>
      </c>
      <c r="H74" s="16" t="s">
        <v>3869</v>
      </c>
      <c r="I74" s="1" t="s">
        <v>933</v>
      </c>
      <c r="J74" s="1" t="s">
        <v>3870</v>
      </c>
      <c r="K74" s="1" t="s">
        <v>3459</v>
      </c>
      <c r="L74" s="1" t="s">
        <v>3460</v>
      </c>
      <c r="M74" s="1" t="s">
        <v>3461</v>
      </c>
      <c r="N74" s="19" t="s">
        <v>47</v>
      </c>
      <c r="O74" s="26" t="s">
        <v>935</v>
      </c>
      <c r="P74" s="27">
        <v>46022</v>
      </c>
    </row>
    <row r="75" spans="1:16" ht="270">
      <c r="A75" s="24">
        <v>74</v>
      </c>
      <c r="B75" s="24" t="s">
        <v>3871</v>
      </c>
      <c r="C75" s="65" t="s">
        <v>3903</v>
      </c>
      <c r="D75" s="66">
        <v>46023</v>
      </c>
      <c r="E75" s="24" t="s">
        <v>30</v>
      </c>
      <c r="F75" s="24" t="s">
        <v>22</v>
      </c>
      <c r="G75" s="24" t="s">
        <v>3432</v>
      </c>
      <c r="H75" s="16" t="s">
        <v>3872</v>
      </c>
      <c r="I75" s="1" t="s">
        <v>933</v>
      </c>
      <c r="J75" s="1" t="s">
        <v>3874</v>
      </c>
      <c r="K75" s="1" t="s">
        <v>3873</v>
      </c>
      <c r="L75" s="1" t="s">
        <v>3875</v>
      </c>
      <c r="M75" s="1" t="s">
        <v>3876</v>
      </c>
      <c r="N75" s="19" t="s">
        <v>47</v>
      </c>
      <c r="O75" s="26" t="s">
        <v>935</v>
      </c>
      <c r="P75" s="27">
        <v>46022</v>
      </c>
    </row>
    <row r="76" spans="1:16" ht="150">
      <c r="A76" s="24">
        <v>75</v>
      </c>
      <c r="B76" s="24" t="s">
        <v>3877</v>
      </c>
      <c r="C76" s="65" t="s">
        <v>3902</v>
      </c>
      <c r="D76" s="66">
        <v>46023</v>
      </c>
      <c r="E76" s="24" t="s">
        <v>30</v>
      </c>
      <c r="F76" s="24" t="s">
        <v>22</v>
      </c>
      <c r="G76" s="24" t="s">
        <v>3432</v>
      </c>
      <c r="H76" s="1" t="s">
        <v>3878</v>
      </c>
      <c r="I76" s="1" t="s">
        <v>933</v>
      </c>
      <c r="J76" s="1" t="s">
        <v>3879</v>
      </c>
      <c r="K76" s="40" t="s">
        <v>255</v>
      </c>
      <c r="L76" s="1" t="s">
        <v>3880</v>
      </c>
      <c r="M76" s="1" t="s">
        <v>3881</v>
      </c>
      <c r="N76" s="19" t="s">
        <v>47</v>
      </c>
      <c r="O76" s="26" t="s">
        <v>935</v>
      </c>
      <c r="P76" s="27">
        <v>46022</v>
      </c>
    </row>
    <row r="77" spans="1:16" ht="105" hidden="1">
      <c r="A77" s="24">
        <v>76</v>
      </c>
      <c r="B77" s="24" t="s">
        <v>3882</v>
      </c>
      <c r="C77" s="24"/>
      <c r="D77" s="24"/>
      <c r="E77" s="24" t="s">
        <v>30</v>
      </c>
      <c r="F77" s="24" t="s">
        <v>22</v>
      </c>
      <c r="G77" s="24" t="s">
        <v>3432</v>
      </c>
      <c r="H77" s="1" t="s">
        <v>3883</v>
      </c>
      <c r="I77" s="1" t="s">
        <v>933</v>
      </c>
      <c r="J77" s="1" t="s">
        <v>3884</v>
      </c>
      <c r="K77" s="1" t="s">
        <v>255</v>
      </c>
      <c r="L77" s="1" t="s">
        <v>3885</v>
      </c>
      <c r="M77" s="1" t="s">
        <v>3886</v>
      </c>
      <c r="N77" s="3" t="s">
        <v>24</v>
      </c>
      <c r="O77" s="26" t="s">
        <v>935</v>
      </c>
      <c r="P77" s="27">
        <v>46022</v>
      </c>
    </row>
  </sheetData>
  <autoFilter ref="A1:V77">
    <filterColumn colId="13">
      <filters>
        <filter val="Fail"/>
        <filter val="Hold"/>
      </filters>
    </filterColumn>
  </autoFilter>
  <hyperlinks>
    <hyperlink ref="C9" r:id="rId1" display="https://hanssupport.atlassian.net/browse/BA-399"/>
    <hyperlink ref="C17" r:id="rId2" display="https://hanssupport.atlassian.net/browse/BA-400"/>
    <hyperlink ref="C21" r:id="rId3" display="https://hanssupport.atlassian.net/browse/BA-401"/>
    <hyperlink ref="C29" r:id="rId4" display="https://hanssupport.atlassian.net/browse/BA-402"/>
    <hyperlink ref="C42" r:id="rId5" display="https://hanssupport.atlassian.net/browse/BA-403"/>
    <hyperlink ref="C43" r:id="rId6" display="https://hanssupport.atlassian.net/browse/BA-404"/>
    <hyperlink ref="C68" r:id="rId7" display="https://hanssupport.atlassian.net/browse/BA-405"/>
    <hyperlink ref="C69" r:id="rId8" display="https://hanssupport.atlassian.net/browse/BA-406"/>
    <hyperlink ref="C5" r:id="rId9" display="https://hanssupport.atlassian.net/browse/BA-407"/>
    <hyperlink ref="C6" r:id="rId10" display="https://hanssupport.atlassian.net/browse/BA-408"/>
    <hyperlink ref="C7" r:id="rId11" display="https://hanssupport.atlassian.net/browse/BA-409"/>
    <hyperlink ref="C14" r:id="rId12" display="https://hanssupport.atlassian.net/browse/BA-410"/>
    <hyperlink ref="C64" r:id="rId13" display="https://hanssupport.atlassian.net/browse/BA-411"/>
    <hyperlink ref="C27" r:id="rId14" display="https://hanssupport.atlassian.net/browse/BA-412"/>
    <hyperlink ref="C44" r:id="rId15" display="https://hanssupport.atlassian.net/browse/BA-413"/>
    <hyperlink ref="C45" r:id="rId16" display="https://hanssupport.atlassian.net/browse/BA-414"/>
    <hyperlink ref="C76" r:id="rId17" display="https://hanssupport.atlassian.net/browse/BA-415"/>
    <hyperlink ref="C75" r:id="rId18" display="https://hanssupport.atlassian.net/browse/BA-416"/>
    <hyperlink ref="C25" r:id="rId19" display="https://hanssupport.atlassian.net/browse/BA-841"/>
    <hyperlink ref="C33" r:id="rId20" display="https://hanssupport.atlassian.net/browse/BA-842"/>
  </hyperlinks>
  <pageMargins left="0.7" right="0.7" top="0.75" bottom="0.75" header="0.3" footer="0.3"/>
  <pageSetup paperSize="9" orientation="portrait" verticalDpi="0" r:id="rId21"/>
</worksheet>
</file>

<file path=xl/worksheets/sheet39.xml><?xml version="1.0" encoding="utf-8"?>
<worksheet xmlns="http://schemas.openxmlformats.org/spreadsheetml/2006/main" xmlns:r="http://schemas.openxmlformats.org/officeDocument/2006/relationships">
  <dimension ref="A1:V1048576"/>
  <sheetViews>
    <sheetView workbookViewId="0">
      <pane ySplit="1" topLeftCell="A2" activePane="bottomLeft" state="frozen"/>
      <selection pane="bottomLeft"/>
    </sheetView>
  </sheetViews>
  <sheetFormatPr defaultRowHeight="15"/>
  <cols>
    <col min="1" max="1" width="8.5703125" style="45" customWidth="1"/>
    <col min="2" max="2" width="21.5703125" style="45" customWidth="1"/>
    <col min="3" max="3" width="12.7109375" style="45" customWidth="1"/>
    <col min="4" max="4" width="20.7109375" style="45" customWidth="1"/>
    <col min="5" max="5" width="14" style="45" customWidth="1"/>
    <col min="6" max="6" width="12.7109375" style="45" customWidth="1"/>
    <col min="7" max="7" width="19.140625" style="45" customWidth="1"/>
    <col min="8" max="8" width="62.85546875" style="45" customWidth="1"/>
    <col min="9" max="9" width="45.5703125" style="45" customWidth="1"/>
    <col min="10" max="10" width="62.85546875" style="45" customWidth="1"/>
    <col min="11" max="11" width="37.7109375" style="45" customWidth="1"/>
    <col min="12" max="12" width="63" style="45" customWidth="1"/>
    <col min="13" max="13" width="52.140625" style="45" customWidth="1"/>
    <col min="14" max="14" width="15.85546875" style="45" customWidth="1"/>
    <col min="15" max="15" width="42.7109375" style="45" customWidth="1"/>
    <col min="16" max="16" width="20.140625" style="45" customWidth="1"/>
    <col min="17" max="17" width="18.85546875" style="45" customWidth="1"/>
    <col min="18" max="18" width="17.85546875" style="45" customWidth="1"/>
    <col min="19" max="19" width="19" style="45" customWidth="1"/>
    <col min="20" max="20" width="24" style="45" customWidth="1"/>
    <col min="21" max="21" width="27.140625" style="45" customWidth="1"/>
    <col min="22" max="22" width="17.8554687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3904</v>
      </c>
      <c r="C2" s="1"/>
      <c r="D2" s="1"/>
      <c r="E2" s="1" t="s">
        <v>30</v>
      </c>
      <c r="F2" s="1" t="s">
        <v>22</v>
      </c>
      <c r="G2" s="1" t="s">
        <v>3905</v>
      </c>
      <c r="H2" s="1" t="s">
        <v>3906</v>
      </c>
      <c r="I2" s="1" t="s">
        <v>933</v>
      </c>
      <c r="J2" s="1" t="s">
        <v>3907</v>
      </c>
      <c r="K2" s="1" t="s">
        <v>1074</v>
      </c>
      <c r="L2" s="1" t="s">
        <v>3908</v>
      </c>
      <c r="M2" s="1" t="s">
        <v>3909</v>
      </c>
      <c r="N2" s="3" t="s">
        <v>24</v>
      </c>
      <c r="O2" s="2" t="s">
        <v>3910</v>
      </c>
      <c r="P2" s="12">
        <v>46023</v>
      </c>
    </row>
    <row r="3" spans="1:22" ht="165">
      <c r="A3" s="1">
        <v>2</v>
      </c>
      <c r="B3" s="1" t="s">
        <v>3911</v>
      </c>
      <c r="C3" s="23" t="s">
        <v>4487</v>
      </c>
      <c r="D3" s="36">
        <v>46031</v>
      </c>
      <c r="E3" s="1" t="s">
        <v>30</v>
      </c>
      <c r="F3" s="1" t="s">
        <v>22</v>
      </c>
      <c r="G3" s="1" t="s">
        <v>3905</v>
      </c>
      <c r="H3" s="5" t="s">
        <v>3912</v>
      </c>
      <c r="I3" s="1" t="s">
        <v>933</v>
      </c>
      <c r="J3" s="1" t="s">
        <v>3913</v>
      </c>
      <c r="K3" s="1" t="s">
        <v>3914</v>
      </c>
      <c r="L3" s="1" t="s">
        <v>3915</v>
      </c>
      <c r="M3" s="1" t="s">
        <v>3916</v>
      </c>
      <c r="N3" s="19" t="s">
        <v>47</v>
      </c>
      <c r="O3" s="2" t="s">
        <v>3910</v>
      </c>
      <c r="P3" s="12">
        <v>46023</v>
      </c>
      <c r="Q3" s="40" t="s">
        <v>3159</v>
      </c>
    </row>
    <row r="4" spans="1:22" ht="210">
      <c r="A4" s="1">
        <v>3</v>
      </c>
      <c r="B4" s="1" t="s">
        <v>3917</v>
      </c>
      <c r="C4" s="23" t="s">
        <v>4488</v>
      </c>
      <c r="D4" s="36">
        <v>46031</v>
      </c>
      <c r="E4" s="1" t="s">
        <v>30</v>
      </c>
      <c r="F4" s="1" t="s">
        <v>22</v>
      </c>
      <c r="G4" s="1" t="s">
        <v>3905</v>
      </c>
      <c r="H4" s="5" t="s">
        <v>3919</v>
      </c>
      <c r="I4" s="1" t="s">
        <v>933</v>
      </c>
      <c r="J4" s="1" t="s">
        <v>3925</v>
      </c>
      <c r="K4" s="1" t="s">
        <v>3918</v>
      </c>
      <c r="L4" s="1" t="s">
        <v>3920</v>
      </c>
      <c r="M4" s="44" t="s">
        <v>3924</v>
      </c>
      <c r="N4" s="19" t="s">
        <v>47</v>
      </c>
      <c r="O4" s="2" t="s">
        <v>3910</v>
      </c>
      <c r="P4" s="12">
        <v>46023</v>
      </c>
      <c r="Q4" s="40" t="s">
        <v>3159</v>
      </c>
    </row>
    <row r="5" spans="1:22" ht="135">
      <c r="A5" s="1">
        <v>4</v>
      </c>
      <c r="B5" s="1" t="s">
        <v>3921</v>
      </c>
      <c r="C5" s="23" t="s">
        <v>4489</v>
      </c>
      <c r="D5" s="36">
        <v>46031</v>
      </c>
      <c r="E5" s="1" t="s">
        <v>30</v>
      </c>
      <c r="F5" s="1" t="s">
        <v>22</v>
      </c>
      <c r="G5" s="1" t="s">
        <v>3905</v>
      </c>
      <c r="H5" s="5" t="s">
        <v>3922</v>
      </c>
      <c r="I5" s="1" t="s">
        <v>933</v>
      </c>
      <c r="J5" s="1" t="s">
        <v>3926</v>
      </c>
      <c r="K5" s="1" t="s">
        <v>3923</v>
      </c>
      <c r="L5" s="1" t="s">
        <v>3927</v>
      </c>
      <c r="M5" s="44" t="s">
        <v>3928</v>
      </c>
      <c r="N5" s="19" t="s">
        <v>47</v>
      </c>
      <c r="O5" s="2" t="s">
        <v>3910</v>
      </c>
      <c r="P5" s="12">
        <v>46023</v>
      </c>
      <c r="Q5" s="40" t="s">
        <v>3159</v>
      </c>
    </row>
    <row r="6" spans="1:22" ht="105">
      <c r="A6" s="1">
        <v>5</v>
      </c>
      <c r="B6" s="1" t="s">
        <v>3929</v>
      </c>
      <c r="C6" s="1"/>
      <c r="D6" s="1"/>
      <c r="E6" s="1" t="s">
        <v>30</v>
      </c>
      <c r="F6" s="1" t="s">
        <v>22</v>
      </c>
      <c r="G6" s="1" t="s">
        <v>3905</v>
      </c>
      <c r="H6" s="5" t="s">
        <v>3950</v>
      </c>
      <c r="I6" s="1" t="s">
        <v>933</v>
      </c>
      <c r="J6" s="1" t="s">
        <v>3951</v>
      </c>
      <c r="K6" s="1" t="s">
        <v>3952</v>
      </c>
      <c r="L6" s="1" t="s">
        <v>3953</v>
      </c>
      <c r="M6" s="1" t="s">
        <v>3547</v>
      </c>
      <c r="N6" s="3" t="s">
        <v>24</v>
      </c>
      <c r="O6" s="2" t="s">
        <v>3910</v>
      </c>
      <c r="P6" s="12">
        <v>46024</v>
      </c>
    </row>
    <row r="7" spans="1:22" ht="105">
      <c r="A7" s="1">
        <v>6</v>
      </c>
      <c r="B7" s="1" t="s">
        <v>3954</v>
      </c>
      <c r="C7" s="1"/>
      <c r="D7" s="1"/>
      <c r="E7" s="1" t="s">
        <v>30</v>
      </c>
      <c r="F7" s="1" t="s">
        <v>22</v>
      </c>
      <c r="G7" s="1" t="s">
        <v>3905</v>
      </c>
      <c r="H7" s="5" t="s">
        <v>3955</v>
      </c>
      <c r="I7" s="1" t="s">
        <v>933</v>
      </c>
      <c r="J7" s="1" t="s">
        <v>3956</v>
      </c>
      <c r="K7" s="1" t="s">
        <v>3957</v>
      </c>
      <c r="L7" s="1" t="s">
        <v>3958</v>
      </c>
      <c r="M7" s="1" t="s">
        <v>3959</v>
      </c>
      <c r="N7" s="3" t="s">
        <v>24</v>
      </c>
      <c r="O7" s="2" t="s">
        <v>3910</v>
      </c>
      <c r="P7" s="12">
        <v>46024</v>
      </c>
    </row>
    <row r="8" spans="1:22" ht="330">
      <c r="A8" s="1">
        <v>7</v>
      </c>
      <c r="B8" s="1" t="s">
        <v>3960</v>
      </c>
      <c r="C8" s="1"/>
      <c r="D8" s="1"/>
      <c r="E8" s="1" t="s">
        <v>30</v>
      </c>
      <c r="F8" s="1" t="s">
        <v>22</v>
      </c>
      <c r="G8" s="1" t="s">
        <v>3905</v>
      </c>
      <c r="H8" s="5" t="s">
        <v>3961</v>
      </c>
      <c r="I8" s="1" t="s">
        <v>933</v>
      </c>
      <c r="J8" s="1" t="s">
        <v>3964</v>
      </c>
      <c r="K8" s="1" t="s">
        <v>3962</v>
      </c>
      <c r="L8" s="1" t="s">
        <v>3965</v>
      </c>
      <c r="M8" s="1" t="s">
        <v>3967</v>
      </c>
      <c r="N8" s="3" t="s">
        <v>24</v>
      </c>
      <c r="O8" s="2" t="s">
        <v>3910</v>
      </c>
      <c r="P8" s="12">
        <v>46024</v>
      </c>
    </row>
    <row r="9" spans="1:22" ht="180">
      <c r="A9" s="1">
        <v>8</v>
      </c>
      <c r="B9" s="1" t="s">
        <v>3966</v>
      </c>
      <c r="C9" s="23" t="s">
        <v>4490</v>
      </c>
      <c r="D9" s="36">
        <v>46031</v>
      </c>
      <c r="E9" s="1" t="s">
        <v>30</v>
      </c>
      <c r="F9" s="1" t="s">
        <v>22</v>
      </c>
      <c r="G9" s="1" t="s">
        <v>3905</v>
      </c>
      <c r="H9" s="1" t="s">
        <v>3969</v>
      </c>
      <c r="I9" s="1" t="s">
        <v>933</v>
      </c>
      <c r="J9" s="1" t="s">
        <v>3970</v>
      </c>
      <c r="K9" s="1" t="s">
        <v>866</v>
      </c>
      <c r="L9" s="1" t="s">
        <v>3971</v>
      </c>
      <c r="M9" s="1" t="s">
        <v>3972</v>
      </c>
      <c r="N9" s="19" t="s">
        <v>47</v>
      </c>
      <c r="O9" s="2" t="s">
        <v>3910</v>
      </c>
      <c r="P9" s="12">
        <v>46027</v>
      </c>
      <c r="Q9" s="40" t="s">
        <v>3159</v>
      </c>
    </row>
    <row r="10" spans="1:22" ht="105">
      <c r="A10" s="1">
        <v>9</v>
      </c>
      <c r="B10" s="1" t="s">
        <v>3976</v>
      </c>
      <c r="C10" s="23" t="s">
        <v>4491</v>
      </c>
      <c r="D10" s="36">
        <v>46031</v>
      </c>
      <c r="E10" s="1" t="s">
        <v>30</v>
      </c>
      <c r="F10" s="1" t="s">
        <v>22</v>
      </c>
      <c r="G10" s="1" t="s">
        <v>3905</v>
      </c>
      <c r="H10" s="1" t="s">
        <v>3978</v>
      </c>
      <c r="I10" s="1" t="s">
        <v>933</v>
      </c>
      <c r="J10" s="1" t="s">
        <v>3979</v>
      </c>
      <c r="K10" s="1" t="s">
        <v>3977</v>
      </c>
      <c r="L10" s="1" t="s">
        <v>3980</v>
      </c>
      <c r="M10" s="1" t="s">
        <v>3981</v>
      </c>
      <c r="N10" s="19" t="s">
        <v>47</v>
      </c>
      <c r="O10" s="2" t="s">
        <v>3910</v>
      </c>
      <c r="P10" s="12">
        <v>46027</v>
      </c>
      <c r="Q10" s="40" t="s">
        <v>3159</v>
      </c>
    </row>
    <row r="11" spans="1:22" ht="240">
      <c r="A11" s="1">
        <v>10</v>
      </c>
      <c r="B11" s="1" t="s">
        <v>3982</v>
      </c>
      <c r="C11" s="23" t="s">
        <v>4492</v>
      </c>
      <c r="D11" s="36">
        <v>46031</v>
      </c>
      <c r="E11" s="1" t="s">
        <v>30</v>
      </c>
      <c r="F11" s="1" t="s">
        <v>22</v>
      </c>
      <c r="G11" s="1" t="s">
        <v>3905</v>
      </c>
      <c r="H11" s="1" t="s">
        <v>3984</v>
      </c>
      <c r="I11" s="1" t="s">
        <v>933</v>
      </c>
      <c r="J11" s="1" t="s">
        <v>3985</v>
      </c>
      <c r="K11" s="1" t="s">
        <v>3983</v>
      </c>
      <c r="L11" s="1" t="s">
        <v>3986</v>
      </c>
      <c r="M11" s="5" t="s">
        <v>3987</v>
      </c>
      <c r="N11" s="19" t="s">
        <v>47</v>
      </c>
      <c r="O11" s="2" t="s">
        <v>3910</v>
      </c>
      <c r="P11" s="12">
        <v>46027</v>
      </c>
      <c r="Q11" s="40" t="s">
        <v>3159</v>
      </c>
    </row>
    <row r="12" spans="1:22" ht="195">
      <c r="A12" s="1">
        <v>11</v>
      </c>
      <c r="B12" s="1" t="s">
        <v>3988</v>
      </c>
      <c r="C12" s="1"/>
      <c r="D12" s="1"/>
      <c r="E12" s="1" t="s">
        <v>30</v>
      </c>
      <c r="F12" s="1" t="s">
        <v>22</v>
      </c>
      <c r="G12" s="1" t="s">
        <v>3905</v>
      </c>
      <c r="H12" s="1" t="s">
        <v>3990</v>
      </c>
      <c r="I12" s="1" t="s">
        <v>933</v>
      </c>
      <c r="J12" s="1" t="s">
        <v>3991</v>
      </c>
      <c r="K12" s="14" t="s">
        <v>255</v>
      </c>
      <c r="L12" s="1" t="s">
        <v>3989</v>
      </c>
      <c r="M12" s="1" t="s">
        <v>3992</v>
      </c>
      <c r="N12" s="3" t="s">
        <v>24</v>
      </c>
      <c r="O12" s="2" t="s">
        <v>3910</v>
      </c>
      <c r="P12" s="12">
        <v>46027</v>
      </c>
    </row>
    <row r="13" spans="1:22" ht="120">
      <c r="A13" s="1">
        <v>12</v>
      </c>
      <c r="B13" s="1" t="s">
        <v>3993</v>
      </c>
      <c r="C13" s="1"/>
      <c r="D13" s="1"/>
      <c r="E13" s="1" t="s">
        <v>30</v>
      </c>
      <c r="F13" s="1" t="s">
        <v>22</v>
      </c>
      <c r="G13" s="1" t="s">
        <v>3905</v>
      </c>
      <c r="H13" s="1" t="s">
        <v>3994</v>
      </c>
      <c r="I13" s="1" t="s">
        <v>933</v>
      </c>
      <c r="J13" s="1" t="s">
        <v>3999</v>
      </c>
      <c r="K13" s="1" t="s">
        <v>3995</v>
      </c>
      <c r="L13" s="1" t="s">
        <v>3996</v>
      </c>
      <c r="M13" s="1" t="s">
        <v>854</v>
      </c>
      <c r="N13" s="3" t="s">
        <v>24</v>
      </c>
      <c r="O13" s="2" t="s">
        <v>3910</v>
      </c>
      <c r="P13" s="12">
        <v>46027</v>
      </c>
    </row>
    <row r="14" spans="1:22" ht="165">
      <c r="A14" s="1">
        <v>13</v>
      </c>
      <c r="B14" s="1" t="s">
        <v>3997</v>
      </c>
      <c r="C14" s="1"/>
      <c r="D14" s="1"/>
      <c r="E14" s="1" t="s">
        <v>30</v>
      </c>
      <c r="F14" s="1" t="s">
        <v>22</v>
      </c>
      <c r="G14" s="1" t="s">
        <v>3905</v>
      </c>
      <c r="H14" s="1" t="s">
        <v>3998</v>
      </c>
      <c r="I14" s="1" t="s">
        <v>933</v>
      </c>
      <c r="J14" s="1" t="s">
        <v>4000</v>
      </c>
      <c r="K14" s="14" t="s">
        <v>4001</v>
      </c>
      <c r="L14" s="5" t="s">
        <v>4002</v>
      </c>
      <c r="M14" s="1" t="s">
        <v>4003</v>
      </c>
      <c r="N14" s="3" t="s">
        <v>24</v>
      </c>
      <c r="O14" s="2" t="s">
        <v>3910</v>
      </c>
      <c r="P14" s="12">
        <v>46027</v>
      </c>
    </row>
    <row r="15" spans="1:22" ht="135">
      <c r="A15" s="1">
        <v>14</v>
      </c>
      <c r="B15" s="1" t="s">
        <v>4004</v>
      </c>
      <c r="C15" s="1"/>
      <c r="D15" s="1"/>
      <c r="E15" s="1" t="s">
        <v>30</v>
      </c>
      <c r="F15" s="1" t="s">
        <v>22</v>
      </c>
      <c r="G15" s="1" t="s">
        <v>3905</v>
      </c>
      <c r="H15" s="1" t="s">
        <v>4005</v>
      </c>
      <c r="I15" s="1" t="s">
        <v>933</v>
      </c>
      <c r="J15" s="1" t="s">
        <v>4006</v>
      </c>
      <c r="K15" s="1" t="s">
        <v>890</v>
      </c>
      <c r="L15" s="1" t="s">
        <v>4007</v>
      </c>
      <c r="M15" s="1" t="s">
        <v>4008</v>
      </c>
      <c r="N15" s="3" t="s">
        <v>274</v>
      </c>
      <c r="O15" s="2" t="s">
        <v>3910</v>
      </c>
      <c r="P15" s="12">
        <v>46027</v>
      </c>
    </row>
    <row r="16" spans="1:22" ht="120">
      <c r="A16" s="1">
        <v>15</v>
      </c>
      <c r="B16" s="1" t="s">
        <v>4009</v>
      </c>
      <c r="C16" s="1"/>
      <c r="D16" s="1"/>
      <c r="E16" s="1" t="s">
        <v>30</v>
      </c>
      <c r="F16" s="1" t="s">
        <v>22</v>
      </c>
      <c r="G16" s="1" t="s">
        <v>3905</v>
      </c>
      <c r="H16" s="1" t="s">
        <v>4010</v>
      </c>
      <c r="I16" s="1" t="s">
        <v>933</v>
      </c>
      <c r="J16" s="1" t="s">
        <v>4011</v>
      </c>
      <c r="K16" s="1" t="s">
        <v>2933</v>
      </c>
      <c r="L16" s="1" t="s">
        <v>2934</v>
      </c>
      <c r="M16" s="1" t="s">
        <v>4012</v>
      </c>
      <c r="N16" s="3" t="s">
        <v>24</v>
      </c>
      <c r="O16" s="2" t="s">
        <v>3910</v>
      </c>
      <c r="P16" s="12">
        <v>46027</v>
      </c>
    </row>
    <row r="17" spans="1:17" ht="120">
      <c r="A17" s="1">
        <v>16</v>
      </c>
      <c r="B17" s="1" t="s">
        <v>4013</v>
      </c>
      <c r="C17" s="1"/>
      <c r="D17" s="1"/>
      <c r="E17" s="1" t="s">
        <v>30</v>
      </c>
      <c r="F17" s="1" t="s">
        <v>22</v>
      </c>
      <c r="G17" s="1" t="s">
        <v>3905</v>
      </c>
      <c r="H17" s="1" t="s">
        <v>4014</v>
      </c>
      <c r="I17" s="1" t="s">
        <v>933</v>
      </c>
      <c r="J17" s="1" t="s">
        <v>4018</v>
      </c>
      <c r="K17" s="1" t="s">
        <v>2933</v>
      </c>
      <c r="L17" s="1" t="s">
        <v>2939</v>
      </c>
      <c r="M17" s="1" t="s">
        <v>4015</v>
      </c>
      <c r="N17" s="3" t="s">
        <v>24</v>
      </c>
      <c r="O17" s="2" t="s">
        <v>3910</v>
      </c>
      <c r="P17" s="12">
        <v>46027</v>
      </c>
    </row>
    <row r="18" spans="1:17" ht="135">
      <c r="A18" s="1">
        <v>17</v>
      </c>
      <c r="B18" s="1" t="s">
        <v>4016</v>
      </c>
      <c r="C18" s="23" t="s">
        <v>4493</v>
      </c>
      <c r="D18" s="36">
        <v>46031</v>
      </c>
      <c r="E18" s="1" t="s">
        <v>30</v>
      </c>
      <c r="F18" s="1" t="s">
        <v>22</v>
      </c>
      <c r="G18" s="1" t="s">
        <v>3905</v>
      </c>
      <c r="H18" s="1" t="s">
        <v>4017</v>
      </c>
      <c r="I18" s="1" t="s">
        <v>933</v>
      </c>
      <c r="J18" s="1" t="s">
        <v>4019</v>
      </c>
      <c r="K18" s="1" t="s">
        <v>255</v>
      </c>
      <c r="L18" s="1" t="s">
        <v>2943</v>
      </c>
      <c r="M18" s="1" t="s">
        <v>4020</v>
      </c>
      <c r="N18" s="19" t="s">
        <v>47</v>
      </c>
      <c r="O18" s="2" t="s">
        <v>3910</v>
      </c>
      <c r="P18" s="12">
        <v>46027</v>
      </c>
      <c r="Q18" s="40" t="s">
        <v>3159</v>
      </c>
    </row>
    <row r="19" spans="1:17" ht="135">
      <c r="A19" s="1">
        <v>18</v>
      </c>
      <c r="B19" s="1" t="s">
        <v>4021</v>
      </c>
      <c r="C19" s="23" t="s">
        <v>4494</v>
      </c>
      <c r="D19" s="36">
        <v>46031</v>
      </c>
      <c r="E19" s="1" t="s">
        <v>30</v>
      </c>
      <c r="F19" s="1" t="s">
        <v>22</v>
      </c>
      <c r="G19" s="1" t="s">
        <v>3905</v>
      </c>
      <c r="H19" s="1" t="s">
        <v>4022</v>
      </c>
      <c r="I19" s="1" t="s">
        <v>933</v>
      </c>
      <c r="J19" s="1" t="s">
        <v>4023</v>
      </c>
      <c r="K19" s="1" t="s">
        <v>255</v>
      </c>
      <c r="L19" s="1" t="s">
        <v>4024</v>
      </c>
      <c r="M19" s="1" t="s">
        <v>4025</v>
      </c>
      <c r="N19" s="19" t="s">
        <v>47</v>
      </c>
      <c r="O19" s="2" t="s">
        <v>3910</v>
      </c>
      <c r="P19" s="12">
        <v>46027</v>
      </c>
      <c r="Q19" s="40" t="s">
        <v>3159</v>
      </c>
    </row>
    <row r="20" spans="1:17" ht="180">
      <c r="A20" s="1">
        <v>19</v>
      </c>
      <c r="B20" s="1" t="s">
        <v>4026</v>
      </c>
      <c r="C20" s="1"/>
      <c r="D20" s="1"/>
      <c r="E20" s="1" t="s">
        <v>30</v>
      </c>
      <c r="F20" s="1" t="s">
        <v>22</v>
      </c>
      <c r="G20" s="1" t="s">
        <v>3905</v>
      </c>
      <c r="H20" s="1" t="s">
        <v>4028</v>
      </c>
      <c r="I20" s="1" t="s">
        <v>933</v>
      </c>
      <c r="J20" s="1" t="s">
        <v>4029</v>
      </c>
      <c r="K20" s="5" t="s">
        <v>4027</v>
      </c>
      <c r="L20" s="5" t="s">
        <v>4030</v>
      </c>
      <c r="M20" s="1" t="s">
        <v>2441</v>
      </c>
      <c r="N20" s="3" t="s">
        <v>24</v>
      </c>
      <c r="O20" s="2" t="s">
        <v>3910</v>
      </c>
      <c r="P20" s="12">
        <v>46027</v>
      </c>
    </row>
    <row r="21" spans="1:17" ht="90">
      <c r="A21" s="1">
        <v>20</v>
      </c>
      <c r="B21" s="1" t="s">
        <v>4031</v>
      </c>
      <c r="C21" s="1"/>
      <c r="D21" s="1"/>
      <c r="E21" s="1" t="s">
        <v>30</v>
      </c>
      <c r="F21" s="1" t="s">
        <v>22</v>
      </c>
      <c r="G21" s="1" t="s">
        <v>3905</v>
      </c>
      <c r="H21" s="1" t="s">
        <v>4032</v>
      </c>
      <c r="I21" s="1" t="s">
        <v>933</v>
      </c>
      <c r="J21" s="1" t="s">
        <v>4033</v>
      </c>
      <c r="K21" s="1" t="s">
        <v>255</v>
      </c>
      <c r="L21" s="1" t="s">
        <v>3088</v>
      </c>
      <c r="M21" s="1" t="s">
        <v>1857</v>
      </c>
      <c r="N21" s="3" t="s">
        <v>24</v>
      </c>
      <c r="O21" s="2" t="s">
        <v>3910</v>
      </c>
      <c r="P21" s="12">
        <v>46027</v>
      </c>
    </row>
    <row r="22" spans="1:17" ht="30">
      <c r="A22" s="1"/>
      <c r="B22" s="1"/>
      <c r="C22" s="1"/>
      <c r="D22" s="1"/>
      <c r="E22" s="1"/>
      <c r="F22" s="1"/>
      <c r="G22" s="1"/>
      <c r="H22" s="1" t="s">
        <v>4034</v>
      </c>
    </row>
    <row r="23" spans="1:17" ht="30">
      <c r="A23" s="1"/>
      <c r="B23" s="1"/>
      <c r="C23" s="1"/>
      <c r="D23" s="1"/>
      <c r="E23" s="1"/>
      <c r="F23" s="1"/>
      <c r="G23" s="1"/>
      <c r="H23" s="1" t="s">
        <v>4035</v>
      </c>
    </row>
    <row r="1048576" spans="11:11">
      <c r="K1048576" s="1"/>
    </row>
  </sheetData>
  <autoFilter ref="A1:V23">
    <filterColumn colId="13"/>
  </autoFilter>
  <hyperlinks>
    <hyperlink ref="C3" r:id="rId1" display="https://hanssupport.atlassian.net/browse/BA-428"/>
    <hyperlink ref="C4" r:id="rId2" display="https://hanssupport.atlassian.net/browse/BA-430"/>
    <hyperlink ref="C5" r:id="rId3" display="https://hanssupport.atlassian.net/browse/BA-431"/>
    <hyperlink ref="C9" r:id="rId4" display="https://hanssupport.atlassian.net/browse/BA-432"/>
    <hyperlink ref="C10" r:id="rId5" display="https://hanssupport.atlassian.net/browse/BA-433"/>
    <hyperlink ref="C11" r:id="rId6" display="https://hanssupport.atlassian.net/browse/BA-434"/>
    <hyperlink ref="C18" r:id="rId7" display="https://hanssupport.atlassian.net/browse/BA-435"/>
    <hyperlink ref="C19" r:id="rId8" display="https://hanssupport.atlassian.net/browse/BA-436"/>
  </hyperlinks>
  <pageMargins left="0.7" right="0.7" top="0.75" bottom="0.75" header="0.3" footer="0.3"/>
  <pageSetup paperSize="9" orientation="portrait" verticalDpi="0" r:id="rId9"/>
</worksheet>
</file>

<file path=xl/worksheets/sheet40.xml><?xml version="1.0" encoding="utf-8"?>
<worksheet xmlns="http://schemas.openxmlformats.org/spreadsheetml/2006/main" xmlns:r="http://schemas.openxmlformats.org/officeDocument/2006/relationships">
  <dimension ref="A1:V19"/>
  <sheetViews>
    <sheetView topLeftCell="I1" workbookViewId="0">
      <pane ySplit="1" topLeftCell="A11" activePane="bottomLeft" state="frozen"/>
      <selection activeCell="K1" sqref="K1"/>
      <selection pane="bottomLeft" activeCell="M13" sqref="M13"/>
    </sheetView>
  </sheetViews>
  <sheetFormatPr defaultRowHeight="15"/>
  <cols>
    <col min="1" max="1" width="7.5703125" style="45" customWidth="1"/>
    <col min="2" max="2" width="15.85546875" style="45" customWidth="1"/>
    <col min="3" max="3" width="14.7109375" style="45" customWidth="1"/>
    <col min="4" max="4" width="20.42578125" style="45" customWidth="1"/>
    <col min="5" max="5" width="14" style="45" customWidth="1"/>
    <col min="6" max="6" width="10.85546875" style="45" customWidth="1"/>
    <col min="7" max="7" width="15.5703125" style="45" customWidth="1"/>
    <col min="8" max="8" width="58.5703125" style="45" customWidth="1"/>
    <col min="9" max="9" width="42.42578125" style="45" customWidth="1"/>
    <col min="10" max="10" width="54.140625" style="45" customWidth="1"/>
    <col min="11" max="11" width="36.85546875" style="45" customWidth="1"/>
    <col min="12" max="12" width="52.140625" style="45" customWidth="1"/>
    <col min="13" max="13" width="47.7109375" style="45" customWidth="1"/>
    <col min="14" max="14" width="15.140625" style="45" customWidth="1"/>
    <col min="15" max="15" width="36.7109375" style="45" customWidth="1"/>
    <col min="16" max="16" width="20.5703125" style="45" customWidth="1"/>
    <col min="17" max="17" width="13.7109375" style="45" customWidth="1"/>
    <col min="18" max="18" width="14.5703125" style="45" customWidth="1"/>
    <col min="19" max="19" width="18.42578125" style="45" customWidth="1"/>
    <col min="20" max="20" width="21.42578125" style="45" customWidth="1"/>
    <col min="21" max="21" width="24" style="45" customWidth="1"/>
    <col min="22" max="22" width="13.85546875" style="45" customWidth="1"/>
    <col min="23" max="16384" width="9.140625" style="45"/>
  </cols>
  <sheetData>
    <row r="1" spans="1:22" s="44" customFormat="1" ht="37.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4036</v>
      </c>
      <c r="C2" s="1"/>
      <c r="D2" s="1"/>
      <c r="E2" s="1" t="s">
        <v>30</v>
      </c>
      <c r="F2" s="1" t="s">
        <v>22</v>
      </c>
      <c r="G2" s="1" t="s">
        <v>4037</v>
      </c>
      <c r="H2" s="1" t="s">
        <v>4038</v>
      </c>
      <c r="I2" s="1" t="s">
        <v>933</v>
      </c>
      <c r="J2" s="1" t="s">
        <v>4039</v>
      </c>
      <c r="K2" s="1" t="s">
        <v>1074</v>
      </c>
      <c r="L2" s="1" t="s">
        <v>4040</v>
      </c>
      <c r="M2" s="1" t="s">
        <v>4041</v>
      </c>
      <c r="N2" s="3" t="s">
        <v>24</v>
      </c>
      <c r="O2" s="2" t="s">
        <v>3910</v>
      </c>
      <c r="P2" s="12">
        <v>46027</v>
      </c>
    </row>
    <row r="3" spans="1:22" ht="120">
      <c r="A3" s="1">
        <v>2</v>
      </c>
      <c r="B3" s="1" t="s">
        <v>4042</v>
      </c>
      <c r="C3" s="23" t="s">
        <v>4495</v>
      </c>
      <c r="D3" s="36">
        <v>46031</v>
      </c>
      <c r="E3" s="1" t="s">
        <v>30</v>
      </c>
      <c r="F3" s="1" t="s">
        <v>22</v>
      </c>
      <c r="G3" s="1" t="s">
        <v>4037</v>
      </c>
      <c r="H3" s="1" t="s">
        <v>4043</v>
      </c>
      <c r="I3" s="1" t="s">
        <v>933</v>
      </c>
      <c r="J3" s="1" t="s">
        <v>4044</v>
      </c>
      <c r="K3" s="1" t="s">
        <v>4045</v>
      </c>
      <c r="L3" s="1" t="s">
        <v>3361</v>
      </c>
      <c r="M3" s="1" t="s">
        <v>4046</v>
      </c>
      <c r="N3" s="19" t="s">
        <v>47</v>
      </c>
      <c r="O3" s="2" t="s">
        <v>3910</v>
      </c>
      <c r="P3" s="12">
        <v>46027</v>
      </c>
      <c r="Q3" s="40" t="s">
        <v>3159</v>
      </c>
    </row>
    <row r="4" spans="1:22" ht="165">
      <c r="A4" s="1">
        <v>3</v>
      </c>
      <c r="B4" s="1" t="s">
        <v>4047</v>
      </c>
      <c r="C4" s="1"/>
      <c r="D4" s="1"/>
      <c r="E4" s="1" t="s">
        <v>30</v>
      </c>
      <c r="F4" s="1" t="s">
        <v>22</v>
      </c>
      <c r="G4" s="1" t="s">
        <v>4037</v>
      </c>
      <c r="H4" s="1" t="s">
        <v>4048</v>
      </c>
      <c r="I4" s="1" t="s">
        <v>933</v>
      </c>
      <c r="J4" s="1" t="s">
        <v>4049</v>
      </c>
      <c r="K4" s="1" t="s">
        <v>255</v>
      </c>
      <c r="L4" s="1" t="s">
        <v>2833</v>
      </c>
      <c r="M4" s="1" t="s">
        <v>1524</v>
      </c>
      <c r="N4" s="3" t="s">
        <v>274</v>
      </c>
      <c r="O4" s="2" t="s">
        <v>3910</v>
      </c>
      <c r="P4" s="12">
        <v>46027</v>
      </c>
    </row>
    <row r="5" spans="1:22" ht="180">
      <c r="A5" s="1">
        <v>4</v>
      </c>
      <c r="B5" s="1" t="s">
        <v>4050</v>
      </c>
      <c r="C5" s="1"/>
      <c r="D5" s="1"/>
      <c r="E5" s="1" t="s">
        <v>30</v>
      </c>
      <c r="F5" s="1" t="s">
        <v>22</v>
      </c>
      <c r="G5" s="1" t="s">
        <v>4037</v>
      </c>
      <c r="H5" s="1" t="s">
        <v>4053</v>
      </c>
      <c r="I5" s="1" t="s">
        <v>933</v>
      </c>
      <c r="J5" s="1" t="s">
        <v>4054</v>
      </c>
      <c r="K5" s="1" t="s">
        <v>1905</v>
      </c>
      <c r="L5" s="1" t="s">
        <v>4051</v>
      </c>
      <c r="M5" s="14" t="s">
        <v>4052</v>
      </c>
      <c r="N5" s="3" t="s">
        <v>24</v>
      </c>
      <c r="O5" s="2" t="s">
        <v>3910</v>
      </c>
      <c r="P5" s="12">
        <v>46027</v>
      </c>
    </row>
    <row r="6" spans="1:22" ht="180">
      <c r="A6" s="1">
        <v>5</v>
      </c>
      <c r="B6" s="1" t="s">
        <v>4055</v>
      </c>
      <c r="C6" s="23" t="s">
        <v>4496</v>
      </c>
      <c r="D6" s="36">
        <v>46031</v>
      </c>
      <c r="E6" s="1" t="s">
        <v>30</v>
      </c>
      <c r="F6" s="1" t="s">
        <v>22</v>
      </c>
      <c r="G6" s="1" t="s">
        <v>4037</v>
      </c>
      <c r="H6" s="1" t="s">
        <v>4056</v>
      </c>
      <c r="I6" s="1" t="s">
        <v>933</v>
      </c>
      <c r="J6" s="1" t="s">
        <v>4057</v>
      </c>
      <c r="K6" s="1" t="s">
        <v>4058</v>
      </c>
      <c r="L6" s="1" t="s">
        <v>4133</v>
      </c>
      <c r="M6" s="1" t="s">
        <v>4064</v>
      </c>
      <c r="N6" s="19" t="s">
        <v>47</v>
      </c>
      <c r="O6" s="2" t="s">
        <v>3910</v>
      </c>
      <c r="P6" s="12">
        <v>46027</v>
      </c>
      <c r="Q6" s="40" t="s">
        <v>3159</v>
      </c>
    </row>
    <row r="7" spans="1:22" ht="165">
      <c r="A7" s="1">
        <v>6</v>
      </c>
      <c r="B7" s="1" t="s">
        <v>4059</v>
      </c>
      <c r="C7" s="23" t="s">
        <v>4497</v>
      </c>
      <c r="D7" s="36">
        <v>46031</v>
      </c>
      <c r="E7" s="1" t="s">
        <v>30</v>
      </c>
      <c r="F7" s="1" t="s">
        <v>22</v>
      </c>
      <c r="G7" s="1" t="s">
        <v>4037</v>
      </c>
      <c r="H7" s="1" t="s">
        <v>4060</v>
      </c>
      <c r="I7" s="1" t="s">
        <v>933</v>
      </c>
      <c r="J7" s="1" t="s">
        <v>4061</v>
      </c>
      <c r="K7" s="1" t="s">
        <v>4062</v>
      </c>
      <c r="L7" s="1" t="s">
        <v>4063</v>
      </c>
      <c r="M7" s="1" t="s">
        <v>4065</v>
      </c>
      <c r="N7" s="19" t="s">
        <v>47</v>
      </c>
      <c r="O7" s="2" t="s">
        <v>3910</v>
      </c>
      <c r="P7" s="12">
        <v>46027</v>
      </c>
      <c r="Q7" s="40" t="s">
        <v>3159</v>
      </c>
    </row>
    <row r="8" spans="1:22" ht="120">
      <c r="A8" s="1">
        <v>7</v>
      </c>
      <c r="B8" s="1" t="s">
        <v>4066</v>
      </c>
      <c r="C8" s="1"/>
      <c r="D8" s="1"/>
      <c r="E8" s="1" t="s">
        <v>30</v>
      </c>
      <c r="F8" s="1" t="s">
        <v>22</v>
      </c>
      <c r="G8" s="1" t="s">
        <v>4037</v>
      </c>
      <c r="H8" s="1" t="s">
        <v>4067</v>
      </c>
      <c r="I8" s="1" t="s">
        <v>933</v>
      </c>
      <c r="J8" s="1" t="s">
        <v>4068</v>
      </c>
      <c r="K8" s="1" t="s">
        <v>4069</v>
      </c>
      <c r="L8" s="1" t="s">
        <v>4070</v>
      </c>
      <c r="M8" s="1" t="s">
        <v>4071</v>
      </c>
      <c r="N8" s="3" t="s">
        <v>24</v>
      </c>
      <c r="O8" s="2" t="s">
        <v>3910</v>
      </c>
      <c r="P8" s="12">
        <v>46027</v>
      </c>
    </row>
    <row r="9" spans="1:22" ht="195">
      <c r="A9" s="1">
        <v>8</v>
      </c>
      <c r="B9" s="1" t="s">
        <v>4072</v>
      </c>
      <c r="C9" s="1"/>
      <c r="D9" s="1"/>
      <c r="E9" s="1" t="s">
        <v>30</v>
      </c>
      <c r="F9" s="1" t="s">
        <v>22</v>
      </c>
      <c r="G9" s="1" t="s">
        <v>4037</v>
      </c>
      <c r="H9" s="1" t="s">
        <v>4073</v>
      </c>
      <c r="I9" s="1" t="s">
        <v>933</v>
      </c>
      <c r="J9" s="1" t="s">
        <v>4074</v>
      </c>
      <c r="K9" s="14" t="s">
        <v>255</v>
      </c>
      <c r="L9" s="1" t="s">
        <v>4075</v>
      </c>
      <c r="M9" s="1" t="s">
        <v>4076</v>
      </c>
      <c r="N9" s="3" t="s">
        <v>24</v>
      </c>
      <c r="O9" s="2" t="s">
        <v>3910</v>
      </c>
      <c r="P9" s="12">
        <v>46027</v>
      </c>
    </row>
    <row r="10" spans="1:22" ht="150">
      <c r="A10" s="1">
        <v>9</v>
      </c>
      <c r="B10" s="1" t="s">
        <v>4077</v>
      </c>
      <c r="C10" s="1"/>
      <c r="D10" s="1"/>
      <c r="E10" s="1" t="s">
        <v>30</v>
      </c>
      <c r="F10" s="1" t="s">
        <v>22</v>
      </c>
      <c r="G10" s="1" t="s">
        <v>4037</v>
      </c>
      <c r="H10" s="1" t="s">
        <v>4079</v>
      </c>
      <c r="I10" s="1" t="s">
        <v>933</v>
      </c>
      <c r="J10" s="1" t="s">
        <v>4082</v>
      </c>
      <c r="K10" s="1" t="s">
        <v>4078</v>
      </c>
      <c r="L10" s="1" t="s">
        <v>4080</v>
      </c>
      <c r="M10" s="1" t="s">
        <v>854</v>
      </c>
      <c r="N10" s="3" t="s">
        <v>24</v>
      </c>
      <c r="O10" s="2" t="s">
        <v>3910</v>
      </c>
      <c r="P10" s="12">
        <v>46027</v>
      </c>
    </row>
    <row r="11" spans="1:22" ht="180">
      <c r="A11" s="1">
        <v>10</v>
      </c>
      <c r="B11" s="1" t="s">
        <v>4081</v>
      </c>
      <c r="C11" s="1"/>
      <c r="D11" s="1"/>
      <c r="E11" s="1" t="s">
        <v>30</v>
      </c>
      <c r="F11" s="1" t="s">
        <v>22</v>
      </c>
      <c r="G11" s="1" t="s">
        <v>4037</v>
      </c>
      <c r="H11" s="1" t="s">
        <v>4087</v>
      </c>
      <c r="I11" s="1" t="s">
        <v>933</v>
      </c>
      <c r="J11" s="1" t="s">
        <v>4083</v>
      </c>
      <c r="K11" s="14" t="s">
        <v>4084</v>
      </c>
      <c r="L11" s="5" t="s">
        <v>4085</v>
      </c>
      <c r="M11" s="1" t="s">
        <v>4003</v>
      </c>
      <c r="N11" s="3" t="s">
        <v>24</v>
      </c>
      <c r="O11" s="2" t="s">
        <v>3910</v>
      </c>
      <c r="P11" s="12">
        <v>46027</v>
      </c>
    </row>
    <row r="12" spans="1:22" ht="135">
      <c r="A12" s="1">
        <v>11</v>
      </c>
      <c r="B12" s="1" t="s">
        <v>4086</v>
      </c>
      <c r="C12" s="1"/>
      <c r="D12" s="1"/>
      <c r="E12" s="1" t="s">
        <v>30</v>
      </c>
      <c r="F12" s="1" t="s">
        <v>22</v>
      </c>
      <c r="G12" s="1" t="s">
        <v>4037</v>
      </c>
      <c r="H12" s="1" t="s">
        <v>4088</v>
      </c>
      <c r="I12" s="1" t="s">
        <v>933</v>
      </c>
      <c r="J12" s="1" t="s">
        <v>4089</v>
      </c>
      <c r="K12" s="1" t="s">
        <v>890</v>
      </c>
      <c r="L12" s="1" t="s">
        <v>4007</v>
      </c>
      <c r="M12" s="1" t="s">
        <v>4008</v>
      </c>
      <c r="N12" s="3" t="s">
        <v>24</v>
      </c>
      <c r="O12" s="2" t="s">
        <v>3910</v>
      </c>
      <c r="P12" s="12">
        <v>46027</v>
      </c>
    </row>
    <row r="13" spans="1:22" ht="135">
      <c r="A13" s="1">
        <v>12</v>
      </c>
      <c r="B13" s="1" t="s">
        <v>4090</v>
      </c>
      <c r="C13" s="1"/>
      <c r="D13" s="1"/>
      <c r="E13" s="1" t="s">
        <v>30</v>
      </c>
      <c r="F13" s="1" t="s">
        <v>22</v>
      </c>
      <c r="G13" s="1" t="s">
        <v>4037</v>
      </c>
      <c r="H13" s="1" t="s">
        <v>4091</v>
      </c>
      <c r="I13" s="1" t="s">
        <v>933</v>
      </c>
      <c r="J13" s="1" t="s">
        <v>4092</v>
      </c>
      <c r="K13" s="1" t="s">
        <v>2933</v>
      </c>
      <c r="L13" s="1" t="s">
        <v>2934</v>
      </c>
      <c r="M13" s="1" t="s">
        <v>4012</v>
      </c>
      <c r="N13" s="3" t="s">
        <v>24</v>
      </c>
      <c r="O13" s="2" t="s">
        <v>3910</v>
      </c>
      <c r="P13" s="12">
        <v>46027</v>
      </c>
    </row>
    <row r="14" spans="1:22" ht="150">
      <c r="A14" s="1">
        <v>13</v>
      </c>
      <c r="B14" s="1" t="s">
        <v>4095</v>
      </c>
      <c r="C14" s="1"/>
      <c r="D14" s="1"/>
      <c r="E14" s="1" t="s">
        <v>30</v>
      </c>
      <c r="F14" s="1" t="s">
        <v>22</v>
      </c>
      <c r="G14" s="1" t="s">
        <v>4037</v>
      </c>
      <c r="H14" s="1" t="s">
        <v>4093</v>
      </c>
      <c r="I14" s="1" t="s">
        <v>933</v>
      </c>
      <c r="J14" s="1" t="s">
        <v>4094</v>
      </c>
      <c r="K14" s="1" t="s">
        <v>2933</v>
      </c>
      <c r="L14" s="1" t="s">
        <v>2939</v>
      </c>
      <c r="M14" s="1" t="s">
        <v>4015</v>
      </c>
      <c r="N14" s="3" t="s">
        <v>24</v>
      </c>
      <c r="O14" s="2" t="s">
        <v>3910</v>
      </c>
      <c r="P14" s="12">
        <v>46027</v>
      </c>
    </row>
    <row r="15" spans="1:22" ht="150">
      <c r="A15" s="1">
        <v>14</v>
      </c>
      <c r="B15" s="1" t="s">
        <v>4096</v>
      </c>
      <c r="C15" s="23" t="s">
        <v>4499</v>
      </c>
      <c r="D15" s="36">
        <v>46031</v>
      </c>
      <c r="E15" s="1" t="s">
        <v>30</v>
      </c>
      <c r="F15" s="1" t="s">
        <v>22</v>
      </c>
      <c r="G15" s="1" t="s">
        <v>4037</v>
      </c>
      <c r="H15" s="1" t="s">
        <v>4097</v>
      </c>
      <c r="I15" s="1" t="s">
        <v>933</v>
      </c>
      <c r="J15" s="1" t="s">
        <v>4498</v>
      </c>
      <c r="K15" s="1" t="s">
        <v>255</v>
      </c>
      <c r="L15" s="1" t="s">
        <v>2943</v>
      </c>
      <c r="M15" s="1" t="s">
        <v>4102</v>
      </c>
      <c r="N15" s="19" t="s">
        <v>47</v>
      </c>
      <c r="O15" s="2" t="s">
        <v>3910</v>
      </c>
      <c r="P15" s="12">
        <v>46027</v>
      </c>
      <c r="Q15" s="40" t="s">
        <v>3159</v>
      </c>
    </row>
    <row r="16" spans="1:22" ht="150">
      <c r="A16" s="1">
        <v>15</v>
      </c>
      <c r="B16" s="1" t="s">
        <v>4098</v>
      </c>
      <c r="C16" s="23" t="s">
        <v>4500</v>
      </c>
      <c r="D16" s="36">
        <v>46031</v>
      </c>
      <c r="E16" s="1" t="s">
        <v>30</v>
      </c>
      <c r="F16" s="1" t="s">
        <v>22</v>
      </c>
      <c r="G16" s="1" t="s">
        <v>4037</v>
      </c>
      <c r="H16" s="1" t="s">
        <v>4099</v>
      </c>
      <c r="I16" s="1" t="s">
        <v>933</v>
      </c>
      <c r="J16" s="1" t="s">
        <v>4100</v>
      </c>
      <c r="K16" s="1" t="s">
        <v>255</v>
      </c>
      <c r="L16" s="1" t="s">
        <v>4024</v>
      </c>
      <c r="M16" s="1" t="s">
        <v>4101</v>
      </c>
      <c r="N16" s="19" t="s">
        <v>47</v>
      </c>
      <c r="O16" s="2" t="s">
        <v>3910</v>
      </c>
      <c r="P16" s="12">
        <v>46027</v>
      </c>
      <c r="Q16" s="40" t="s">
        <v>3159</v>
      </c>
    </row>
    <row r="17" spans="1:16" ht="90">
      <c r="A17" s="1">
        <v>16</v>
      </c>
      <c r="B17" s="1" t="s">
        <v>4103</v>
      </c>
      <c r="C17" s="1"/>
      <c r="D17" s="1"/>
      <c r="E17" s="1" t="s">
        <v>30</v>
      </c>
      <c r="F17" s="1" t="s">
        <v>22</v>
      </c>
      <c r="G17" s="1" t="s">
        <v>4037</v>
      </c>
      <c r="H17" s="1" t="s">
        <v>4104</v>
      </c>
      <c r="I17" s="1" t="s">
        <v>933</v>
      </c>
      <c r="J17" s="1" t="s">
        <v>4105</v>
      </c>
      <c r="K17" s="1" t="s">
        <v>255</v>
      </c>
      <c r="L17" s="1" t="s">
        <v>3088</v>
      </c>
      <c r="M17" s="1" t="s">
        <v>1857</v>
      </c>
      <c r="N17" s="3" t="s">
        <v>24</v>
      </c>
      <c r="O17" s="2" t="s">
        <v>3910</v>
      </c>
      <c r="P17" s="12">
        <v>46027</v>
      </c>
    </row>
    <row r="18" spans="1:16" ht="30">
      <c r="H18" s="1" t="s">
        <v>4106</v>
      </c>
    </row>
    <row r="19" spans="1:16" ht="30">
      <c r="H19" s="1" t="s">
        <v>4107</v>
      </c>
    </row>
  </sheetData>
  <autoFilter ref="A1:V19"/>
  <hyperlinks>
    <hyperlink ref="C3" r:id="rId1" display="https://hanssupport.atlassian.net/browse/BA-437"/>
    <hyperlink ref="C6" r:id="rId2" display="https://hanssupport.atlassian.net/browse/BA-438"/>
    <hyperlink ref="C7" r:id="rId3" display="https://hanssupport.atlassian.net/browse/BA-439"/>
    <hyperlink ref="C15" r:id="rId4" display="https://hanssupport.atlassian.net/browse/BA-440"/>
    <hyperlink ref="C16" r:id="rId5" display="https://hanssupport.atlassian.net/browse/BA-441"/>
  </hyperlinks>
  <pageMargins left="0.7" right="0.7" top="0.75" bottom="0.75" header="0.3" footer="0.3"/>
  <pageSetup paperSize="9" orientation="portrait" verticalDpi="0" r:id="rId6"/>
</worksheet>
</file>

<file path=xl/worksheets/sheet41.xml><?xml version="1.0" encoding="utf-8"?>
<worksheet xmlns="http://schemas.openxmlformats.org/spreadsheetml/2006/main" xmlns:r="http://schemas.openxmlformats.org/officeDocument/2006/relationships">
  <dimension ref="A1:V18"/>
  <sheetViews>
    <sheetView topLeftCell="H1" workbookViewId="0">
      <pane ySplit="1" topLeftCell="A13" activePane="bottomLeft" state="frozen"/>
      <selection pane="bottomLeft" activeCell="K17" sqref="K17"/>
    </sheetView>
  </sheetViews>
  <sheetFormatPr defaultRowHeight="15"/>
  <cols>
    <col min="1" max="1" width="9.140625" style="45"/>
    <col min="2" max="2" width="15.140625" style="45" customWidth="1"/>
    <col min="3" max="3" width="11.5703125" style="45" customWidth="1"/>
    <col min="4" max="4" width="19.140625" style="45" customWidth="1"/>
    <col min="5" max="5" width="14.28515625" style="45" customWidth="1"/>
    <col min="6" max="6" width="10.42578125" style="45" customWidth="1"/>
    <col min="7" max="7" width="16.42578125" style="45" customWidth="1"/>
    <col min="8" max="8" width="62.28515625" style="45" customWidth="1"/>
    <col min="9" max="9" width="50" style="45" customWidth="1"/>
    <col min="10" max="10" width="59.140625" style="45" customWidth="1"/>
    <col min="11" max="11" width="32.28515625" style="45" customWidth="1"/>
    <col min="12" max="12" width="56.85546875" style="45" customWidth="1"/>
    <col min="13" max="13" width="57.5703125" style="45" customWidth="1"/>
    <col min="14" max="14" width="15.5703125" style="45" customWidth="1"/>
    <col min="15" max="15" width="29.85546875" style="45" customWidth="1"/>
    <col min="16" max="16" width="18.42578125" style="45" customWidth="1"/>
    <col min="17" max="17" width="13.85546875" style="45" customWidth="1"/>
    <col min="18" max="18" width="14.42578125" style="45" customWidth="1"/>
    <col min="19" max="19" width="18.42578125" style="45" customWidth="1"/>
    <col min="20" max="20" width="20.7109375" style="45" customWidth="1"/>
    <col min="21" max="21" width="25.28515625" style="45" customWidth="1"/>
    <col min="22" max="22" width="16" style="45" customWidth="1"/>
    <col min="23" max="16384" width="9.140625" style="45"/>
  </cols>
  <sheetData>
    <row r="1" spans="1:22" s="44" customFormat="1" ht="37.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4110</v>
      </c>
      <c r="C2" s="1"/>
      <c r="D2" s="1"/>
      <c r="E2" s="1" t="s">
        <v>30</v>
      </c>
      <c r="F2" s="1" t="s">
        <v>22</v>
      </c>
      <c r="G2" s="1" t="s">
        <v>4109</v>
      </c>
      <c r="H2" s="1" t="s">
        <v>4111</v>
      </c>
      <c r="I2" s="1" t="s">
        <v>933</v>
      </c>
      <c r="J2" s="1" t="s">
        <v>4112</v>
      </c>
      <c r="K2" s="1" t="s">
        <v>4108</v>
      </c>
      <c r="L2" s="1" t="s">
        <v>4113</v>
      </c>
      <c r="M2" s="1" t="s">
        <v>4114</v>
      </c>
      <c r="N2" s="3" t="s">
        <v>24</v>
      </c>
      <c r="O2" s="2" t="s">
        <v>3910</v>
      </c>
      <c r="P2" s="12">
        <v>46027</v>
      </c>
    </row>
    <row r="3" spans="1:22" ht="225">
      <c r="A3" s="1">
        <v>2</v>
      </c>
      <c r="B3" s="1" t="s">
        <v>4115</v>
      </c>
      <c r="C3" s="23" t="s">
        <v>4796</v>
      </c>
      <c r="D3" s="36">
        <v>46038</v>
      </c>
      <c r="E3" s="1" t="s">
        <v>30</v>
      </c>
      <c r="F3" s="1" t="s">
        <v>22</v>
      </c>
      <c r="G3" s="1" t="s">
        <v>4109</v>
      </c>
      <c r="H3" s="1" t="s">
        <v>4116</v>
      </c>
      <c r="I3" s="1" t="s">
        <v>933</v>
      </c>
      <c r="J3" s="1" t="s">
        <v>4117</v>
      </c>
      <c r="K3" s="1" t="s">
        <v>4118</v>
      </c>
      <c r="L3" s="1" t="s">
        <v>4119</v>
      </c>
      <c r="M3" s="1" t="s">
        <v>4120</v>
      </c>
      <c r="N3" s="19" t="s">
        <v>47</v>
      </c>
      <c r="O3" s="2" t="s">
        <v>3910</v>
      </c>
      <c r="P3" s="12">
        <v>46027</v>
      </c>
      <c r="Q3" s="40" t="s">
        <v>3159</v>
      </c>
    </row>
    <row r="4" spans="1:22" ht="135">
      <c r="A4" s="1">
        <v>3</v>
      </c>
      <c r="B4" s="1" t="s">
        <v>4121</v>
      </c>
      <c r="C4" s="1"/>
      <c r="D4" s="1"/>
      <c r="E4" s="1" t="s">
        <v>30</v>
      </c>
      <c r="F4" s="1" t="s">
        <v>22</v>
      </c>
      <c r="G4" s="1" t="s">
        <v>4109</v>
      </c>
      <c r="H4" s="1" t="s">
        <v>4122</v>
      </c>
      <c r="I4" s="1" t="s">
        <v>933</v>
      </c>
      <c r="J4" s="1" t="s">
        <v>4123</v>
      </c>
      <c r="K4" s="1" t="s">
        <v>255</v>
      </c>
      <c r="L4" s="1" t="s">
        <v>2833</v>
      </c>
      <c r="M4" s="1" t="s">
        <v>1524</v>
      </c>
      <c r="N4" s="3" t="s">
        <v>274</v>
      </c>
      <c r="O4" s="2" t="s">
        <v>3910</v>
      </c>
      <c r="P4" s="12">
        <v>46027</v>
      </c>
    </row>
    <row r="5" spans="1:22" ht="180">
      <c r="A5" s="1">
        <v>4</v>
      </c>
      <c r="B5" s="1" t="s">
        <v>4124</v>
      </c>
      <c r="C5" s="1"/>
      <c r="D5" s="1"/>
      <c r="E5" s="1" t="s">
        <v>30</v>
      </c>
      <c r="F5" s="1" t="s">
        <v>22</v>
      </c>
      <c r="G5" s="1" t="s">
        <v>4109</v>
      </c>
      <c r="H5" s="1" t="s">
        <v>4130</v>
      </c>
      <c r="I5" s="1" t="s">
        <v>933</v>
      </c>
      <c r="J5" s="1" t="s">
        <v>4125</v>
      </c>
      <c r="K5" s="1" t="s">
        <v>1905</v>
      </c>
      <c r="L5" s="1" t="s">
        <v>4126</v>
      </c>
      <c r="M5" s="14" t="s">
        <v>4127</v>
      </c>
      <c r="N5" s="3" t="s">
        <v>24</v>
      </c>
      <c r="O5" s="2" t="s">
        <v>3910</v>
      </c>
      <c r="P5" s="12">
        <v>46027</v>
      </c>
    </row>
    <row r="6" spans="1:22" ht="90">
      <c r="A6" s="1">
        <v>5</v>
      </c>
      <c r="B6" s="1" t="s">
        <v>4128</v>
      </c>
      <c r="C6" s="1"/>
      <c r="D6" s="1"/>
      <c r="E6" s="1" t="s">
        <v>30</v>
      </c>
      <c r="F6" s="1" t="s">
        <v>22</v>
      </c>
      <c r="G6" s="1" t="s">
        <v>4109</v>
      </c>
      <c r="H6" s="1" t="s">
        <v>4129</v>
      </c>
      <c r="I6" s="1" t="s">
        <v>933</v>
      </c>
      <c r="J6" s="1" t="s">
        <v>4131</v>
      </c>
      <c r="K6" s="1" t="s">
        <v>4132</v>
      </c>
      <c r="L6" s="1" t="s">
        <v>4134</v>
      </c>
      <c r="M6" s="1" t="s">
        <v>4135</v>
      </c>
      <c r="N6" s="3" t="s">
        <v>24</v>
      </c>
      <c r="O6" s="2" t="s">
        <v>3910</v>
      </c>
      <c r="P6" s="12">
        <v>46027</v>
      </c>
    </row>
    <row r="7" spans="1:22" ht="105">
      <c r="A7" s="1">
        <v>6</v>
      </c>
      <c r="B7" s="1" t="s">
        <v>4136</v>
      </c>
      <c r="C7" s="1"/>
      <c r="D7" s="1"/>
      <c r="E7" s="1" t="s">
        <v>30</v>
      </c>
      <c r="F7" s="1" t="s">
        <v>22</v>
      </c>
      <c r="G7" s="1" t="s">
        <v>4109</v>
      </c>
      <c r="H7" s="1" t="s">
        <v>4137</v>
      </c>
      <c r="I7" s="1" t="s">
        <v>933</v>
      </c>
      <c r="J7" s="1" t="s">
        <v>4138</v>
      </c>
      <c r="K7" s="1" t="s">
        <v>4139</v>
      </c>
      <c r="L7" s="1" t="s">
        <v>4140</v>
      </c>
      <c r="M7" s="14" t="s">
        <v>2441</v>
      </c>
      <c r="N7" s="3" t="s">
        <v>24</v>
      </c>
      <c r="O7" s="2" t="s">
        <v>3910</v>
      </c>
      <c r="P7" s="12">
        <v>46027</v>
      </c>
    </row>
    <row r="8" spans="1:22" ht="105">
      <c r="A8" s="1">
        <v>7</v>
      </c>
      <c r="B8" s="1" t="s">
        <v>4141</v>
      </c>
      <c r="C8" s="1"/>
      <c r="D8" s="1"/>
      <c r="E8" s="1" t="s">
        <v>30</v>
      </c>
      <c r="F8" s="1" t="s">
        <v>22</v>
      </c>
      <c r="G8" s="1" t="s">
        <v>4109</v>
      </c>
      <c r="H8" s="1" t="s">
        <v>4142</v>
      </c>
      <c r="I8" s="1" t="s">
        <v>933</v>
      </c>
      <c r="J8" s="1" t="s">
        <v>4143</v>
      </c>
      <c r="K8" s="1" t="s">
        <v>4144</v>
      </c>
      <c r="L8" s="1" t="s">
        <v>4070</v>
      </c>
      <c r="M8" s="1" t="s">
        <v>4071</v>
      </c>
      <c r="N8" s="3" t="s">
        <v>24</v>
      </c>
      <c r="O8" s="2" t="s">
        <v>3910</v>
      </c>
      <c r="P8" s="12">
        <v>46027</v>
      </c>
    </row>
    <row r="9" spans="1:22" ht="180">
      <c r="A9" s="1">
        <v>8</v>
      </c>
      <c r="B9" s="1" t="s">
        <v>4145</v>
      </c>
      <c r="C9" s="1"/>
      <c r="D9" s="1"/>
      <c r="E9" s="1" t="s">
        <v>30</v>
      </c>
      <c r="F9" s="1" t="s">
        <v>22</v>
      </c>
      <c r="G9" s="1" t="s">
        <v>4109</v>
      </c>
      <c r="H9" s="1" t="s">
        <v>4146</v>
      </c>
      <c r="I9" s="1" t="s">
        <v>933</v>
      </c>
      <c r="J9" s="1" t="s">
        <v>4147</v>
      </c>
      <c r="K9" s="14" t="s">
        <v>255</v>
      </c>
      <c r="L9" s="1" t="s">
        <v>4075</v>
      </c>
      <c r="M9" s="1" t="s">
        <v>4076</v>
      </c>
      <c r="N9" s="3" t="s">
        <v>24</v>
      </c>
      <c r="O9" s="2" t="s">
        <v>3910</v>
      </c>
      <c r="P9" s="12">
        <v>46027</v>
      </c>
    </row>
    <row r="10" spans="1:22" ht="135">
      <c r="A10" s="1">
        <v>9</v>
      </c>
      <c r="B10" s="1" t="s">
        <v>4148</v>
      </c>
      <c r="C10" s="1"/>
      <c r="D10" s="1"/>
      <c r="E10" s="1" t="s">
        <v>30</v>
      </c>
      <c r="F10" s="1" t="s">
        <v>22</v>
      </c>
      <c r="G10" s="1" t="s">
        <v>4109</v>
      </c>
      <c r="H10" s="1" t="s">
        <v>4149</v>
      </c>
      <c r="I10" s="1" t="s">
        <v>933</v>
      </c>
      <c r="J10" s="1" t="s">
        <v>4150</v>
      </c>
      <c r="K10" s="1" t="s">
        <v>4078</v>
      </c>
      <c r="L10" s="1" t="s">
        <v>3996</v>
      </c>
      <c r="M10" s="1" t="s">
        <v>854</v>
      </c>
      <c r="N10" s="3" t="s">
        <v>24</v>
      </c>
      <c r="O10" s="2" t="s">
        <v>3910</v>
      </c>
      <c r="P10" s="12">
        <v>46027</v>
      </c>
    </row>
    <row r="11" spans="1:22" ht="120">
      <c r="A11" s="1">
        <v>10</v>
      </c>
      <c r="B11" s="1" t="s">
        <v>4151</v>
      </c>
      <c r="C11" s="1"/>
      <c r="D11" s="1"/>
      <c r="E11" s="1" t="s">
        <v>30</v>
      </c>
      <c r="F11" s="1" t="s">
        <v>22</v>
      </c>
      <c r="G11" s="1" t="s">
        <v>4109</v>
      </c>
      <c r="H11" s="1" t="s">
        <v>4152</v>
      </c>
      <c r="I11" s="1" t="s">
        <v>933</v>
      </c>
      <c r="J11" s="1" t="s">
        <v>4153</v>
      </c>
      <c r="K11" s="1" t="s">
        <v>890</v>
      </c>
      <c r="L11" s="1" t="s">
        <v>4154</v>
      </c>
      <c r="M11" s="1" t="s">
        <v>4008</v>
      </c>
      <c r="N11" s="3" t="s">
        <v>24</v>
      </c>
      <c r="O11" s="2" t="s">
        <v>3910</v>
      </c>
      <c r="P11" s="12">
        <v>46027</v>
      </c>
    </row>
    <row r="12" spans="1:22" ht="120">
      <c r="A12" s="1">
        <v>11</v>
      </c>
      <c r="B12" s="1" t="s">
        <v>4155</v>
      </c>
      <c r="C12" s="1"/>
      <c r="D12" s="1"/>
      <c r="E12" s="1" t="s">
        <v>30</v>
      </c>
      <c r="F12" s="1" t="s">
        <v>22</v>
      </c>
      <c r="G12" s="1" t="s">
        <v>4109</v>
      </c>
      <c r="H12" s="1" t="s">
        <v>4156</v>
      </c>
      <c r="I12" s="1" t="s">
        <v>933</v>
      </c>
      <c r="J12" s="1" t="s">
        <v>4157</v>
      </c>
      <c r="K12" s="1" t="s">
        <v>2933</v>
      </c>
      <c r="L12" s="1" t="s">
        <v>2934</v>
      </c>
      <c r="M12" s="1" t="s">
        <v>4012</v>
      </c>
      <c r="N12" s="3" t="s">
        <v>24</v>
      </c>
      <c r="O12" s="2" t="s">
        <v>3910</v>
      </c>
      <c r="P12" s="12">
        <v>46027</v>
      </c>
    </row>
    <row r="13" spans="1:22" ht="120">
      <c r="A13" s="1">
        <v>12</v>
      </c>
      <c r="B13" s="1" t="s">
        <v>4158</v>
      </c>
      <c r="C13" s="1"/>
      <c r="D13" s="1"/>
      <c r="E13" s="1" t="s">
        <v>30</v>
      </c>
      <c r="F13" s="1" t="s">
        <v>22</v>
      </c>
      <c r="G13" s="1" t="s">
        <v>4109</v>
      </c>
      <c r="H13" s="1" t="s">
        <v>4159</v>
      </c>
      <c r="I13" s="1" t="s">
        <v>933</v>
      </c>
      <c r="J13" s="1" t="s">
        <v>4160</v>
      </c>
      <c r="K13" s="1" t="s">
        <v>2933</v>
      </c>
      <c r="L13" s="1" t="s">
        <v>2939</v>
      </c>
      <c r="M13" s="1" t="s">
        <v>4015</v>
      </c>
      <c r="N13" s="3" t="s">
        <v>24</v>
      </c>
      <c r="O13" s="2" t="s">
        <v>3910</v>
      </c>
      <c r="P13" s="12">
        <v>46027</v>
      </c>
    </row>
    <row r="14" spans="1:22" ht="135">
      <c r="A14" s="1">
        <v>13</v>
      </c>
      <c r="B14" s="1" t="s">
        <v>4161</v>
      </c>
      <c r="C14" s="1"/>
      <c r="D14" s="1"/>
      <c r="E14" s="1" t="s">
        <v>30</v>
      </c>
      <c r="F14" s="1" t="s">
        <v>22</v>
      </c>
      <c r="G14" s="1" t="s">
        <v>4109</v>
      </c>
      <c r="H14" s="1" t="s">
        <v>4162</v>
      </c>
      <c r="I14" s="1" t="s">
        <v>933</v>
      </c>
      <c r="J14" s="1" t="s">
        <v>4163</v>
      </c>
      <c r="K14" s="1" t="s">
        <v>255</v>
      </c>
      <c r="L14" s="1" t="s">
        <v>2943</v>
      </c>
      <c r="M14" s="1" t="s">
        <v>4164</v>
      </c>
      <c r="N14" s="3" t="s">
        <v>24</v>
      </c>
      <c r="O14" s="2" t="s">
        <v>3910</v>
      </c>
      <c r="P14" s="12">
        <v>46027</v>
      </c>
    </row>
    <row r="15" spans="1:22" ht="135">
      <c r="A15" s="1">
        <v>14</v>
      </c>
      <c r="B15" s="1" t="s">
        <v>4165</v>
      </c>
      <c r="C15" s="1"/>
      <c r="D15" s="1"/>
      <c r="E15" s="1" t="s">
        <v>30</v>
      </c>
      <c r="F15" s="1" t="s">
        <v>22</v>
      </c>
      <c r="G15" s="1" t="s">
        <v>4109</v>
      </c>
      <c r="H15" s="1" t="s">
        <v>4166</v>
      </c>
      <c r="I15" s="1" t="s">
        <v>933</v>
      </c>
      <c r="J15" s="1" t="s">
        <v>4167</v>
      </c>
      <c r="K15" s="1" t="s">
        <v>255</v>
      </c>
      <c r="L15" s="1" t="s">
        <v>4024</v>
      </c>
      <c r="M15" s="1" t="s">
        <v>4168</v>
      </c>
      <c r="N15" s="3" t="s">
        <v>24</v>
      </c>
      <c r="O15" s="2" t="s">
        <v>3910</v>
      </c>
      <c r="P15" s="12">
        <v>46027</v>
      </c>
    </row>
    <row r="16" spans="1:22" ht="90">
      <c r="A16" s="1">
        <v>15</v>
      </c>
      <c r="B16" s="1" t="s">
        <v>4172</v>
      </c>
      <c r="C16" s="1"/>
      <c r="D16" s="1"/>
      <c r="E16" s="1" t="s">
        <v>30</v>
      </c>
      <c r="F16" s="1" t="s">
        <v>22</v>
      </c>
      <c r="G16" s="1" t="s">
        <v>4109</v>
      </c>
      <c r="H16" s="1" t="s">
        <v>4173</v>
      </c>
      <c r="I16" s="1" t="s">
        <v>933</v>
      </c>
      <c r="J16" s="1" t="s">
        <v>4174</v>
      </c>
      <c r="K16" s="1" t="s">
        <v>255</v>
      </c>
      <c r="L16" s="1" t="s">
        <v>4175</v>
      </c>
      <c r="M16" s="1" t="s">
        <v>4176</v>
      </c>
      <c r="N16" s="3" t="s">
        <v>274</v>
      </c>
      <c r="O16" s="2" t="s">
        <v>3910</v>
      </c>
      <c r="P16" s="12">
        <v>46028</v>
      </c>
    </row>
    <row r="17" spans="8:8" ht="30">
      <c r="H17" s="1" t="s">
        <v>4177</v>
      </c>
    </row>
    <row r="18" spans="8:8" ht="30">
      <c r="H18" s="1" t="s">
        <v>4178</v>
      </c>
    </row>
  </sheetData>
  <autoFilter ref="A1:V18"/>
  <hyperlinks>
    <hyperlink ref="C3" r:id="rId1" display="https://hanssupport.atlassian.net/browse/BA-445"/>
  </hyperlink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V1048576"/>
  <sheetViews>
    <sheetView topLeftCell="I1" workbookViewId="0">
      <pane ySplit="1" topLeftCell="A2" activePane="bottomLeft" state="frozen"/>
      <selection pane="bottomLeft" activeCell="M3" sqref="M3"/>
    </sheetView>
  </sheetViews>
  <sheetFormatPr defaultRowHeight="15"/>
  <cols>
    <col min="1" max="1" width="9.140625" style="45"/>
    <col min="2" max="2" width="17" style="45" customWidth="1"/>
    <col min="3" max="3" width="11.28515625" style="45" customWidth="1"/>
    <col min="4" max="4" width="21.28515625" style="45" customWidth="1"/>
    <col min="5" max="5" width="13.7109375" style="45" customWidth="1"/>
    <col min="6" max="6" width="11.85546875" style="45" customWidth="1"/>
    <col min="7" max="7" width="16.5703125" style="45" customWidth="1"/>
    <col min="8" max="8" width="59.5703125" style="45" customWidth="1"/>
    <col min="9" max="9" width="42.140625" style="45" customWidth="1"/>
    <col min="10" max="10" width="54.7109375" style="45" customWidth="1"/>
    <col min="11" max="11" width="38.28515625" style="45" customWidth="1"/>
    <col min="12" max="12" width="62.28515625" style="45" customWidth="1"/>
    <col min="13" max="13" width="54" style="45" customWidth="1"/>
    <col min="14" max="14" width="15" style="45" customWidth="1"/>
    <col min="15" max="15" width="37.85546875" style="45" customWidth="1"/>
    <col min="16" max="16" width="21.28515625" style="45" customWidth="1"/>
    <col min="17" max="17" width="14" style="45" customWidth="1"/>
    <col min="18" max="18" width="19.7109375" style="45" customWidth="1"/>
    <col min="19" max="19" width="23.42578125" style="45" customWidth="1"/>
    <col min="20" max="20" width="20.85546875" style="45" customWidth="1"/>
    <col min="21" max="21" width="26.28515625" style="45" customWidth="1"/>
    <col min="22" max="22" width="16.425781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4180</v>
      </c>
      <c r="C2" s="1"/>
      <c r="D2" s="1"/>
      <c r="E2" s="1" t="s">
        <v>30</v>
      </c>
      <c r="F2" s="1" t="s">
        <v>22</v>
      </c>
      <c r="G2" s="1" t="s">
        <v>4179</v>
      </c>
      <c r="H2" s="1" t="s">
        <v>4181</v>
      </c>
      <c r="I2" s="1" t="s">
        <v>933</v>
      </c>
      <c r="J2" s="1" t="s">
        <v>4182</v>
      </c>
      <c r="K2" s="1" t="s">
        <v>4108</v>
      </c>
      <c r="L2" s="1" t="s">
        <v>4183</v>
      </c>
      <c r="M2" s="1" t="s">
        <v>4184</v>
      </c>
      <c r="N2" s="3" t="s">
        <v>24</v>
      </c>
      <c r="O2" s="2" t="s">
        <v>3910</v>
      </c>
      <c r="P2" s="12">
        <v>46028</v>
      </c>
    </row>
    <row r="3" spans="1:22" ht="165">
      <c r="A3" s="1">
        <v>2</v>
      </c>
      <c r="B3" s="1" t="s">
        <v>4185</v>
      </c>
      <c r="C3" s="23" t="s">
        <v>4798</v>
      </c>
      <c r="D3" s="36">
        <v>46038</v>
      </c>
      <c r="E3" s="1" t="s">
        <v>30</v>
      </c>
      <c r="F3" s="1" t="s">
        <v>22</v>
      </c>
      <c r="G3" s="1" t="s">
        <v>4179</v>
      </c>
      <c r="H3" s="1" t="s">
        <v>4192</v>
      </c>
      <c r="I3" s="1" t="s">
        <v>933</v>
      </c>
      <c r="J3" s="1" t="s">
        <v>4186</v>
      </c>
      <c r="K3" s="1" t="s">
        <v>4187</v>
      </c>
      <c r="L3" s="1" t="s">
        <v>4188</v>
      </c>
      <c r="M3" s="1" t="s">
        <v>4797</v>
      </c>
      <c r="N3" s="19" t="s">
        <v>47</v>
      </c>
      <c r="O3" s="2" t="s">
        <v>3910</v>
      </c>
      <c r="P3" s="12">
        <v>46028</v>
      </c>
      <c r="Q3" s="40" t="s">
        <v>3159</v>
      </c>
    </row>
    <row r="4" spans="1:22" ht="150">
      <c r="A4" s="1">
        <v>3</v>
      </c>
      <c r="B4" s="1" t="s">
        <v>4189</v>
      </c>
      <c r="C4" s="1"/>
      <c r="D4" s="1"/>
      <c r="E4" s="1" t="s">
        <v>30</v>
      </c>
      <c r="F4" s="1" t="s">
        <v>22</v>
      </c>
      <c r="G4" s="1" t="s">
        <v>4179</v>
      </c>
      <c r="H4" s="1" t="s">
        <v>4193</v>
      </c>
      <c r="I4" s="1" t="s">
        <v>933</v>
      </c>
      <c r="J4" s="1" t="s">
        <v>4194</v>
      </c>
      <c r="K4" s="1" t="s">
        <v>4190</v>
      </c>
      <c r="L4" s="5" t="s">
        <v>4195</v>
      </c>
      <c r="M4" s="5" t="s">
        <v>4191</v>
      </c>
      <c r="N4" s="3" t="s">
        <v>24</v>
      </c>
      <c r="O4" s="2" t="s">
        <v>3910</v>
      </c>
      <c r="P4" s="12">
        <v>46028</v>
      </c>
    </row>
    <row r="5" spans="1:22" ht="90">
      <c r="A5" s="1">
        <v>4</v>
      </c>
      <c r="B5" s="1" t="s">
        <v>4196</v>
      </c>
      <c r="C5" s="23" t="s">
        <v>4799</v>
      </c>
      <c r="D5" s="36">
        <v>46038</v>
      </c>
      <c r="E5" s="1" t="s">
        <v>30</v>
      </c>
      <c r="F5" s="1" t="s">
        <v>22</v>
      </c>
      <c r="G5" s="1" t="s">
        <v>4179</v>
      </c>
      <c r="H5" s="1" t="s">
        <v>4197</v>
      </c>
      <c r="I5" s="1" t="s">
        <v>933</v>
      </c>
      <c r="J5" s="1" t="s">
        <v>4198</v>
      </c>
      <c r="K5" s="1" t="s">
        <v>4199</v>
      </c>
      <c r="L5" s="1" t="s">
        <v>4200</v>
      </c>
      <c r="M5" s="1" t="s">
        <v>4201</v>
      </c>
      <c r="N5" s="19" t="s">
        <v>47</v>
      </c>
      <c r="O5" s="2" t="s">
        <v>3910</v>
      </c>
      <c r="P5" s="12">
        <v>46028</v>
      </c>
      <c r="Q5" s="40" t="s">
        <v>3159</v>
      </c>
    </row>
    <row r="6" spans="1:22" ht="150">
      <c r="A6" s="1">
        <v>5</v>
      </c>
      <c r="B6" s="1" t="s">
        <v>4202</v>
      </c>
      <c r="C6" s="23" t="s">
        <v>4800</v>
      </c>
      <c r="D6" s="36">
        <v>46038</v>
      </c>
      <c r="E6" s="1" t="s">
        <v>30</v>
      </c>
      <c r="F6" s="1" t="s">
        <v>22</v>
      </c>
      <c r="G6" s="1" t="s">
        <v>4179</v>
      </c>
      <c r="H6" s="1" t="s">
        <v>4203</v>
      </c>
      <c r="I6" s="1" t="s">
        <v>933</v>
      </c>
      <c r="J6" s="1" t="s">
        <v>4204</v>
      </c>
      <c r="K6" s="1" t="s">
        <v>4205</v>
      </c>
      <c r="L6" s="1" t="s">
        <v>4210</v>
      </c>
      <c r="M6" s="44" t="s">
        <v>4819</v>
      </c>
      <c r="N6" s="19" t="s">
        <v>47</v>
      </c>
      <c r="O6" s="2" t="s">
        <v>3910</v>
      </c>
      <c r="P6" s="12">
        <v>46028</v>
      </c>
      <c r="Q6" s="40" t="s">
        <v>3159</v>
      </c>
    </row>
    <row r="7" spans="1:22" ht="120">
      <c r="A7" s="1">
        <v>6</v>
      </c>
      <c r="B7" s="1" t="s">
        <v>4206</v>
      </c>
      <c r="C7" s="23" t="s">
        <v>4802</v>
      </c>
      <c r="D7" s="36">
        <v>46038</v>
      </c>
      <c r="E7" s="1" t="s">
        <v>30</v>
      </c>
      <c r="F7" s="1" t="s">
        <v>22</v>
      </c>
      <c r="G7" s="1" t="s">
        <v>4179</v>
      </c>
      <c r="H7" s="1" t="s">
        <v>4207</v>
      </c>
      <c r="I7" s="1" t="s">
        <v>933</v>
      </c>
      <c r="J7" s="1" t="s">
        <v>4208</v>
      </c>
      <c r="K7" s="1" t="s">
        <v>4209</v>
      </c>
      <c r="L7" s="1" t="s">
        <v>4211</v>
      </c>
      <c r="M7" s="44" t="s">
        <v>4801</v>
      </c>
      <c r="N7" s="19" t="s">
        <v>47</v>
      </c>
      <c r="O7" s="2" t="s">
        <v>3910</v>
      </c>
      <c r="P7" s="12">
        <v>46028</v>
      </c>
      <c r="Q7" s="40" t="s">
        <v>3159</v>
      </c>
    </row>
    <row r="8" spans="1:22" ht="135">
      <c r="A8" s="1">
        <v>7</v>
      </c>
      <c r="B8" s="1" t="s">
        <v>4212</v>
      </c>
      <c r="C8" s="23" t="s">
        <v>4803</v>
      </c>
      <c r="D8" s="36">
        <v>46038</v>
      </c>
      <c r="E8" s="1" t="s">
        <v>30</v>
      </c>
      <c r="F8" s="1" t="s">
        <v>22</v>
      </c>
      <c r="G8" s="1" t="s">
        <v>4179</v>
      </c>
      <c r="H8" s="1" t="s">
        <v>4213</v>
      </c>
      <c r="I8" s="1" t="s">
        <v>933</v>
      </c>
      <c r="J8" s="1" t="s">
        <v>4214</v>
      </c>
      <c r="K8" s="1" t="s">
        <v>4215</v>
      </c>
      <c r="L8" s="1" t="s">
        <v>4216</v>
      </c>
      <c r="M8" s="44" t="s">
        <v>4804</v>
      </c>
      <c r="N8" s="19" t="s">
        <v>47</v>
      </c>
      <c r="O8" s="2" t="s">
        <v>3910</v>
      </c>
      <c r="P8" s="12">
        <v>46028</v>
      </c>
      <c r="Q8" s="40" t="s">
        <v>3159</v>
      </c>
    </row>
    <row r="9" spans="1:22" ht="135">
      <c r="A9" s="1">
        <v>8</v>
      </c>
      <c r="B9" s="1" t="s">
        <v>4217</v>
      </c>
      <c r="C9" s="23" t="s">
        <v>4806</v>
      </c>
      <c r="D9" s="36">
        <v>46038</v>
      </c>
      <c r="E9" s="1" t="s">
        <v>30</v>
      </c>
      <c r="F9" s="1" t="s">
        <v>22</v>
      </c>
      <c r="G9" s="1" t="s">
        <v>4179</v>
      </c>
      <c r="H9" s="1" t="s">
        <v>4218</v>
      </c>
      <c r="I9" s="1" t="s">
        <v>933</v>
      </c>
      <c r="J9" s="1" t="s">
        <v>4219</v>
      </c>
      <c r="K9" s="1" t="s">
        <v>4808</v>
      </c>
      <c r="L9" s="1" t="s">
        <v>4220</v>
      </c>
      <c r="M9" s="44" t="s">
        <v>4805</v>
      </c>
      <c r="N9" s="19" t="s">
        <v>47</v>
      </c>
      <c r="O9" s="2" t="s">
        <v>3910</v>
      </c>
      <c r="P9" s="12">
        <v>46028</v>
      </c>
      <c r="Q9" s="40" t="s">
        <v>3159</v>
      </c>
    </row>
    <row r="10" spans="1:22" ht="135">
      <c r="A10" s="1">
        <v>9</v>
      </c>
      <c r="B10" s="1" t="s">
        <v>4221</v>
      </c>
      <c r="C10" s="23" t="s">
        <v>4810</v>
      </c>
      <c r="D10" s="36">
        <v>46038</v>
      </c>
      <c r="E10" s="1" t="s">
        <v>30</v>
      </c>
      <c r="F10" s="1" t="s">
        <v>22</v>
      </c>
      <c r="G10" s="1" t="s">
        <v>4179</v>
      </c>
      <c r="H10" s="1" t="s">
        <v>4222</v>
      </c>
      <c r="I10" s="1" t="s">
        <v>933</v>
      </c>
      <c r="J10" s="1" t="s">
        <v>4223</v>
      </c>
      <c r="K10" s="1" t="s">
        <v>4807</v>
      </c>
      <c r="L10" s="1" t="s">
        <v>4224</v>
      </c>
      <c r="M10" s="1" t="s">
        <v>4809</v>
      </c>
      <c r="N10" s="19" t="s">
        <v>47</v>
      </c>
      <c r="O10" s="2" t="s">
        <v>3910</v>
      </c>
      <c r="P10" s="12">
        <v>46028</v>
      </c>
      <c r="Q10" s="40" t="s">
        <v>3159</v>
      </c>
    </row>
    <row r="11" spans="1:22" ht="120">
      <c r="A11" s="1">
        <v>10</v>
      </c>
      <c r="B11" s="1" t="s">
        <v>4225</v>
      </c>
      <c r="C11" s="23" t="s">
        <v>4812</v>
      </c>
      <c r="D11" s="36">
        <v>46038</v>
      </c>
      <c r="E11" s="1" t="s">
        <v>30</v>
      </c>
      <c r="F11" s="1" t="s">
        <v>22</v>
      </c>
      <c r="G11" s="1" t="s">
        <v>4179</v>
      </c>
      <c r="H11" s="1" t="s">
        <v>4226</v>
      </c>
      <c r="I11" s="1" t="s">
        <v>933</v>
      </c>
      <c r="J11" s="1" t="s">
        <v>4227</v>
      </c>
      <c r="K11" s="1" t="s">
        <v>4228</v>
      </c>
      <c r="L11" s="1" t="s">
        <v>4229</v>
      </c>
      <c r="M11" s="1" t="s">
        <v>4811</v>
      </c>
      <c r="N11" s="19" t="s">
        <v>47</v>
      </c>
      <c r="O11" s="2" t="s">
        <v>3910</v>
      </c>
      <c r="P11" s="12">
        <v>46028</v>
      </c>
      <c r="Q11" s="40" t="s">
        <v>3159</v>
      </c>
    </row>
    <row r="12" spans="1:22" ht="120">
      <c r="A12" s="1">
        <v>11</v>
      </c>
      <c r="B12" s="1" t="s">
        <v>4230</v>
      </c>
      <c r="C12" s="23" t="s">
        <v>4813</v>
      </c>
      <c r="D12" s="36">
        <v>46038</v>
      </c>
      <c r="E12" s="1" t="s">
        <v>30</v>
      </c>
      <c r="F12" s="1" t="s">
        <v>22</v>
      </c>
      <c r="G12" s="1" t="s">
        <v>4179</v>
      </c>
      <c r="H12" s="1" t="s">
        <v>4231</v>
      </c>
      <c r="I12" s="1" t="s">
        <v>933</v>
      </c>
      <c r="J12" s="1" t="s">
        <v>4232</v>
      </c>
      <c r="K12" s="1" t="s">
        <v>4233</v>
      </c>
      <c r="L12" s="1" t="s">
        <v>4234</v>
      </c>
      <c r="M12" s="1" t="s">
        <v>4814</v>
      </c>
      <c r="N12" s="19" t="s">
        <v>47</v>
      </c>
      <c r="O12" s="2" t="s">
        <v>3910</v>
      </c>
      <c r="P12" s="12">
        <v>46028</v>
      </c>
      <c r="Q12" s="40" t="s">
        <v>3159</v>
      </c>
    </row>
    <row r="13" spans="1:22" ht="120">
      <c r="A13" s="1">
        <v>12</v>
      </c>
      <c r="B13" s="1" t="s">
        <v>4235</v>
      </c>
      <c r="C13" s="23" t="s">
        <v>4816</v>
      </c>
      <c r="D13" s="36">
        <v>46038</v>
      </c>
      <c r="E13" s="1" t="s">
        <v>30</v>
      </c>
      <c r="F13" s="1" t="s">
        <v>22</v>
      </c>
      <c r="G13" s="1" t="s">
        <v>4179</v>
      </c>
      <c r="H13" s="1" t="s">
        <v>4236</v>
      </c>
      <c r="I13" s="1" t="s">
        <v>933</v>
      </c>
      <c r="J13" s="1" t="s">
        <v>4237</v>
      </c>
      <c r="K13" s="1" t="s">
        <v>4238</v>
      </c>
      <c r="L13" s="1" t="s">
        <v>4239</v>
      </c>
      <c r="M13" s="1" t="s">
        <v>4815</v>
      </c>
      <c r="N13" s="19" t="s">
        <v>47</v>
      </c>
      <c r="O13" s="2" t="s">
        <v>3910</v>
      </c>
      <c r="P13" s="12">
        <v>46028</v>
      </c>
      <c r="Q13" s="40" t="s">
        <v>3159</v>
      </c>
    </row>
    <row r="14" spans="1:22" ht="135">
      <c r="A14" s="1">
        <v>13</v>
      </c>
      <c r="B14" s="1" t="s">
        <v>4240</v>
      </c>
      <c r="C14" s="23" t="s">
        <v>4818</v>
      </c>
      <c r="D14" s="36">
        <v>46038</v>
      </c>
      <c r="E14" s="1" t="s">
        <v>30</v>
      </c>
      <c r="F14" s="1" t="s">
        <v>22</v>
      </c>
      <c r="G14" s="1" t="s">
        <v>4179</v>
      </c>
      <c r="H14" s="1" t="s">
        <v>4241</v>
      </c>
      <c r="I14" s="1" t="s">
        <v>933</v>
      </c>
      <c r="J14" s="1" t="s">
        <v>4242</v>
      </c>
      <c r="K14" s="1" t="s">
        <v>4243</v>
      </c>
      <c r="L14" s="1" t="s">
        <v>4244</v>
      </c>
      <c r="M14" s="1" t="s">
        <v>4817</v>
      </c>
      <c r="N14" s="19" t="s">
        <v>47</v>
      </c>
      <c r="O14" s="2" t="s">
        <v>3910</v>
      </c>
      <c r="P14" s="12">
        <v>46028</v>
      </c>
      <c r="Q14" s="40" t="s">
        <v>3159</v>
      </c>
    </row>
    <row r="15" spans="1:22" ht="105">
      <c r="A15" s="1">
        <v>14</v>
      </c>
      <c r="B15" s="1" t="s">
        <v>4245</v>
      </c>
      <c r="C15" s="1"/>
      <c r="D15" s="1"/>
      <c r="E15" s="1" t="s">
        <v>30</v>
      </c>
      <c r="F15" s="1" t="s">
        <v>22</v>
      </c>
      <c r="G15" s="1" t="s">
        <v>4179</v>
      </c>
      <c r="H15" s="1" t="s">
        <v>4250</v>
      </c>
      <c r="I15" s="1" t="s">
        <v>933</v>
      </c>
      <c r="J15" s="1" t="s">
        <v>4246</v>
      </c>
      <c r="K15" s="1" t="s">
        <v>866</v>
      </c>
      <c r="L15" s="1" t="s">
        <v>4247</v>
      </c>
      <c r="M15" s="1" t="s">
        <v>4248</v>
      </c>
      <c r="N15" s="3" t="s">
        <v>24</v>
      </c>
      <c r="O15" s="2" t="s">
        <v>3910</v>
      </c>
      <c r="P15" s="12">
        <v>46028</v>
      </c>
    </row>
    <row r="16" spans="1:22" ht="120">
      <c r="A16" s="1">
        <v>15</v>
      </c>
      <c r="B16" s="1" t="s">
        <v>4249</v>
      </c>
      <c r="C16" s="1"/>
      <c r="D16" s="1"/>
      <c r="E16" s="1" t="s">
        <v>30</v>
      </c>
      <c r="F16" s="1" t="s">
        <v>22</v>
      </c>
      <c r="G16" s="1" t="s">
        <v>4179</v>
      </c>
      <c r="H16" s="1" t="s">
        <v>4251</v>
      </c>
      <c r="I16" s="1" t="s">
        <v>933</v>
      </c>
      <c r="J16" s="1" t="s">
        <v>4252</v>
      </c>
      <c r="K16" s="1" t="s">
        <v>4253</v>
      </c>
      <c r="L16" s="1" t="s">
        <v>4247</v>
      </c>
      <c r="M16" s="1" t="s">
        <v>4248</v>
      </c>
      <c r="N16" s="3" t="s">
        <v>24</v>
      </c>
      <c r="O16" s="2" t="s">
        <v>3910</v>
      </c>
      <c r="P16" s="12">
        <v>46028</v>
      </c>
    </row>
    <row r="17" spans="1:16" ht="225">
      <c r="A17" s="1">
        <v>16</v>
      </c>
      <c r="B17" s="1" t="s">
        <v>4254</v>
      </c>
      <c r="C17" s="1"/>
      <c r="D17" s="1"/>
      <c r="E17" s="1" t="s">
        <v>30</v>
      </c>
      <c r="F17" s="1" t="s">
        <v>22</v>
      </c>
      <c r="G17" s="1" t="s">
        <v>4179</v>
      </c>
      <c r="H17" s="1" t="s">
        <v>4255</v>
      </c>
      <c r="I17" s="1" t="s">
        <v>933</v>
      </c>
      <c r="J17" s="1" t="s">
        <v>4256</v>
      </c>
      <c r="K17" s="1" t="s">
        <v>4257</v>
      </c>
      <c r="L17" s="1" t="s">
        <v>4258</v>
      </c>
      <c r="M17" s="5" t="s">
        <v>4259</v>
      </c>
      <c r="N17" s="3" t="s">
        <v>24</v>
      </c>
      <c r="O17" s="2" t="s">
        <v>3910</v>
      </c>
      <c r="P17" s="12">
        <v>46028</v>
      </c>
    </row>
    <row r="18" spans="1:16" ht="210">
      <c r="A18" s="1">
        <v>17</v>
      </c>
      <c r="B18" s="1" t="s">
        <v>4260</v>
      </c>
      <c r="C18" s="1"/>
      <c r="D18" s="1"/>
      <c r="E18" s="1" t="s">
        <v>30</v>
      </c>
      <c r="F18" s="1" t="s">
        <v>22</v>
      </c>
      <c r="G18" s="1" t="s">
        <v>4179</v>
      </c>
      <c r="H18" s="1" t="s">
        <v>4261</v>
      </c>
      <c r="I18" s="1" t="s">
        <v>933</v>
      </c>
      <c r="J18" s="1" t="s">
        <v>4262</v>
      </c>
      <c r="K18" s="14" t="s">
        <v>255</v>
      </c>
      <c r="L18" s="1" t="s">
        <v>4263</v>
      </c>
      <c r="M18" s="1" t="s">
        <v>2903</v>
      </c>
      <c r="N18" s="3" t="s">
        <v>24</v>
      </c>
      <c r="O18" s="2" t="s">
        <v>3910</v>
      </c>
      <c r="P18" s="12">
        <v>46028</v>
      </c>
    </row>
    <row r="19" spans="1:16" ht="135">
      <c r="A19" s="1">
        <v>18</v>
      </c>
      <c r="B19" s="1" t="s">
        <v>4264</v>
      </c>
      <c r="C19" s="1"/>
      <c r="D19" s="1"/>
      <c r="E19" s="1" t="s">
        <v>30</v>
      </c>
      <c r="F19" s="1" t="s">
        <v>22</v>
      </c>
      <c r="G19" s="1" t="s">
        <v>4179</v>
      </c>
      <c r="H19" s="1" t="s">
        <v>4265</v>
      </c>
      <c r="I19" s="1" t="s">
        <v>933</v>
      </c>
      <c r="J19" s="1" t="s">
        <v>4266</v>
      </c>
      <c r="K19" s="1" t="s">
        <v>4267</v>
      </c>
      <c r="L19" s="1" t="s">
        <v>4268</v>
      </c>
      <c r="M19" s="1" t="s">
        <v>854</v>
      </c>
      <c r="N19" s="3" t="s">
        <v>24</v>
      </c>
      <c r="O19" s="2" t="s">
        <v>3910</v>
      </c>
      <c r="P19" s="12">
        <v>46028</v>
      </c>
    </row>
    <row r="20" spans="1:16" ht="165">
      <c r="A20" s="1">
        <v>19</v>
      </c>
      <c r="B20" s="1" t="s">
        <v>4269</v>
      </c>
      <c r="C20" s="1"/>
      <c r="D20" s="1"/>
      <c r="E20" s="1" t="s">
        <v>30</v>
      </c>
      <c r="F20" s="1" t="s">
        <v>22</v>
      </c>
      <c r="G20" s="1" t="s">
        <v>4179</v>
      </c>
      <c r="H20" s="1" t="s">
        <v>4270</v>
      </c>
      <c r="I20" s="1" t="s">
        <v>933</v>
      </c>
      <c r="J20" s="1" t="s">
        <v>4271</v>
      </c>
      <c r="K20" s="14" t="s">
        <v>4272</v>
      </c>
      <c r="L20" s="5" t="s">
        <v>4273</v>
      </c>
      <c r="M20" s="1" t="s">
        <v>4274</v>
      </c>
      <c r="N20" s="3" t="s">
        <v>24</v>
      </c>
      <c r="O20" s="2" t="s">
        <v>3910</v>
      </c>
      <c r="P20" s="12">
        <v>46028</v>
      </c>
    </row>
    <row r="21" spans="1:16" ht="120">
      <c r="A21" s="1">
        <v>20</v>
      </c>
      <c r="B21" s="1" t="s">
        <v>4275</v>
      </c>
      <c r="C21" s="1"/>
      <c r="D21" s="1"/>
      <c r="E21" s="1" t="s">
        <v>30</v>
      </c>
      <c r="F21" s="1" t="s">
        <v>22</v>
      </c>
      <c r="G21" s="1" t="s">
        <v>4179</v>
      </c>
      <c r="H21" s="1" t="s">
        <v>4276</v>
      </c>
      <c r="I21" s="1" t="s">
        <v>933</v>
      </c>
      <c r="J21" s="1" t="s">
        <v>4277</v>
      </c>
      <c r="K21" s="1" t="s">
        <v>890</v>
      </c>
      <c r="L21" s="1" t="s">
        <v>4154</v>
      </c>
      <c r="M21" s="1" t="s">
        <v>4008</v>
      </c>
      <c r="N21" s="3" t="s">
        <v>24</v>
      </c>
      <c r="O21" s="2" t="s">
        <v>3910</v>
      </c>
      <c r="P21" s="12">
        <v>46028</v>
      </c>
    </row>
    <row r="22" spans="1:16" ht="90">
      <c r="A22" s="1">
        <v>21</v>
      </c>
      <c r="B22" s="1" t="s">
        <v>4275</v>
      </c>
      <c r="C22" s="1"/>
      <c r="D22" s="1"/>
      <c r="E22" s="1" t="s">
        <v>30</v>
      </c>
      <c r="F22" s="1" t="s">
        <v>22</v>
      </c>
      <c r="G22" s="1" t="s">
        <v>4179</v>
      </c>
      <c r="H22" s="1" t="s">
        <v>4278</v>
      </c>
      <c r="I22" s="1" t="s">
        <v>933</v>
      </c>
      <c r="J22" s="1" t="s">
        <v>4279</v>
      </c>
      <c r="K22" s="1" t="s">
        <v>255</v>
      </c>
      <c r="L22" s="1" t="s">
        <v>4175</v>
      </c>
      <c r="M22" s="1" t="s">
        <v>4280</v>
      </c>
      <c r="N22" s="3" t="s">
        <v>24</v>
      </c>
      <c r="O22" s="2" t="s">
        <v>3910</v>
      </c>
      <c r="P22" s="12">
        <v>46028</v>
      </c>
    </row>
    <row r="23" spans="1:16">
      <c r="A23" s="1"/>
    </row>
    <row r="24" spans="1:16">
      <c r="A24" s="1"/>
    </row>
    <row r="1048576" spans="8:8">
      <c r="H1048576" s="1"/>
    </row>
  </sheetData>
  <autoFilter ref="A1:V22">
    <filterColumn colId="13"/>
  </autoFilter>
  <hyperlinks>
    <hyperlink ref="C3" r:id="rId1" display="https://hanssupport.atlassian.net/browse/BA-446"/>
    <hyperlink ref="C5" r:id="rId2" display="https://hanssupport.atlassian.net/browse/BA-447"/>
    <hyperlink ref="C6" r:id="rId3" display="https://hanssupport.atlassian.net/browse/BA-448"/>
    <hyperlink ref="C7" r:id="rId4" display="https://hanssupport.atlassian.net/browse/BA-449"/>
    <hyperlink ref="C8" r:id="rId5" display="https://hanssupport.atlassian.net/browse/BA-450"/>
    <hyperlink ref="C9" r:id="rId6" display="https://hanssupport.atlassian.net/browse/BA-451"/>
    <hyperlink ref="C10" r:id="rId7" display="https://hanssupport.atlassian.net/browse/BA-452"/>
    <hyperlink ref="C11" r:id="rId8" display="https://hanssupport.atlassian.net/browse/BA-453"/>
    <hyperlink ref="C12" r:id="rId9" display="https://hanssupport.atlassian.net/browse/BA-454"/>
    <hyperlink ref="C13" r:id="rId10" display="https://hanssupport.atlassian.net/browse/BA-455"/>
    <hyperlink ref="C14" r:id="rId11" display="https://hanssupport.atlassian.net/browse/BA-456"/>
  </hyperlinks>
  <pageMargins left="0.7" right="0.7" top="0.75" bottom="0.75" header="0.3" footer="0.3"/>
  <pageSetup paperSize="9" orientation="portrait" verticalDpi="0" r:id="rId12"/>
</worksheet>
</file>

<file path=xl/worksheets/sheet43.xml><?xml version="1.0" encoding="utf-8"?>
<worksheet xmlns="http://schemas.openxmlformats.org/spreadsheetml/2006/main" xmlns:r="http://schemas.openxmlformats.org/officeDocument/2006/relationships">
  <dimension ref="A1:V17"/>
  <sheetViews>
    <sheetView workbookViewId="0">
      <pane ySplit="1" topLeftCell="A2" activePane="bottomLeft" state="frozen"/>
      <selection pane="bottomLeft"/>
    </sheetView>
  </sheetViews>
  <sheetFormatPr defaultRowHeight="15"/>
  <cols>
    <col min="1" max="1" width="8.42578125" style="45" customWidth="1"/>
    <col min="2" max="2" width="19.5703125" style="45" customWidth="1"/>
    <col min="3" max="3" width="12.5703125" style="45" customWidth="1"/>
    <col min="4" max="4" width="20.7109375" style="45" customWidth="1"/>
    <col min="5" max="5" width="16" style="45" customWidth="1"/>
    <col min="6" max="6" width="14.85546875" style="45" customWidth="1"/>
    <col min="7" max="7" width="17.42578125" style="45" customWidth="1"/>
    <col min="8" max="8" width="57.140625" style="45" customWidth="1"/>
    <col min="9" max="9" width="49.42578125" style="45" customWidth="1"/>
    <col min="10" max="10" width="67.85546875" style="45" customWidth="1"/>
    <col min="11" max="11" width="35" style="45" customWidth="1"/>
    <col min="12" max="12" width="55.42578125" style="45" customWidth="1"/>
    <col min="13" max="13" width="53.42578125" style="45" customWidth="1"/>
    <col min="14" max="14" width="12.42578125" style="45" customWidth="1"/>
    <col min="15" max="15" width="35.28515625" style="45" customWidth="1"/>
    <col min="16" max="16" width="20.42578125" style="45" customWidth="1"/>
    <col min="17" max="17" width="14.28515625" style="45" customWidth="1"/>
    <col min="18" max="18" width="18.140625" style="45" customWidth="1"/>
    <col min="19" max="19" width="23.85546875" style="45" customWidth="1"/>
    <col min="20" max="20" width="22.140625" style="45" customWidth="1"/>
    <col min="21" max="21" width="25" style="45" customWidth="1"/>
    <col min="22" max="22" width="17.425781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4281</v>
      </c>
      <c r="C2" s="1"/>
      <c r="D2" s="1"/>
      <c r="E2" s="1" t="s">
        <v>30</v>
      </c>
      <c r="F2" s="1" t="s">
        <v>22</v>
      </c>
      <c r="G2" s="1" t="s">
        <v>4282</v>
      </c>
      <c r="H2" s="1" t="s">
        <v>4283</v>
      </c>
      <c r="I2" s="1" t="s">
        <v>933</v>
      </c>
      <c r="J2" s="1" t="s">
        <v>4284</v>
      </c>
      <c r="K2" s="1" t="s">
        <v>4108</v>
      </c>
      <c r="L2" s="1" t="s">
        <v>4285</v>
      </c>
      <c r="M2" s="1" t="s">
        <v>4286</v>
      </c>
      <c r="N2" s="3" t="s">
        <v>24</v>
      </c>
      <c r="O2" s="2" t="s">
        <v>3910</v>
      </c>
      <c r="P2" s="12">
        <v>46030</v>
      </c>
    </row>
    <row r="3" spans="1:22" ht="135">
      <c r="A3" s="68">
        <v>2</v>
      </c>
      <c r="B3" s="68" t="s">
        <v>4433</v>
      </c>
      <c r="C3" s="69" t="s">
        <v>4857</v>
      </c>
      <c r="D3" s="70">
        <v>46045</v>
      </c>
      <c r="E3" s="68" t="s">
        <v>30</v>
      </c>
      <c r="F3" s="68" t="s">
        <v>22</v>
      </c>
      <c r="G3" s="68" t="s">
        <v>4282</v>
      </c>
      <c r="H3" s="68" t="s">
        <v>4434</v>
      </c>
      <c r="I3" s="68" t="s">
        <v>933</v>
      </c>
      <c r="J3" s="68" t="s">
        <v>4435</v>
      </c>
      <c r="K3" s="68" t="s">
        <v>4855</v>
      </c>
      <c r="L3" s="83" t="s">
        <v>4437</v>
      </c>
      <c r="M3" s="68" t="s">
        <v>4856</v>
      </c>
      <c r="N3" s="68" t="s">
        <v>24</v>
      </c>
      <c r="O3" s="71" t="s">
        <v>3910</v>
      </c>
      <c r="P3" s="72">
        <v>46045</v>
      </c>
      <c r="Q3" s="79" t="s">
        <v>3159</v>
      </c>
      <c r="R3" s="79" t="s">
        <v>1220</v>
      </c>
      <c r="S3" s="68" t="s">
        <v>5075</v>
      </c>
      <c r="T3" s="72" t="s">
        <v>5078</v>
      </c>
      <c r="U3" s="84"/>
      <c r="V3" s="84"/>
    </row>
    <row r="4" spans="1:22" ht="135">
      <c r="A4" s="1">
        <v>3</v>
      </c>
      <c r="B4" s="1" t="s">
        <v>4438</v>
      </c>
      <c r="C4" s="1"/>
      <c r="D4" s="1"/>
      <c r="E4" s="1" t="s">
        <v>30</v>
      </c>
      <c r="F4" s="1" t="s">
        <v>22</v>
      </c>
      <c r="G4" s="1" t="s">
        <v>4282</v>
      </c>
      <c r="H4" s="1" t="s">
        <v>4439</v>
      </c>
      <c r="I4" s="1" t="s">
        <v>933</v>
      </c>
      <c r="J4" s="1" t="s">
        <v>4440</v>
      </c>
      <c r="K4" s="1" t="s">
        <v>255</v>
      </c>
      <c r="L4" s="1" t="s">
        <v>2833</v>
      </c>
      <c r="M4" s="1" t="s">
        <v>4858</v>
      </c>
      <c r="N4" s="3" t="s">
        <v>24</v>
      </c>
      <c r="O4" s="2" t="s">
        <v>3910</v>
      </c>
      <c r="P4" s="12">
        <v>46045</v>
      </c>
    </row>
    <row r="5" spans="1:22" ht="180">
      <c r="A5" s="1">
        <v>4</v>
      </c>
      <c r="B5" s="1" t="s">
        <v>4441</v>
      </c>
      <c r="C5" s="1"/>
      <c r="D5" s="1"/>
      <c r="E5" s="1" t="s">
        <v>30</v>
      </c>
      <c r="F5" s="1" t="s">
        <v>22</v>
      </c>
      <c r="G5" s="1" t="s">
        <v>4282</v>
      </c>
      <c r="H5" s="1" t="s">
        <v>4442</v>
      </c>
      <c r="I5" s="1" t="s">
        <v>933</v>
      </c>
      <c r="J5" s="1" t="s">
        <v>4443</v>
      </c>
      <c r="K5" s="1" t="s">
        <v>1905</v>
      </c>
      <c r="L5" s="1" t="s">
        <v>4444</v>
      </c>
      <c r="M5" s="1" t="s">
        <v>4859</v>
      </c>
      <c r="N5" s="3" t="s">
        <v>24</v>
      </c>
      <c r="O5" s="2" t="s">
        <v>3910</v>
      </c>
      <c r="P5" s="12">
        <v>46045</v>
      </c>
    </row>
    <row r="6" spans="1:22" ht="180">
      <c r="A6" s="68">
        <v>5</v>
      </c>
      <c r="B6" s="68" t="s">
        <v>4445</v>
      </c>
      <c r="C6" s="69" t="s">
        <v>4860</v>
      </c>
      <c r="D6" s="70">
        <v>46045</v>
      </c>
      <c r="E6" s="68" t="s">
        <v>30</v>
      </c>
      <c r="F6" s="68" t="s">
        <v>22</v>
      </c>
      <c r="G6" s="68" t="s">
        <v>4282</v>
      </c>
      <c r="H6" s="68" t="s">
        <v>4446</v>
      </c>
      <c r="I6" s="68" t="s">
        <v>933</v>
      </c>
      <c r="J6" s="68" t="s">
        <v>4447</v>
      </c>
      <c r="K6" s="68" t="s">
        <v>4448</v>
      </c>
      <c r="L6" s="68" t="s">
        <v>4449</v>
      </c>
      <c r="M6" s="68" t="s">
        <v>4450</v>
      </c>
      <c r="N6" s="68" t="s">
        <v>24</v>
      </c>
      <c r="O6" s="71" t="s">
        <v>3910</v>
      </c>
      <c r="P6" s="72">
        <v>46030</v>
      </c>
      <c r="Q6" s="79" t="s">
        <v>3159</v>
      </c>
      <c r="R6" s="79" t="s">
        <v>1220</v>
      </c>
      <c r="S6" s="68" t="s">
        <v>5075</v>
      </c>
      <c r="T6" s="72" t="s">
        <v>5078</v>
      </c>
      <c r="U6" s="84"/>
      <c r="V6" s="84"/>
    </row>
    <row r="7" spans="1:22" ht="165">
      <c r="A7" s="68">
        <v>6</v>
      </c>
      <c r="B7" s="68" t="s">
        <v>4451</v>
      </c>
      <c r="C7" s="69" t="s">
        <v>4861</v>
      </c>
      <c r="D7" s="70">
        <v>46045</v>
      </c>
      <c r="E7" s="68" t="s">
        <v>30</v>
      </c>
      <c r="F7" s="68" t="s">
        <v>22</v>
      </c>
      <c r="G7" s="68" t="s">
        <v>4282</v>
      </c>
      <c r="H7" s="68" t="s">
        <v>4452</v>
      </c>
      <c r="I7" s="68" t="s">
        <v>933</v>
      </c>
      <c r="J7" s="68" t="s">
        <v>4453</v>
      </c>
      <c r="K7" s="68" t="s">
        <v>4062</v>
      </c>
      <c r="L7" s="68" t="s">
        <v>4454</v>
      </c>
      <c r="M7" s="68" t="s">
        <v>4065</v>
      </c>
      <c r="N7" s="68" t="s">
        <v>24</v>
      </c>
      <c r="O7" s="71" t="s">
        <v>3910</v>
      </c>
      <c r="P7" s="72">
        <v>46030</v>
      </c>
      <c r="Q7" s="79" t="s">
        <v>3159</v>
      </c>
      <c r="R7" s="79" t="s">
        <v>1220</v>
      </c>
      <c r="S7" s="68" t="s">
        <v>5075</v>
      </c>
      <c r="T7" s="72" t="s">
        <v>5078</v>
      </c>
      <c r="U7" s="84"/>
      <c r="V7" s="84"/>
    </row>
    <row r="8" spans="1:22" ht="120">
      <c r="A8" s="1">
        <v>7</v>
      </c>
      <c r="B8" s="1" t="s">
        <v>4455</v>
      </c>
      <c r="C8" s="1"/>
      <c r="D8" s="1"/>
      <c r="E8" s="1" t="s">
        <v>30</v>
      </c>
      <c r="F8" s="1" t="s">
        <v>22</v>
      </c>
      <c r="G8" s="1" t="s">
        <v>4282</v>
      </c>
      <c r="H8" s="1" t="s">
        <v>4456</v>
      </c>
      <c r="I8" s="1" t="s">
        <v>933</v>
      </c>
      <c r="J8" s="1" t="s">
        <v>4457</v>
      </c>
      <c r="K8" s="1" t="s">
        <v>2933</v>
      </c>
      <c r="L8" s="1" t="s">
        <v>2934</v>
      </c>
      <c r="M8" s="1" t="s">
        <v>4862</v>
      </c>
      <c r="N8" s="3" t="s">
        <v>24</v>
      </c>
      <c r="O8" s="2" t="s">
        <v>3910</v>
      </c>
      <c r="P8" s="12">
        <v>46045</v>
      </c>
    </row>
    <row r="9" spans="1:22" ht="120">
      <c r="A9" s="68">
        <v>8</v>
      </c>
      <c r="B9" s="68" t="s">
        <v>4458</v>
      </c>
      <c r="C9" s="69" t="s">
        <v>5079</v>
      </c>
      <c r="D9" s="70">
        <v>46055</v>
      </c>
      <c r="E9" s="68" t="s">
        <v>30</v>
      </c>
      <c r="F9" s="68" t="s">
        <v>22</v>
      </c>
      <c r="G9" s="68" t="s">
        <v>4282</v>
      </c>
      <c r="H9" s="68" t="s">
        <v>4459</v>
      </c>
      <c r="I9" s="68" t="s">
        <v>933</v>
      </c>
      <c r="J9" s="68" t="s">
        <v>4460</v>
      </c>
      <c r="K9" s="68" t="s">
        <v>2933</v>
      </c>
      <c r="L9" s="68" t="s">
        <v>2939</v>
      </c>
      <c r="M9" s="68" t="s">
        <v>4015</v>
      </c>
      <c r="N9" s="68" t="s">
        <v>24</v>
      </c>
      <c r="O9" s="71" t="s">
        <v>3910</v>
      </c>
      <c r="P9" s="72">
        <v>46045</v>
      </c>
      <c r="Q9" s="79" t="s">
        <v>3159</v>
      </c>
      <c r="R9" s="79" t="s">
        <v>1220</v>
      </c>
      <c r="S9" s="68" t="s">
        <v>5075</v>
      </c>
      <c r="T9" s="72" t="s">
        <v>5666</v>
      </c>
      <c r="U9" s="84"/>
      <c r="V9" s="84"/>
    </row>
    <row r="10" spans="1:22" ht="135">
      <c r="A10" s="1">
        <v>9</v>
      </c>
      <c r="B10" s="1" t="s">
        <v>4461</v>
      </c>
      <c r="C10" s="1"/>
      <c r="D10" s="1"/>
      <c r="E10" s="1" t="s">
        <v>30</v>
      </c>
      <c r="F10" s="1" t="s">
        <v>22</v>
      </c>
      <c r="G10" s="1" t="s">
        <v>4282</v>
      </c>
      <c r="H10" s="1" t="s">
        <v>4462</v>
      </c>
      <c r="I10" s="1" t="s">
        <v>933</v>
      </c>
      <c r="J10" s="1" t="s">
        <v>4463</v>
      </c>
      <c r="K10" s="1" t="s">
        <v>255</v>
      </c>
      <c r="L10" s="1" t="s">
        <v>2943</v>
      </c>
      <c r="M10" s="1" t="s">
        <v>4863</v>
      </c>
      <c r="N10" s="3" t="s">
        <v>24</v>
      </c>
      <c r="O10" s="2" t="s">
        <v>3910</v>
      </c>
      <c r="P10" s="12">
        <v>46045</v>
      </c>
    </row>
    <row r="11" spans="1:22" ht="135">
      <c r="A11" s="68">
        <v>10</v>
      </c>
      <c r="B11" s="68" t="s">
        <v>4464</v>
      </c>
      <c r="C11" s="69" t="s">
        <v>5080</v>
      </c>
      <c r="D11" s="70">
        <v>46055</v>
      </c>
      <c r="E11" s="68" t="s">
        <v>30</v>
      </c>
      <c r="F11" s="68" t="s">
        <v>22</v>
      </c>
      <c r="G11" s="68" t="s">
        <v>4282</v>
      </c>
      <c r="H11" s="68" t="s">
        <v>4465</v>
      </c>
      <c r="I11" s="68" t="s">
        <v>933</v>
      </c>
      <c r="J11" s="68" t="s">
        <v>4466</v>
      </c>
      <c r="K11" s="68" t="s">
        <v>255</v>
      </c>
      <c r="L11" s="68" t="s">
        <v>4024</v>
      </c>
      <c r="M11" s="68" t="s">
        <v>4864</v>
      </c>
      <c r="N11" s="68" t="s">
        <v>24</v>
      </c>
      <c r="O11" s="71" t="s">
        <v>3910</v>
      </c>
      <c r="P11" s="72">
        <v>46045</v>
      </c>
      <c r="Q11" s="140" t="s">
        <v>3159</v>
      </c>
      <c r="R11" s="79" t="s">
        <v>1220</v>
      </c>
      <c r="S11" s="68" t="s">
        <v>5075</v>
      </c>
      <c r="T11" s="72" t="s">
        <v>5666</v>
      </c>
      <c r="U11" s="84"/>
      <c r="V11" s="84"/>
    </row>
    <row r="12" spans="1:22" ht="105">
      <c r="A12" s="68">
        <v>11</v>
      </c>
      <c r="B12" s="68" t="s">
        <v>4467</v>
      </c>
      <c r="C12" s="69" t="s">
        <v>4866</v>
      </c>
      <c r="D12" s="70">
        <v>46045</v>
      </c>
      <c r="E12" s="68" t="s">
        <v>30</v>
      </c>
      <c r="F12" s="68" t="s">
        <v>22</v>
      </c>
      <c r="G12" s="68" t="s">
        <v>4282</v>
      </c>
      <c r="H12" s="68" t="s">
        <v>4468</v>
      </c>
      <c r="I12" s="68" t="s">
        <v>933</v>
      </c>
      <c r="J12" s="68" t="s">
        <v>4469</v>
      </c>
      <c r="K12" s="68" t="s">
        <v>4470</v>
      </c>
      <c r="L12" s="68" t="s">
        <v>4070</v>
      </c>
      <c r="M12" s="79" t="s">
        <v>4865</v>
      </c>
      <c r="N12" s="68" t="s">
        <v>24</v>
      </c>
      <c r="O12" s="71" t="s">
        <v>3910</v>
      </c>
      <c r="P12" s="72">
        <v>46045</v>
      </c>
      <c r="Q12" s="79" t="s">
        <v>3159</v>
      </c>
      <c r="R12" s="79" t="s">
        <v>1220</v>
      </c>
      <c r="S12" s="68" t="s">
        <v>5075</v>
      </c>
      <c r="T12" s="72" t="s">
        <v>5078</v>
      </c>
      <c r="U12" s="84"/>
      <c r="V12" s="84"/>
    </row>
    <row r="13" spans="1:22" ht="195">
      <c r="A13" s="68">
        <v>12</v>
      </c>
      <c r="B13" s="68" t="s">
        <v>4471</v>
      </c>
      <c r="C13" s="69" t="s">
        <v>4868</v>
      </c>
      <c r="D13" s="70">
        <v>46045</v>
      </c>
      <c r="E13" s="68" t="s">
        <v>30</v>
      </c>
      <c r="F13" s="68" t="s">
        <v>22</v>
      </c>
      <c r="G13" s="68" t="s">
        <v>4282</v>
      </c>
      <c r="H13" s="68" t="s">
        <v>4472</v>
      </c>
      <c r="I13" s="68" t="s">
        <v>933</v>
      </c>
      <c r="J13" s="68" t="s">
        <v>4473</v>
      </c>
      <c r="K13" s="68" t="s">
        <v>255</v>
      </c>
      <c r="L13" s="68" t="s">
        <v>4075</v>
      </c>
      <c r="M13" s="68" t="s">
        <v>4867</v>
      </c>
      <c r="N13" s="68" t="s">
        <v>24</v>
      </c>
      <c r="O13" s="71" t="s">
        <v>3910</v>
      </c>
      <c r="P13" s="72">
        <v>46045</v>
      </c>
      <c r="Q13" s="79" t="s">
        <v>3159</v>
      </c>
      <c r="R13" s="79" t="s">
        <v>1220</v>
      </c>
      <c r="S13" s="68" t="s">
        <v>5075</v>
      </c>
      <c r="T13" s="72" t="s">
        <v>5078</v>
      </c>
      <c r="U13" s="84"/>
      <c r="V13" s="84"/>
    </row>
    <row r="14" spans="1:22" ht="300">
      <c r="A14" s="68">
        <v>13</v>
      </c>
      <c r="B14" s="68" t="s">
        <v>4474</v>
      </c>
      <c r="C14" s="69" t="s">
        <v>4869</v>
      </c>
      <c r="D14" s="70">
        <v>46045</v>
      </c>
      <c r="E14" s="68" t="s">
        <v>30</v>
      </c>
      <c r="F14" s="68" t="s">
        <v>22</v>
      </c>
      <c r="G14" s="68" t="s">
        <v>4282</v>
      </c>
      <c r="H14" s="68" t="s">
        <v>4475</v>
      </c>
      <c r="I14" s="68" t="s">
        <v>933</v>
      </c>
      <c r="J14" s="68" t="s">
        <v>4476</v>
      </c>
      <c r="K14" s="68" t="s">
        <v>4078</v>
      </c>
      <c r="L14" s="68" t="s">
        <v>4872</v>
      </c>
      <c r="M14" s="68" t="s">
        <v>4870</v>
      </c>
      <c r="N14" s="68" t="s">
        <v>24</v>
      </c>
      <c r="O14" s="71" t="s">
        <v>3910</v>
      </c>
      <c r="P14" s="72">
        <v>46045</v>
      </c>
      <c r="Q14" s="79" t="s">
        <v>3159</v>
      </c>
      <c r="R14" s="79" t="s">
        <v>1220</v>
      </c>
      <c r="S14" s="68" t="s">
        <v>5075</v>
      </c>
      <c r="T14" s="72" t="s">
        <v>5078</v>
      </c>
      <c r="U14" s="84"/>
      <c r="V14" s="84"/>
    </row>
    <row r="15" spans="1:22" ht="345">
      <c r="A15" s="68">
        <v>14</v>
      </c>
      <c r="B15" s="68" t="s">
        <v>4477</v>
      </c>
      <c r="C15" s="69" t="s">
        <v>4873</v>
      </c>
      <c r="D15" s="70">
        <v>46045</v>
      </c>
      <c r="E15" s="68" t="s">
        <v>30</v>
      </c>
      <c r="F15" s="68" t="s">
        <v>22</v>
      </c>
      <c r="G15" s="68" t="s">
        <v>4282</v>
      </c>
      <c r="H15" s="68" t="s">
        <v>4478</v>
      </c>
      <c r="I15" s="68" t="s">
        <v>933</v>
      </c>
      <c r="J15" s="68" t="s">
        <v>4479</v>
      </c>
      <c r="K15" s="68" t="s">
        <v>4084</v>
      </c>
      <c r="L15" s="95" t="s">
        <v>4871</v>
      </c>
      <c r="M15" s="68" t="s">
        <v>4870</v>
      </c>
      <c r="N15" s="68" t="s">
        <v>24</v>
      </c>
      <c r="O15" s="71" t="s">
        <v>3910</v>
      </c>
      <c r="P15" s="72">
        <v>46045</v>
      </c>
      <c r="Q15" s="79" t="s">
        <v>3159</v>
      </c>
      <c r="R15" s="79" t="s">
        <v>1220</v>
      </c>
      <c r="S15" s="68" t="s">
        <v>5075</v>
      </c>
      <c r="T15" s="72" t="s">
        <v>5666</v>
      </c>
      <c r="U15" s="84"/>
      <c r="V15" s="84"/>
    </row>
    <row r="16" spans="1:22" ht="135">
      <c r="A16" s="1">
        <v>15</v>
      </c>
      <c r="B16" s="1" t="s">
        <v>4480</v>
      </c>
      <c r="C16" s="1"/>
      <c r="D16" s="1"/>
      <c r="E16" s="1" t="s">
        <v>30</v>
      </c>
      <c r="F16" s="1" t="s">
        <v>22</v>
      </c>
      <c r="G16" s="1" t="s">
        <v>4282</v>
      </c>
      <c r="H16" s="1" t="s">
        <v>4481</v>
      </c>
      <c r="I16" s="1" t="s">
        <v>933</v>
      </c>
      <c r="J16" s="1" t="s">
        <v>4482</v>
      </c>
      <c r="K16" s="1" t="s">
        <v>890</v>
      </c>
      <c r="L16" s="1" t="s">
        <v>4007</v>
      </c>
      <c r="M16" s="40" t="s">
        <v>854</v>
      </c>
      <c r="N16" s="3" t="s">
        <v>24</v>
      </c>
      <c r="O16" s="2" t="s">
        <v>3910</v>
      </c>
      <c r="P16" s="12">
        <v>46045</v>
      </c>
    </row>
    <row r="17" spans="1:16" ht="90">
      <c r="A17" s="1">
        <v>16</v>
      </c>
      <c r="B17" s="1" t="s">
        <v>4483</v>
      </c>
      <c r="C17" s="1"/>
      <c r="D17" s="1"/>
      <c r="E17" s="1" t="s">
        <v>30</v>
      </c>
      <c r="F17" s="1" t="s">
        <v>22</v>
      </c>
      <c r="G17" s="1" t="s">
        <v>4282</v>
      </c>
      <c r="H17" s="1" t="s">
        <v>4484</v>
      </c>
      <c r="I17" s="1" t="s">
        <v>933</v>
      </c>
      <c r="J17" s="1" t="s">
        <v>4485</v>
      </c>
      <c r="K17" s="1" t="s">
        <v>255</v>
      </c>
      <c r="L17" s="1" t="s">
        <v>3088</v>
      </c>
      <c r="M17" s="14" t="s">
        <v>258</v>
      </c>
      <c r="N17" s="3" t="s">
        <v>24</v>
      </c>
      <c r="O17" s="2" t="s">
        <v>3910</v>
      </c>
      <c r="P17" s="12">
        <v>46030</v>
      </c>
    </row>
  </sheetData>
  <autoFilter ref="A1:V17"/>
  <hyperlinks>
    <hyperlink ref="C3" r:id="rId1" display="https://hanssupport.atlassian.net/browse/BA-484"/>
    <hyperlink ref="C6" r:id="rId2" display="https://hanssupport.atlassian.net/browse/BA-485"/>
    <hyperlink ref="C7" r:id="rId3" display="https://hanssupport.atlassian.net/browse/BA-486"/>
    <hyperlink ref="C12" r:id="rId4" display="https://hanssupport.atlassian.net/browse/BA-487"/>
    <hyperlink ref="C13" r:id="rId5" display="https://hanssupport.atlassian.net/browse/BA-488"/>
    <hyperlink ref="C14" r:id="rId6" display="https://hanssupport.atlassian.net/browse/BA-489"/>
    <hyperlink ref="C15" r:id="rId7" display="https://hanssupport.atlassian.net/browse/BA-490"/>
    <hyperlink ref="C9" r:id="rId8" display="https://hanssupport.atlassian.net/browse/BA-588"/>
    <hyperlink ref="C11" r:id="rId9" display="https://hanssupport.atlassian.net/browse/BA-589"/>
  </hyperlinks>
  <pageMargins left="0.7" right="0.7" top="0.75" bottom="0.75" header="0.3" footer="0.3"/>
  <pageSetup paperSize="9" orientation="portrait" verticalDpi="0" r:id="rId10"/>
</worksheet>
</file>

<file path=xl/worksheets/sheet44.xml><?xml version="1.0" encoding="utf-8"?>
<worksheet xmlns="http://schemas.openxmlformats.org/spreadsheetml/2006/main" xmlns:r="http://schemas.openxmlformats.org/officeDocument/2006/relationships">
  <dimension ref="A1:V16"/>
  <sheetViews>
    <sheetView workbookViewId="0">
      <pane ySplit="1" topLeftCell="A2" activePane="bottomLeft" state="frozen"/>
      <selection pane="bottomLeft" activeCell="A2" sqref="A2"/>
    </sheetView>
  </sheetViews>
  <sheetFormatPr defaultRowHeight="15"/>
  <cols>
    <col min="1" max="1" width="10.28515625" style="45" customWidth="1"/>
    <col min="2" max="2" width="20" style="45" customWidth="1"/>
    <col min="3" max="3" width="10.7109375" style="45" customWidth="1"/>
    <col min="4" max="4" width="20" style="45" customWidth="1"/>
    <col min="5" max="5" width="13.42578125" style="45" customWidth="1"/>
    <col min="6" max="6" width="10.5703125" style="45" customWidth="1"/>
    <col min="7" max="7" width="20.28515625" style="45" customWidth="1"/>
    <col min="8" max="8" width="53.42578125" style="45" customWidth="1"/>
    <col min="9" max="9" width="43.5703125" style="45" customWidth="1"/>
    <col min="10" max="10" width="57.5703125" style="45" customWidth="1"/>
    <col min="11" max="11" width="36.7109375" style="45" customWidth="1"/>
    <col min="12" max="12" width="55" style="45" customWidth="1"/>
    <col min="13" max="13" width="53.7109375" style="45" customWidth="1"/>
    <col min="14" max="14" width="14.7109375" style="45" customWidth="1"/>
    <col min="15" max="15" width="36" style="45" customWidth="1"/>
    <col min="16" max="16" width="19.28515625" style="45" customWidth="1"/>
    <col min="17" max="17" width="14.7109375" style="45" customWidth="1"/>
    <col min="18" max="18" width="16.85546875" style="45" customWidth="1"/>
    <col min="19" max="19" width="19" style="45" customWidth="1"/>
    <col min="20" max="20" width="21.85546875" style="45" customWidth="1"/>
    <col min="21" max="21" width="26.28515625" style="45" customWidth="1"/>
    <col min="22" max="22" width="12.425781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4287</v>
      </c>
      <c r="C2" s="1"/>
      <c r="D2" s="1"/>
      <c r="E2" s="1" t="s">
        <v>30</v>
      </c>
      <c r="F2" s="1" t="s">
        <v>22</v>
      </c>
      <c r="G2" s="1" t="s">
        <v>4288</v>
      </c>
      <c r="H2" s="1" t="s">
        <v>4289</v>
      </c>
      <c r="I2" s="1" t="s">
        <v>933</v>
      </c>
      <c r="J2" s="1" t="s">
        <v>4290</v>
      </c>
      <c r="K2" s="1" t="s">
        <v>4108</v>
      </c>
      <c r="L2" s="1" t="s">
        <v>4291</v>
      </c>
      <c r="M2" s="1" t="s">
        <v>4292</v>
      </c>
      <c r="N2" s="3" t="s">
        <v>24</v>
      </c>
      <c r="O2" s="2" t="s">
        <v>3910</v>
      </c>
      <c r="P2" s="12">
        <v>46029</v>
      </c>
    </row>
    <row r="3" spans="1:22" ht="120">
      <c r="A3" s="1">
        <v>2</v>
      </c>
      <c r="B3" s="1" t="s">
        <v>4293</v>
      </c>
      <c r="C3" s="1"/>
      <c r="D3" s="1"/>
      <c r="E3" s="1" t="s">
        <v>30</v>
      </c>
      <c r="F3" s="1" t="s">
        <v>22</v>
      </c>
      <c r="G3" s="1" t="s">
        <v>4288</v>
      </c>
      <c r="H3" s="1" t="s">
        <v>4294</v>
      </c>
      <c r="I3" s="1" t="s">
        <v>933</v>
      </c>
      <c r="J3" s="1" t="s">
        <v>4295</v>
      </c>
      <c r="K3" s="1" t="s">
        <v>4296</v>
      </c>
      <c r="L3" s="5" t="s">
        <v>4297</v>
      </c>
      <c r="M3" s="5" t="s">
        <v>4298</v>
      </c>
      <c r="N3" s="3" t="s">
        <v>24</v>
      </c>
      <c r="O3" s="2" t="s">
        <v>3910</v>
      </c>
      <c r="P3" s="12">
        <v>46029</v>
      </c>
    </row>
    <row r="4" spans="1:22" ht="225">
      <c r="A4" s="1">
        <v>3</v>
      </c>
      <c r="B4" s="1" t="s">
        <v>4299</v>
      </c>
      <c r="C4" s="23" t="s">
        <v>4822</v>
      </c>
      <c r="D4" s="36">
        <v>46038</v>
      </c>
      <c r="E4" s="1" t="s">
        <v>30</v>
      </c>
      <c r="F4" s="1" t="s">
        <v>22</v>
      </c>
      <c r="G4" s="1" t="s">
        <v>4288</v>
      </c>
      <c r="H4" s="1" t="s">
        <v>4300</v>
      </c>
      <c r="I4" s="1" t="s">
        <v>933</v>
      </c>
      <c r="J4" s="1" t="s">
        <v>4301</v>
      </c>
      <c r="K4" s="1" t="s">
        <v>4303</v>
      </c>
      <c r="L4" s="1" t="s">
        <v>4302</v>
      </c>
      <c r="M4" s="5" t="s">
        <v>4820</v>
      </c>
      <c r="N4" s="19" t="s">
        <v>47</v>
      </c>
      <c r="O4" s="2" t="s">
        <v>3910</v>
      </c>
      <c r="P4" s="12">
        <v>46029</v>
      </c>
      <c r="Q4" s="40" t="s">
        <v>3159</v>
      </c>
    </row>
    <row r="5" spans="1:22" ht="225">
      <c r="A5" s="1">
        <v>4</v>
      </c>
      <c r="B5" s="1" t="s">
        <v>4304</v>
      </c>
      <c r="C5" s="23" t="s">
        <v>4823</v>
      </c>
      <c r="D5" s="36">
        <v>46038</v>
      </c>
      <c r="E5" s="1" t="s">
        <v>30</v>
      </c>
      <c r="F5" s="1" t="s">
        <v>22</v>
      </c>
      <c r="G5" s="1" t="s">
        <v>4288</v>
      </c>
      <c r="H5" s="1" t="s">
        <v>4305</v>
      </c>
      <c r="I5" s="1" t="s">
        <v>933</v>
      </c>
      <c r="J5" s="1" t="s">
        <v>4306</v>
      </c>
      <c r="K5" s="1" t="s">
        <v>4307</v>
      </c>
      <c r="L5" s="1" t="s">
        <v>4308</v>
      </c>
      <c r="M5" s="5" t="s">
        <v>4821</v>
      </c>
      <c r="N5" s="19" t="s">
        <v>47</v>
      </c>
      <c r="O5" s="2" t="s">
        <v>3910</v>
      </c>
      <c r="P5" s="12">
        <v>46029</v>
      </c>
      <c r="Q5" s="40" t="s">
        <v>3159</v>
      </c>
    </row>
    <row r="6" spans="1:22" ht="180">
      <c r="A6" s="1">
        <v>5</v>
      </c>
      <c r="B6" s="1" t="s">
        <v>4309</v>
      </c>
      <c r="C6" s="1"/>
      <c r="D6" s="1"/>
      <c r="E6" s="1" t="s">
        <v>30</v>
      </c>
      <c r="F6" s="1" t="s">
        <v>22</v>
      </c>
      <c r="G6" s="1" t="s">
        <v>4288</v>
      </c>
      <c r="H6" s="16" t="s">
        <v>4312</v>
      </c>
      <c r="I6" s="1" t="s">
        <v>933</v>
      </c>
      <c r="J6" s="24" t="s">
        <v>4313</v>
      </c>
      <c r="K6" s="24" t="s">
        <v>4310</v>
      </c>
      <c r="L6" s="24" t="s">
        <v>4311</v>
      </c>
      <c r="M6" s="24" t="s">
        <v>4314</v>
      </c>
      <c r="N6" s="3" t="s">
        <v>24</v>
      </c>
      <c r="O6" s="2" t="s">
        <v>3910</v>
      </c>
      <c r="P6" s="12">
        <v>46029</v>
      </c>
    </row>
    <row r="7" spans="1:22" ht="120">
      <c r="A7" s="1">
        <v>6</v>
      </c>
      <c r="B7" s="1" t="s">
        <v>4315</v>
      </c>
      <c r="C7" s="1"/>
      <c r="D7" s="1"/>
      <c r="E7" s="1" t="s">
        <v>30</v>
      </c>
      <c r="F7" s="1" t="s">
        <v>22</v>
      </c>
      <c r="G7" s="1" t="s">
        <v>4288</v>
      </c>
      <c r="H7" s="1" t="s">
        <v>4316</v>
      </c>
      <c r="I7" s="1" t="s">
        <v>933</v>
      </c>
      <c r="J7" s="1" t="s">
        <v>4317</v>
      </c>
      <c r="K7" s="1" t="s">
        <v>866</v>
      </c>
      <c r="L7" s="1" t="s">
        <v>4318</v>
      </c>
      <c r="M7" s="1" t="s">
        <v>4319</v>
      </c>
      <c r="N7" s="3" t="s">
        <v>24</v>
      </c>
      <c r="O7" s="2" t="s">
        <v>3910</v>
      </c>
      <c r="P7" s="12">
        <v>46029</v>
      </c>
    </row>
    <row r="8" spans="1:22" ht="240">
      <c r="A8" s="1">
        <v>7</v>
      </c>
      <c r="B8" s="1" t="s">
        <v>4320</v>
      </c>
      <c r="C8" s="23" t="s">
        <v>4824</v>
      </c>
      <c r="D8" s="36">
        <v>46038</v>
      </c>
      <c r="E8" s="1" t="s">
        <v>30</v>
      </c>
      <c r="F8" s="1" t="s">
        <v>22</v>
      </c>
      <c r="G8" s="1" t="s">
        <v>4288</v>
      </c>
      <c r="H8" s="1" t="s">
        <v>4324</v>
      </c>
      <c r="I8" s="1" t="s">
        <v>933</v>
      </c>
      <c r="J8" s="1" t="s">
        <v>4321</v>
      </c>
      <c r="K8" s="14" t="s">
        <v>4323</v>
      </c>
      <c r="L8" s="1" t="s">
        <v>4322</v>
      </c>
      <c r="M8" s="1" t="s">
        <v>4325</v>
      </c>
      <c r="N8" s="19" t="s">
        <v>47</v>
      </c>
      <c r="O8" s="2" t="s">
        <v>3910</v>
      </c>
      <c r="P8" s="12">
        <v>46029</v>
      </c>
      <c r="Q8" s="40" t="s">
        <v>3159</v>
      </c>
    </row>
    <row r="9" spans="1:22" ht="180">
      <c r="A9" s="1">
        <v>8</v>
      </c>
      <c r="B9" s="1" t="s">
        <v>4326</v>
      </c>
      <c r="C9" s="1"/>
      <c r="D9" s="1"/>
      <c r="E9" s="1" t="s">
        <v>30</v>
      </c>
      <c r="F9" s="1" t="s">
        <v>22</v>
      </c>
      <c r="G9" s="1" t="s">
        <v>4288</v>
      </c>
      <c r="H9" s="1" t="s">
        <v>4327</v>
      </c>
      <c r="I9" s="1" t="s">
        <v>933</v>
      </c>
      <c r="J9" s="1" t="s">
        <v>4328</v>
      </c>
      <c r="K9" s="1" t="s">
        <v>4329</v>
      </c>
      <c r="L9" s="1" t="s">
        <v>4330</v>
      </c>
      <c r="M9" s="1" t="s">
        <v>854</v>
      </c>
      <c r="N9" s="3" t="s">
        <v>24</v>
      </c>
      <c r="O9" s="2" t="s">
        <v>3910</v>
      </c>
      <c r="P9" s="12">
        <v>46029</v>
      </c>
    </row>
    <row r="10" spans="1:22" ht="120">
      <c r="A10" s="1">
        <v>9</v>
      </c>
      <c r="B10" s="1" t="s">
        <v>4331</v>
      </c>
      <c r="C10" s="1"/>
      <c r="D10" s="1"/>
      <c r="E10" s="1" t="s">
        <v>30</v>
      </c>
      <c r="F10" s="1" t="s">
        <v>22</v>
      </c>
      <c r="G10" s="1" t="s">
        <v>4288</v>
      </c>
      <c r="H10" s="1" t="s">
        <v>4332</v>
      </c>
      <c r="I10" s="1" t="s">
        <v>933</v>
      </c>
      <c r="J10" s="1" t="s">
        <v>4333</v>
      </c>
      <c r="K10" s="1" t="s">
        <v>890</v>
      </c>
      <c r="L10" s="1" t="s">
        <v>4154</v>
      </c>
      <c r="M10" s="1" t="s">
        <v>4008</v>
      </c>
      <c r="N10" s="3" t="s">
        <v>274</v>
      </c>
      <c r="O10" s="2" t="s">
        <v>3910</v>
      </c>
      <c r="P10" s="12">
        <v>46029</v>
      </c>
    </row>
    <row r="11" spans="1:22" ht="135">
      <c r="A11" s="1">
        <v>10</v>
      </c>
      <c r="B11" s="1" t="s">
        <v>4334</v>
      </c>
      <c r="C11" s="1"/>
      <c r="D11" s="1"/>
      <c r="E11" s="1" t="s">
        <v>30</v>
      </c>
      <c r="F11" s="1" t="s">
        <v>22</v>
      </c>
      <c r="G11" s="1" t="s">
        <v>4288</v>
      </c>
      <c r="H11" s="1" t="s">
        <v>4336</v>
      </c>
      <c r="I11" s="1" t="s">
        <v>933</v>
      </c>
      <c r="J11" s="1" t="s">
        <v>4338</v>
      </c>
      <c r="K11" s="1" t="s">
        <v>2933</v>
      </c>
      <c r="L11" s="1" t="s">
        <v>2934</v>
      </c>
      <c r="M11" s="1" t="s">
        <v>4012</v>
      </c>
      <c r="N11" s="3" t="s">
        <v>24</v>
      </c>
      <c r="O11" s="2" t="s">
        <v>3910</v>
      </c>
      <c r="P11" s="12">
        <v>46029</v>
      </c>
    </row>
    <row r="12" spans="1:22" ht="135">
      <c r="A12" s="1">
        <v>11</v>
      </c>
      <c r="B12" s="1" t="s">
        <v>4337</v>
      </c>
      <c r="C12" s="1"/>
      <c r="D12" s="1"/>
      <c r="E12" s="1" t="s">
        <v>30</v>
      </c>
      <c r="F12" s="1" t="s">
        <v>22</v>
      </c>
      <c r="G12" s="1" t="s">
        <v>4288</v>
      </c>
      <c r="H12" s="1" t="s">
        <v>4335</v>
      </c>
      <c r="I12" s="1" t="s">
        <v>933</v>
      </c>
      <c r="J12" s="1" t="s">
        <v>4339</v>
      </c>
      <c r="K12" s="1" t="s">
        <v>2933</v>
      </c>
      <c r="L12" s="1" t="s">
        <v>2939</v>
      </c>
      <c r="M12" s="1" t="s">
        <v>4015</v>
      </c>
      <c r="N12" s="3" t="s">
        <v>24</v>
      </c>
      <c r="O12" s="2" t="s">
        <v>3910</v>
      </c>
      <c r="P12" s="12">
        <v>46029</v>
      </c>
    </row>
    <row r="13" spans="1:22" ht="255">
      <c r="A13" s="1">
        <v>12</v>
      </c>
      <c r="B13" s="1" t="s">
        <v>4340</v>
      </c>
      <c r="C13" s="1"/>
      <c r="D13" s="1"/>
      <c r="E13" s="1" t="s">
        <v>30</v>
      </c>
      <c r="F13" s="1" t="s">
        <v>22</v>
      </c>
      <c r="G13" s="1" t="s">
        <v>4288</v>
      </c>
      <c r="H13" s="1" t="s">
        <v>4346</v>
      </c>
      <c r="I13" s="1" t="s">
        <v>933</v>
      </c>
      <c r="J13" s="1" t="s">
        <v>4341</v>
      </c>
      <c r="K13" s="1" t="s">
        <v>4342</v>
      </c>
      <c r="L13" s="44" t="s">
        <v>4343</v>
      </c>
      <c r="M13" s="14" t="s">
        <v>4344</v>
      </c>
      <c r="N13" s="3" t="s">
        <v>24</v>
      </c>
      <c r="O13" s="2" t="s">
        <v>3910</v>
      </c>
      <c r="P13" s="12">
        <v>46029</v>
      </c>
    </row>
    <row r="14" spans="1:22" ht="90">
      <c r="A14" s="1">
        <v>13</v>
      </c>
      <c r="B14" s="1" t="s">
        <v>4345</v>
      </c>
      <c r="C14" s="1"/>
      <c r="D14" s="1"/>
      <c r="E14" s="1" t="s">
        <v>30</v>
      </c>
      <c r="F14" s="1" t="s">
        <v>22</v>
      </c>
      <c r="G14" s="1" t="s">
        <v>4288</v>
      </c>
      <c r="H14" s="1" t="s">
        <v>4347</v>
      </c>
      <c r="I14" s="1" t="s">
        <v>933</v>
      </c>
      <c r="J14" s="1" t="s">
        <v>4348</v>
      </c>
      <c r="K14" s="1" t="s">
        <v>255</v>
      </c>
      <c r="L14" s="1" t="s">
        <v>4349</v>
      </c>
      <c r="M14" s="1" t="s">
        <v>4280</v>
      </c>
      <c r="N14" s="3" t="s">
        <v>24</v>
      </c>
      <c r="O14" s="2" t="s">
        <v>3910</v>
      </c>
      <c r="P14" s="12">
        <v>46029</v>
      </c>
    </row>
    <row r="15" spans="1:22" ht="30">
      <c r="H15" s="1" t="s">
        <v>4350</v>
      </c>
    </row>
    <row r="16" spans="1:22" ht="30">
      <c r="H16" s="1" t="s">
        <v>4351</v>
      </c>
    </row>
  </sheetData>
  <autoFilter ref="A1:V16"/>
  <hyperlinks>
    <hyperlink ref="C4" r:id="rId1" display="https://hanssupport.atlassian.net/browse/BA-457"/>
    <hyperlink ref="C5" r:id="rId2" display="https://hanssupport.atlassian.net/browse/BA-458"/>
    <hyperlink ref="C8" r:id="rId3" display="https://hanssupport.atlassian.net/browse/BA-459"/>
  </hyperlinks>
  <pageMargins left="0.7" right="0.7" top="0.75" bottom="0.75" header="0.3" footer="0.3"/>
  <pageSetup paperSize="9" orientation="portrait" verticalDpi="0" r:id="rId4"/>
</worksheet>
</file>

<file path=xl/worksheets/sheet45.xml><?xml version="1.0" encoding="utf-8"?>
<worksheet xmlns="http://schemas.openxmlformats.org/spreadsheetml/2006/main" xmlns:r="http://schemas.openxmlformats.org/officeDocument/2006/relationships">
  <dimension ref="A1:V21"/>
  <sheetViews>
    <sheetView topLeftCell="J1" workbookViewId="0">
      <pane ySplit="1" topLeftCell="A2" activePane="bottomLeft" state="frozen"/>
      <selection activeCell="F1" sqref="F1"/>
      <selection pane="bottomLeft" activeCell="L3" sqref="L3:M3"/>
    </sheetView>
  </sheetViews>
  <sheetFormatPr defaultRowHeight="15"/>
  <cols>
    <col min="1" max="1" width="9.140625" style="45"/>
    <col min="2" max="2" width="20.28515625" style="45" customWidth="1"/>
    <col min="3" max="3" width="11.28515625" style="45" customWidth="1"/>
    <col min="4" max="4" width="20.5703125" style="45" customWidth="1"/>
    <col min="5" max="5" width="13.7109375" style="45" customWidth="1"/>
    <col min="6" max="6" width="11" style="45" customWidth="1"/>
    <col min="7" max="7" width="21.85546875" style="45" customWidth="1"/>
    <col min="8" max="8" width="58.7109375" style="45" customWidth="1"/>
    <col min="9" max="9" width="43.42578125" style="45" customWidth="1"/>
    <col min="10" max="10" width="66" style="45" customWidth="1"/>
    <col min="11" max="11" width="36" style="45" customWidth="1"/>
    <col min="12" max="12" width="59.7109375" style="45" customWidth="1"/>
    <col min="13" max="13" width="49.5703125" style="45" customWidth="1"/>
    <col min="14" max="14" width="14.7109375" style="45" customWidth="1"/>
    <col min="15" max="15" width="31.5703125" style="45" customWidth="1"/>
    <col min="16" max="16" width="20.42578125" style="45" customWidth="1"/>
    <col min="17" max="17" width="13.7109375" style="45" customWidth="1"/>
    <col min="18" max="18" width="16" style="45" customWidth="1"/>
    <col min="19" max="19" width="18.28515625" style="45" customWidth="1"/>
    <col min="20" max="20" width="24" style="45" customWidth="1"/>
    <col min="21" max="21" width="25.5703125" style="45" customWidth="1"/>
    <col min="22" max="22" width="14.8554687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4354</v>
      </c>
      <c r="C2" s="1"/>
      <c r="D2" s="1"/>
      <c r="E2" s="1" t="s">
        <v>30</v>
      </c>
      <c r="F2" s="1" t="s">
        <v>22</v>
      </c>
      <c r="G2" s="1" t="s">
        <v>4352</v>
      </c>
      <c r="H2" s="1" t="s">
        <v>4355</v>
      </c>
      <c r="I2" s="1" t="s">
        <v>933</v>
      </c>
      <c r="J2" s="1" t="s">
        <v>4356</v>
      </c>
      <c r="K2" s="1" t="s">
        <v>4108</v>
      </c>
      <c r="L2" s="1" t="s">
        <v>4357</v>
      </c>
      <c r="M2" s="1" t="s">
        <v>4358</v>
      </c>
      <c r="N2" s="3" t="s">
        <v>24</v>
      </c>
      <c r="O2" s="2" t="s">
        <v>3910</v>
      </c>
      <c r="P2" s="12">
        <v>46029</v>
      </c>
    </row>
    <row r="3" spans="1:22" ht="120">
      <c r="A3" s="1">
        <v>2</v>
      </c>
      <c r="B3" s="1" t="s">
        <v>4359</v>
      </c>
      <c r="C3" s="23" t="s">
        <v>4826</v>
      </c>
      <c r="D3" s="36">
        <v>46039</v>
      </c>
      <c r="E3" s="1" t="s">
        <v>30</v>
      </c>
      <c r="F3" s="1" t="s">
        <v>22</v>
      </c>
      <c r="G3" s="1" t="s">
        <v>4352</v>
      </c>
      <c r="H3" s="1" t="s">
        <v>4360</v>
      </c>
      <c r="I3" s="1" t="s">
        <v>933</v>
      </c>
      <c r="J3" s="1" t="s">
        <v>4361</v>
      </c>
      <c r="K3" s="1" t="s">
        <v>4362</v>
      </c>
      <c r="L3" s="1" t="s">
        <v>4363</v>
      </c>
      <c r="M3" s="1" t="s">
        <v>4825</v>
      </c>
      <c r="N3" s="19" t="s">
        <v>47</v>
      </c>
      <c r="O3" s="2" t="s">
        <v>3910</v>
      </c>
      <c r="P3" s="12">
        <v>46029</v>
      </c>
      <c r="Q3" s="40" t="s">
        <v>3159</v>
      </c>
    </row>
    <row r="4" spans="1:22" ht="135">
      <c r="A4" s="1">
        <v>3</v>
      </c>
      <c r="B4" s="1" t="s">
        <v>4364</v>
      </c>
      <c r="C4" s="1"/>
      <c r="D4" s="1"/>
      <c r="E4" s="1" t="s">
        <v>30</v>
      </c>
      <c r="F4" s="1" t="s">
        <v>22</v>
      </c>
      <c r="G4" s="1" t="s">
        <v>4352</v>
      </c>
      <c r="H4" s="1" t="s">
        <v>4365</v>
      </c>
      <c r="I4" s="1" t="s">
        <v>933</v>
      </c>
      <c r="J4" s="1" t="s">
        <v>4366</v>
      </c>
      <c r="K4" s="1" t="s">
        <v>255</v>
      </c>
      <c r="L4" s="1" t="s">
        <v>2833</v>
      </c>
      <c r="M4" s="1" t="s">
        <v>1524</v>
      </c>
      <c r="N4" s="3" t="s">
        <v>274</v>
      </c>
      <c r="O4" s="2" t="s">
        <v>3910</v>
      </c>
      <c r="P4" s="12">
        <v>46029</v>
      </c>
    </row>
    <row r="5" spans="1:22" ht="150">
      <c r="A5" s="1">
        <v>4</v>
      </c>
      <c r="B5" s="1" t="s">
        <v>4367</v>
      </c>
      <c r="C5" s="23" t="s">
        <v>4827</v>
      </c>
      <c r="D5" s="36">
        <v>46039</v>
      </c>
      <c r="E5" s="1" t="s">
        <v>30</v>
      </c>
      <c r="F5" s="1" t="s">
        <v>22</v>
      </c>
      <c r="G5" s="1" t="s">
        <v>4352</v>
      </c>
      <c r="H5" s="1" t="s">
        <v>4369</v>
      </c>
      <c r="I5" s="1" t="s">
        <v>933</v>
      </c>
      <c r="J5" s="1" t="s">
        <v>4368</v>
      </c>
      <c r="K5" s="1" t="s">
        <v>1905</v>
      </c>
      <c r="L5" s="1" t="s">
        <v>4370</v>
      </c>
      <c r="M5" s="14" t="s">
        <v>3130</v>
      </c>
      <c r="N5" s="19" t="s">
        <v>47</v>
      </c>
      <c r="O5" s="2" t="s">
        <v>3910</v>
      </c>
      <c r="P5" s="12">
        <v>46029</v>
      </c>
      <c r="Q5" s="40" t="s">
        <v>3159</v>
      </c>
    </row>
    <row r="6" spans="1:22" ht="195">
      <c r="A6" s="1">
        <v>5</v>
      </c>
      <c r="B6" s="1" t="s">
        <v>4371</v>
      </c>
      <c r="C6" s="23" t="s">
        <v>4828</v>
      </c>
      <c r="D6" s="36">
        <v>46039</v>
      </c>
      <c r="E6" s="1" t="s">
        <v>30</v>
      </c>
      <c r="F6" s="1" t="s">
        <v>22</v>
      </c>
      <c r="G6" s="1" t="s">
        <v>4352</v>
      </c>
      <c r="H6" s="1" t="s">
        <v>4372</v>
      </c>
      <c r="I6" s="1" t="s">
        <v>933</v>
      </c>
      <c r="J6" s="1" t="s">
        <v>4373</v>
      </c>
      <c r="K6" s="1" t="s">
        <v>1661</v>
      </c>
      <c r="L6" s="1" t="s">
        <v>4374</v>
      </c>
      <c r="M6" s="1" t="s">
        <v>4375</v>
      </c>
      <c r="N6" s="19" t="s">
        <v>47</v>
      </c>
      <c r="O6" s="2" t="s">
        <v>3910</v>
      </c>
      <c r="P6" s="12">
        <v>46029</v>
      </c>
      <c r="Q6" s="40" t="s">
        <v>3159</v>
      </c>
    </row>
    <row r="7" spans="1:22" ht="90">
      <c r="A7" s="1">
        <v>6</v>
      </c>
      <c r="B7" s="1" t="s">
        <v>4376</v>
      </c>
      <c r="C7" s="23" t="s">
        <v>4829</v>
      </c>
      <c r="D7" s="36">
        <v>46039</v>
      </c>
      <c r="E7" s="1" t="s">
        <v>30</v>
      </c>
      <c r="F7" s="1" t="s">
        <v>22</v>
      </c>
      <c r="G7" s="1" t="s">
        <v>4352</v>
      </c>
      <c r="H7" s="1" t="s">
        <v>4377</v>
      </c>
      <c r="I7" s="1" t="s">
        <v>933</v>
      </c>
      <c r="J7" s="1" t="s">
        <v>4378</v>
      </c>
      <c r="K7" s="1" t="s">
        <v>3137</v>
      </c>
      <c r="L7" s="1" t="s">
        <v>4379</v>
      </c>
      <c r="M7" s="1" t="s">
        <v>4380</v>
      </c>
      <c r="N7" s="19" t="s">
        <v>47</v>
      </c>
      <c r="O7" s="2" t="s">
        <v>3910</v>
      </c>
      <c r="P7" s="12">
        <v>46029</v>
      </c>
      <c r="Q7" s="40" t="s">
        <v>3159</v>
      </c>
    </row>
    <row r="8" spans="1:22" ht="165">
      <c r="A8" s="1">
        <v>7</v>
      </c>
      <c r="B8" s="1" t="s">
        <v>4381</v>
      </c>
      <c r="C8" s="23" t="s">
        <v>4830</v>
      </c>
      <c r="D8" s="36">
        <v>46039</v>
      </c>
      <c r="E8" s="1" t="s">
        <v>30</v>
      </c>
      <c r="F8" s="1" t="s">
        <v>22</v>
      </c>
      <c r="G8" s="1" t="s">
        <v>4352</v>
      </c>
      <c r="H8" s="1" t="s">
        <v>4382</v>
      </c>
      <c r="I8" s="1" t="s">
        <v>933</v>
      </c>
      <c r="J8" s="1" t="s">
        <v>4383</v>
      </c>
      <c r="K8" s="1" t="s">
        <v>2851</v>
      </c>
      <c r="L8" s="1" t="s">
        <v>4384</v>
      </c>
      <c r="M8" s="1" t="s">
        <v>4385</v>
      </c>
      <c r="N8" s="19" t="s">
        <v>47</v>
      </c>
      <c r="O8" s="2" t="s">
        <v>3910</v>
      </c>
      <c r="P8" s="12">
        <v>46029</v>
      </c>
      <c r="Q8" s="40" t="s">
        <v>3159</v>
      </c>
    </row>
    <row r="9" spans="1:22" ht="120">
      <c r="A9" s="1">
        <v>8</v>
      </c>
      <c r="B9" s="1" t="s">
        <v>4386</v>
      </c>
      <c r="C9" s="1"/>
      <c r="D9" s="1"/>
      <c r="E9" s="1" t="s">
        <v>30</v>
      </c>
      <c r="F9" s="1" t="s">
        <v>22</v>
      </c>
      <c r="G9" s="1" t="s">
        <v>4352</v>
      </c>
      <c r="H9" s="1" t="s">
        <v>4387</v>
      </c>
      <c r="I9" s="1" t="s">
        <v>933</v>
      </c>
      <c r="J9" s="1" t="s">
        <v>4388</v>
      </c>
      <c r="K9" s="1" t="s">
        <v>4389</v>
      </c>
      <c r="L9" s="1" t="s">
        <v>4390</v>
      </c>
      <c r="M9" s="1" t="s">
        <v>4391</v>
      </c>
      <c r="N9" s="3" t="s">
        <v>274</v>
      </c>
      <c r="O9" s="2" t="s">
        <v>3910</v>
      </c>
      <c r="P9" s="12">
        <v>46030</v>
      </c>
    </row>
    <row r="10" spans="1:22" ht="165">
      <c r="A10" s="1">
        <v>9</v>
      </c>
      <c r="B10" s="1" t="s">
        <v>4392</v>
      </c>
      <c r="C10" s="23" t="s">
        <v>4831</v>
      </c>
      <c r="D10" s="36">
        <v>46039</v>
      </c>
      <c r="E10" s="1" t="s">
        <v>30</v>
      </c>
      <c r="F10" s="1" t="s">
        <v>22</v>
      </c>
      <c r="G10" s="1" t="s">
        <v>4352</v>
      </c>
      <c r="H10" s="1" t="s">
        <v>4393</v>
      </c>
      <c r="I10" s="1" t="s">
        <v>933</v>
      </c>
      <c r="J10" s="1" t="s">
        <v>4394</v>
      </c>
      <c r="K10" s="1" t="s">
        <v>4402</v>
      </c>
      <c r="L10" s="1" t="s">
        <v>4403</v>
      </c>
      <c r="M10" s="1" t="s">
        <v>4404</v>
      </c>
      <c r="N10" s="19" t="s">
        <v>47</v>
      </c>
      <c r="O10" s="2" t="s">
        <v>3910</v>
      </c>
      <c r="P10" s="12">
        <v>46030</v>
      </c>
      <c r="Q10" s="40" t="s">
        <v>3159</v>
      </c>
    </row>
    <row r="11" spans="1:22" ht="90">
      <c r="A11" s="1">
        <v>10</v>
      </c>
      <c r="B11" s="1" t="s">
        <v>4395</v>
      </c>
      <c r="C11" s="1"/>
      <c r="D11" s="1"/>
      <c r="E11" s="1" t="s">
        <v>30</v>
      </c>
      <c r="F11" s="1" t="s">
        <v>22</v>
      </c>
      <c r="G11" s="1" t="s">
        <v>4352</v>
      </c>
      <c r="H11" s="1" t="s">
        <v>4396</v>
      </c>
      <c r="I11" s="1" t="s">
        <v>933</v>
      </c>
      <c r="J11" s="1" t="s">
        <v>4397</v>
      </c>
      <c r="K11" s="1" t="s">
        <v>1211</v>
      </c>
      <c r="L11" s="1" t="s">
        <v>1213</v>
      </c>
      <c r="M11" s="1" t="s">
        <v>258</v>
      </c>
      <c r="N11" s="3" t="s">
        <v>24</v>
      </c>
      <c r="O11" s="2" t="s">
        <v>3910</v>
      </c>
      <c r="P11" s="12">
        <v>46030</v>
      </c>
    </row>
    <row r="12" spans="1:22" ht="120">
      <c r="A12" s="1">
        <v>11</v>
      </c>
      <c r="B12" s="1" t="s">
        <v>4398</v>
      </c>
      <c r="C12" s="1"/>
      <c r="D12" s="1"/>
      <c r="E12" s="1" t="s">
        <v>30</v>
      </c>
      <c r="F12" s="1" t="s">
        <v>22</v>
      </c>
      <c r="G12" s="1" t="s">
        <v>4352</v>
      </c>
      <c r="H12" s="1" t="s">
        <v>4399</v>
      </c>
      <c r="I12" s="1" t="s">
        <v>933</v>
      </c>
      <c r="J12" s="1" t="s">
        <v>4400</v>
      </c>
      <c r="K12" s="1" t="s">
        <v>3050</v>
      </c>
      <c r="L12" s="1" t="s">
        <v>3051</v>
      </c>
      <c r="M12" s="1" t="s">
        <v>3058</v>
      </c>
      <c r="N12" s="3" t="s">
        <v>274</v>
      </c>
      <c r="O12" s="2" t="s">
        <v>3910</v>
      </c>
      <c r="P12" s="12">
        <v>46030</v>
      </c>
    </row>
    <row r="13" spans="1:22" ht="105">
      <c r="A13" s="1">
        <v>12</v>
      </c>
      <c r="B13" s="1" t="s">
        <v>4401</v>
      </c>
      <c r="C13" s="1"/>
      <c r="D13" s="1"/>
      <c r="E13" s="1" t="s">
        <v>30</v>
      </c>
      <c r="F13" s="1" t="s">
        <v>22</v>
      </c>
      <c r="G13" s="1" t="s">
        <v>4352</v>
      </c>
      <c r="H13" s="1" t="s">
        <v>4405</v>
      </c>
      <c r="I13" s="1" t="s">
        <v>933</v>
      </c>
      <c r="J13" s="1" t="s">
        <v>4406</v>
      </c>
      <c r="K13" s="1" t="s">
        <v>4407</v>
      </c>
      <c r="L13" s="1" t="s">
        <v>2913</v>
      </c>
      <c r="M13" s="1" t="s">
        <v>4408</v>
      </c>
      <c r="N13" s="3" t="s">
        <v>24</v>
      </c>
      <c r="O13" s="2" t="s">
        <v>3910</v>
      </c>
      <c r="P13" s="12">
        <v>46030</v>
      </c>
    </row>
    <row r="14" spans="1:22" ht="120">
      <c r="A14" s="1">
        <v>13</v>
      </c>
      <c r="B14" s="1" t="s">
        <v>4409</v>
      </c>
      <c r="C14" s="1"/>
      <c r="D14" s="1"/>
      <c r="E14" s="1" t="s">
        <v>30</v>
      </c>
      <c r="F14" s="1" t="s">
        <v>22</v>
      </c>
      <c r="G14" s="1" t="s">
        <v>4352</v>
      </c>
      <c r="H14" s="1" t="s">
        <v>4410</v>
      </c>
      <c r="I14" s="1" t="s">
        <v>933</v>
      </c>
      <c r="J14" s="1" t="s">
        <v>4411</v>
      </c>
      <c r="K14" s="1" t="s">
        <v>4412</v>
      </c>
      <c r="L14" s="1" t="s">
        <v>4413</v>
      </c>
      <c r="M14" s="1" t="s">
        <v>4414</v>
      </c>
      <c r="N14" s="3" t="s">
        <v>24</v>
      </c>
      <c r="O14" s="2" t="s">
        <v>3910</v>
      </c>
      <c r="P14" s="12">
        <v>46030</v>
      </c>
    </row>
    <row r="15" spans="1:22" ht="150">
      <c r="A15" s="1">
        <v>14</v>
      </c>
      <c r="B15" s="1" t="s">
        <v>4415</v>
      </c>
      <c r="C15" s="23" t="s">
        <v>4832</v>
      </c>
      <c r="D15" s="36">
        <v>46039</v>
      </c>
      <c r="E15" s="1" t="s">
        <v>30</v>
      </c>
      <c r="F15" s="1" t="s">
        <v>22</v>
      </c>
      <c r="G15" s="1" t="s">
        <v>4352</v>
      </c>
      <c r="H15" s="1" t="s">
        <v>4416</v>
      </c>
      <c r="I15" s="1" t="s">
        <v>933</v>
      </c>
      <c r="J15" s="1" t="s">
        <v>4417</v>
      </c>
      <c r="K15" s="1" t="s">
        <v>4418</v>
      </c>
      <c r="L15" s="1" t="s">
        <v>3220</v>
      </c>
      <c r="M15" s="5" t="s">
        <v>4419</v>
      </c>
      <c r="N15" s="19" t="s">
        <v>47</v>
      </c>
      <c r="O15" s="2" t="s">
        <v>3910</v>
      </c>
      <c r="P15" s="12">
        <v>46030</v>
      </c>
      <c r="Q15" s="40" t="s">
        <v>3159</v>
      </c>
    </row>
    <row r="16" spans="1:22" ht="180">
      <c r="A16" s="1">
        <v>15</v>
      </c>
      <c r="B16" s="1" t="s">
        <v>4420</v>
      </c>
      <c r="C16" s="1"/>
      <c r="D16" s="1"/>
      <c r="E16" s="1" t="s">
        <v>30</v>
      </c>
      <c r="F16" s="1" t="s">
        <v>22</v>
      </c>
      <c r="G16" s="1" t="s">
        <v>4352</v>
      </c>
      <c r="H16" s="1" t="s">
        <v>4421</v>
      </c>
      <c r="I16" s="1" t="s">
        <v>933</v>
      </c>
      <c r="J16" s="1" t="s">
        <v>4422</v>
      </c>
      <c r="K16" s="14" t="s">
        <v>255</v>
      </c>
      <c r="L16" s="1" t="s">
        <v>4423</v>
      </c>
      <c r="M16" s="1" t="s">
        <v>854</v>
      </c>
      <c r="N16" s="3" t="s">
        <v>24</v>
      </c>
      <c r="O16" s="2" t="s">
        <v>3910</v>
      </c>
      <c r="P16" s="12">
        <v>46030</v>
      </c>
    </row>
    <row r="17" spans="1:16" ht="120">
      <c r="A17" s="1">
        <v>16</v>
      </c>
      <c r="B17" s="1" t="s">
        <v>4254</v>
      </c>
      <c r="C17" s="1"/>
      <c r="D17" s="1"/>
      <c r="E17" s="1" t="s">
        <v>30</v>
      </c>
      <c r="F17" s="1" t="s">
        <v>22</v>
      </c>
      <c r="G17" s="1" t="s">
        <v>4352</v>
      </c>
      <c r="H17" s="1" t="s">
        <v>4424</v>
      </c>
      <c r="I17" s="1" t="s">
        <v>933</v>
      </c>
      <c r="J17" s="1" t="s">
        <v>4426</v>
      </c>
      <c r="K17" s="1" t="s">
        <v>4078</v>
      </c>
      <c r="L17" s="1" t="s">
        <v>4425</v>
      </c>
      <c r="M17" s="1" t="s">
        <v>854</v>
      </c>
      <c r="N17" s="3" t="s">
        <v>24</v>
      </c>
      <c r="O17" s="2" t="s">
        <v>3910</v>
      </c>
      <c r="P17" s="12">
        <v>46030</v>
      </c>
    </row>
    <row r="18" spans="1:16" ht="120">
      <c r="A18" s="1">
        <v>17</v>
      </c>
      <c r="B18" s="1" t="s">
        <v>4260</v>
      </c>
      <c r="C18" s="1"/>
      <c r="D18" s="1"/>
      <c r="E18" s="1" t="s">
        <v>30</v>
      </c>
      <c r="F18" s="1" t="s">
        <v>22</v>
      </c>
      <c r="G18" s="1" t="s">
        <v>4352</v>
      </c>
      <c r="H18" s="1" t="s">
        <v>4427</v>
      </c>
      <c r="I18" s="1" t="s">
        <v>933</v>
      </c>
      <c r="J18" s="1" t="s">
        <v>4428</v>
      </c>
      <c r="K18" s="1" t="s">
        <v>890</v>
      </c>
      <c r="L18" s="1" t="s">
        <v>4154</v>
      </c>
      <c r="M18" s="1" t="s">
        <v>4008</v>
      </c>
      <c r="N18" s="3" t="s">
        <v>274</v>
      </c>
      <c r="O18" s="2" t="s">
        <v>3910</v>
      </c>
      <c r="P18" s="12">
        <v>46030</v>
      </c>
    </row>
    <row r="19" spans="1:16" ht="90">
      <c r="A19" s="1">
        <v>18</v>
      </c>
      <c r="B19" s="1" t="s">
        <v>4264</v>
      </c>
      <c r="C19" s="1"/>
      <c r="D19" s="1"/>
      <c r="E19" s="1" t="s">
        <v>30</v>
      </c>
      <c r="F19" s="1" t="s">
        <v>22</v>
      </c>
      <c r="G19" s="1" t="s">
        <v>4352</v>
      </c>
      <c r="H19" s="1" t="s">
        <v>4429</v>
      </c>
      <c r="I19" s="1" t="s">
        <v>933</v>
      </c>
      <c r="J19" s="1" t="s">
        <v>4430</v>
      </c>
      <c r="K19" s="1" t="s">
        <v>255</v>
      </c>
      <c r="L19" s="1" t="s">
        <v>4349</v>
      </c>
      <c r="M19" s="1" t="s">
        <v>854</v>
      </c>
      <c r="N19" s="3" t="s">
        <v>24</v>
      </c>
      <c r="O19" s="2" t="s">
        <v>3910</v>
      </c>
      <c r="P19" s="12">
        <v>46030</v>
      </c>
    </row>
    <row r="20" spans="1:16" ht="30">
      <c r="H20" s="1" t="s">
        <v>4431</v>
      </c>
    </row>
    <row r="21" spans="1:16" ht="30">
      <c r="H21" s="1" t="s">
        <v>4432</v>
      </c>
    </row>
  </sheetData>
  <autoFilter ref="A1:V21"/>
  <hyperlinks>
    <hyperlink ref="C3" r:id="rId1" display="https://hanssupport.atlassian.net/browse/BA-460"/>
    <hyperlink ref="C5" r:id="rId2" display="https://hanssupport.atlassian.net/browse/BA-461"/>
    <hyperlink ref="C6" r:id="rId3" display="https://hanssupport.atlassian.net/browse/BA-462"/>
    <hyperlink ref="C7" r:id="rId4" display="https://hanssupport.atlassian.net/browse/BA-463"/>
    <hyperlink ref="C8" r:id="rId5" display="https://hanssupport.atlassian.net/browse/BA-464"/>
    <hyperlink ref="C10" r:id="rId6" display="https://hanssupport.atlassian.net/browse/BA-465"/>
    <hyperlink ref="C15" r:id="rId7" display="https://hanssupport.atlassian.net/browse/BA-466"/>
  </hyperlinks>
  <pageMargins left="0.7" right="0.7" top="0.75" bottom="0.75" header="0.3" footer="0.3"/>
  <pageSetup paperSize="9" orientation="portrait" verticalDpi="0" r:id="rId8"/>
</worksheet>
</file>

<file path=xl/worksheets/sheet46.xml><?xml version="1.0" encoding="utf-8"?>
<worksheet xmlns="http://schemas.openxmlformats.org/spreadsheetml/2006/main" xmlns:r="http://schemas.openxmlformats.org/officeDocument/2006/relationships">
  <dimension ref="A1:V39"/>
  <sheetViews>
    <sheetView workbookViewId="0">
      <pane ySplit="1" topLeftCell="A2" activePane="bottomLeft" state="frozen"/>
      <selection pane="bottomLeft" activeCell="A14" sqref="A14"/>
    </sheetView>
  </sheetViews>
  <sheetFormatPr defaultRowHeight="15"/>
  <cols>
    <col min="1" max="1" width="10.28515625" style="45" customWidth="1"/>
    <col min="2" max="2" width="16.140625" style="45" customWidth="1"/>
    <col min="3" max="3" width="13.7109375" style="45" customWidth="1"/>
    <col min="4" max="4" width="25.140625" style="45" customWidth="1"/>
    <col min="5" max="5" width="14.7109375" style="45" customWidth="1"/>
    <col min="6" max="6" width="14.5703125" style="45" customWidth="1"/>
    <col min="7" max="7" width="17.85546875" style="45" customWidth="1"/>
    <col min="8" max="8" width="58.42578125" style="45" customWidth="1"/>
    <col min="9" max="9" width="43.7109375" style="45" customWidth="1"/>
    <col min="10" max="10" width="57.140625" style="45" customWidth="1"/>
    <col min="11" max="11" width="37.42578125" style="45" customWidth="1"/>
    <col min="12" max="12" width="55.42578125" style="45" customWidth="1"/>
    <col min="13" max="13" width="47.42578125" style="45" customWidth="1"/>
    <col min="14" max="14" width="15.140625" style="45" customWidth="1"/>
    <col min="15" max="15" width="37.5703125" style="45" customWidth="1"/>
    <col min="16" max="16" width="22.28515625" style="45" customWidth="1"/>
    <col min="17" max="17" width="13.28515625" style="45" customWidth="1"/>
    <col min="18" max="18" width="17.140625" style="45" customWidth="1"/>
    <col min="19" max="19" width="17.7109375" style="45" customWidth="1"/>
    <col min="20" max="20" width="23.42578125" style="45" customWidth="1"/>
    <col min="21" max="21" width="26.28515625" style="45" customWidth="1"/>
    <col min="22" max="22" width="14.28515625" style="45" customWidth="1"/>
    <col min="23" max="16384" width="9.140625" style="45"/>
  </cols>
  <sheetData>
    <row r="1" spans="1:22" s="44" customFormat="1" ht="31.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44" customFormat="1" ht="90">
      <c r="A2" s="1">
        <v>1</v>
      </c>
      <c r="B2" s="1" t="s">
        <v>4501</v>
      </c>
      <c r="C2" s="1"/>
      <c r="D2" s="1"/>
      <c r="E2" s="1" t="s">
        <v>30</v>
      </c>
      <c r="F2" s="1" t="s">
        <v>22</v>
      </c>
      <c r="G2" s="1" t="s">
        <v>4502</v>
      </c>
      <c r="H2" s="1" t="s">
        <v>4503</v>
      </c>
      <c r="I2" s="1" t="s">
        <v>933</v>
      </c>
      <c r="J2" s="1" t="s">
        <v>4504</v>
      </c>
      <c r="K2" s="1" t="s">
        <v>4108</v>
      </c>
      <c r="L2" s="1" t="s">
        <v>4505</v>
      </c>
      <c r="M2" s="1" t="s">
        <v>4506</v>
      </c>
      <c r="N2" s="3" t="s">
        <v>24</v>
      </c>
      <c r="O2" s="2" t="s">
        <v>3910</v>
      </c>
      <c r="P2" s="12">
        <v>46036</v>
      </c>
    </row>
    <row r="3" spans="1:22" ht="120">
      <c r="A3" s="1">
        <v>2</v>
      </c>
      <c r="B3" s="1" t="s">
        <v>4507</v>
      </c>
      <c r="C3" s="1"/>
      <c r="D3" s="1"/>
      <c r="E3" s="1" t="s">
        <v>30</v>
      </c>
      <c r="F3" s="1" t="s">
        <v>22</v>
      </c>
      <c r="G3" s="1" t="s">
        <v>4502</v>
      </c>
      <c r="H3" s="1" t="s">
        <v>4517</v>
      </c>
      <c r="I3" s="1" t="s">
        <v>933</v>
      </c>
      <c r="J3" s="1" t="s">
        <v>4508</v>
      </c>
      <c r="K3" s="1" t="s">
        <v>4436</v>
      </c>
      <c r="L3" s="1" t="s">
        <v>4363</v>
      </c>
      <c r="M3" s="1" t="s">
        <v>4509</v>
      </c>
      <c r="N3" s="19" t="s">
        <v>47</v>
      </c>
      <c r="O3" s="2" t="s">
        <v>3910</v>
      </c>
      <c r="P3" s="12">
        <v>46036</v>
      </c>
    </row>
    <row r="4" spans="1:22" ht="150">
      <c r="A4" s="1">
        <v>3</v>
      </c>
      <c r="B4" s="1" t="s">
        <v>4510</v>
      </c>
      <c r="C4" s="1"/>
      <c r="D4" s="1"/>
      <c r="E4" s="1" t="s">
        <v>30</v>
      </c>
      <c r="F4" s="1" t="s">
        <v>22</v>
      </c>
      <c r="G4" s="1" t="s">
        <v>4502</v>
      </c>
      <c r="H4" s="1" t="s">
        <v>4518</v>
      </c>
      <c r="I4" s="1" t="s">
        <v>933</v>
      </c>
      <c r="J4" s="1" t="s">
        <v>4511</v>
      </c>
      <c r="K4" s="1" t="s">
        <v>255</v>
      </c>
      <c r="L4" s="1" t="s">
        <v>2833</v>
      </c>
      <c r="M4" s="1" t="s">
        <v>1524</v>
      </c>
      <c r="N4" s="3" t="s">
        <v>24</v>
      </c>
      <c r="O4" s="2" t="s">
        <v>3910</v>
      </c>
      <c r="P4" s="12">
        <v>46036</v>
      </c>
    </row>
    <row r="5" spans="1:22" ht="150">
      <c r="A5" s="1">
        <v>4</v>
      </c>
      <c r="B5" s="1" t="s">
        <v>4512</v>
      </c>
      <c r="C5" s="1"/>
      <c r="D5" s="1"/>
      <c r="E5" s="1" t="s">
        <v>30</v>
      </c>
      <c r="F5" s="1" t="s">
        <v>22</v>
      </c>
      <c r="G5" s="1" t="s">
        <v>4502</v>
      </c>
      <c r="H5" s="1" t="s">
        <v>4519</v>
      </c>
      <c r="I5" s="1" t="s">
        <v>933</v>
      </c>
      <c r="J5" s="1" t="s">
        <v>4513</v>
      </c>
      <c r="K5" s="1" t="s">
        <v>1905</v>
      </c>
      <c r="L5" s="1" t="s">
        <v>4514</v>
      </c>
      <c r="M5" s="14" t="s">
        <v>4515</v>
      </c>
      <c r="N5" s="3" t="s">
        <v>24</v>
      </c>
      <c r="O5" s="2" t="s">
        <v>3910</v>
      </c>
      <c r="P5" s="12">
        <v>46036</v>
      </c>
    </row>
    <row r="6" spans="1:22" ht="165">
      <c r="A6" s="22">
        <v>5</v>
      </c>
      <c r="B6" s="1" t="s">
        <v>4516</v>
      </c>
      <c r="C6" s="23" t="s">
        <v>4841</v>
      </c>
      <c r="D6" s="36">
        <v>46039</v>
      </c>
      <c r="E6" s="21" t="s">
        <v>30</v>
      </c>
      <c r="F6" s="21" t="s">
        <v>22</v>
      </c>
      <c r="G6" s="21" t="s">
        <v>4502</v>
      </c>
      <c r="H6" s="1" t="s">
        <v>4520</v>
      </c>
      <c r="I6" s="1" t="s">
        <v>933</v>
      </c>
      <c r="J6" s="1" t="s">
        <v>4580</v>
      </c>
      <c r="K6" s="1" t="s">
        <v>4521</v>
      </c>
      <c r="L6" s="1" t="s">
        <v>4523</v>
      </c>
      <c r="M6" s="1" t="s">
        <v>4522</v>
      </c>
      <c r="N6" s="19" t="s">
        <v>47</v>
      </c>
      <c r="O6" s="2" t="s">
        <v>3910</v>
      </c>
      <c r="P6" s="12">
        <v>46036</v>
      </c>
      <c r="Q6" s="40" t="s">
        <v>3159</v>
      </c>
    </row>
    <row r="7" spans="1:22" ht="150">
      <c r="A7" s="21">
        <v>6</v>
      </c>
      <c r="B7" s="1" t="s">
        <v>4524</v>
      </c>
      <c r="C7" s="23" t="s">
        <v>4842</v>
      </c>
      <c r="D7" s="36">
        <v>46039</v>
      </c>
      <c r="E7" s="21" t="s">
        <v>30</v>
      </c>
      <c r="F7" s="21" t="s">
        <v>22</v>
      </c>
      <c r="G7" s="21" t="s">
        <v>4502</v>
      </c>
      <c r="H7" s="1" t="s">
        <v>4525</v>
      </c>
      <c r="I7" s="1" t="s">
        <v>933</v>
      </c>
      <c r="J7" s="1" t="s">
        <v>4581</v>
      </c>
      <c r="K7" s="1" t="s">
        <v>4526</v>
      </c>
      <c r="L7" s="1" t="s">
        <v>4578</v>
      </c>
      <c r="M7" s="1" t="s">
        <v>4584</v>
      </c>
      <c r="N7" s="19" t="s">
        <v>47</v>
      </c>
      <c r="O7" s="2" t="s">
        <v>3910</v>
      </c>
      <c r="P7" s="12">
        <v>46036</v>
      </c>
      <c r="Q7" s="114" t="s">
        <v>3159</v>
      </c>
    </row>
    <row r="8" spans="1:22" ht="165">
      <c r="A8" s="21">
        <v>7</v>
      </c>
      <c r="B8" s="1" t="s">
        <v>4577</v>
      </c>
      <c r="C8" s="22"/>
      <c r="D8" s="22"/>
      <c r="E8" s="21" t="s">
        <v>30</v>
      </c>
      <c r="F8" s="21" t="s">
        <v>22</v>
      </c>
      <c r="G8" s="21" t="s">
        <v>4502</v>
      </c>
      <c r="H8" s="1" t="s">
        <v>4579</v>
      </c>
      <c r="I8" s="1" t="s">
        <v>933</v>
      </c>
      <c r="J8" s="1" t="s">
        <v>4582</v>
      </c>
      <c r="K8" s="1" t="s">
        <v>4583</v>
      </c>
      <c r="L8" s="1" t="s">
        <v>4588</v>
      </c>
      <c r="M8" s="1" t="s">
        <v>4589</v>
      </c>
      <c r="N8" s="19" t="s">
        <v>47</v>
      </c>
      <c r="O8" s="2" t="s">
        <v>3910</v>
      </c>
      <c r="P8" s="12">
        <v>46036</v>
      </c>
    </row>
    <row r="9" spans="1:22" ht="165">
      <c r="A9" s="21">
        <v>8</v>
      </c>
      <c r="B9" s="1" t="s">
        <v>4585</v>
      </c>
      <c r="C9" s="22"/>
      <c r="D9" s="22"/>
      <c r="E9" s="21" t="s">
        <v>30</v>
      </c>
      <c r="F9" s="21" t="s">
        <v>22</v>
      </c>
      <c r="G9" s="21" t="s">
        <v>4502</v>
      </c>
      <c r="H9" s="1" t="s">
        <v>4586</v>
      </c>
      <c r="I9" s="1" t="s">
        <v>933</v>
      </c>
      <c r="J9" s="1" t="s">
        <v>4587</v>
      </c>
      <c r="K9" s="1" t="s">
        <v>4611</v>
      </c>
      <c r="L9" s="1" t="s">
        <v>4615</v>
      </c>
      <c r="M9" s="1" t="s">
        <v>4614</v>
      </c>
      <c r="N9" s="19" t="s">
        <v>47</v>
      </c>
      <c r="O9" s="2" t="s">
        <v>3910</v>
      </c>
      <c r="P9" s="12">
        <v>46036</v>
      </c>
    </row>
    <row r="10" spans="1:22" ht="165">
      <c r="A10" s="21">
        <v>9</v>
      </c>
      <c r="B10" s="1" t="s">
        <v>4590</v>
      </c>
      <c r="C10" s="23" t="s">
        <v>4843</v>
      </c>
      <c r="D10" s="36">
        <v>46039</v>
      </c>
      <c r="E10" s="21" t="s">
        <v>30</v>
      </c>
      <c r="F10" s="21" t="s">
        <v>22</v>
      </c>
      <c r="G10" s="21" t="s">
        <v>4502</v>
      </c>
      <c r="H10" s="1" t="s">
        <v>4591</v>
      </c>
      <c r="I10" s="1" t="s">
        <v>933</v>
      </c>
      <c r="J10" s="1" t="s">
        <v>4593</v>
      </c>
      <c r="K10" s="1" t="s">
        <v>4592</v>
      </c>
      <c r="L10" s="1" t="s">
        <v>4599</v>
      </c>
      <c r="M10" s="1" t="s">
        <v>4594</v>
      </c>
      <c r="N10" s="19" t="s">
        <v>47</v>
      </c>
      <c r="O10" s="2" t="s">
        <v>3910</v>
      </c>
      <c r="P10" s="12">
        <v>46036</v>
      </c>
      <c r="Q10" s="40" t="s">
        <v>3159</v>
      </c>
    </row>
    <row r="11" spans="1:22" ht="90">
      <c r="A11" s="21">
        <v>10</v>
      </c>
      <c r="B11" s="1" t="s">
        <v>4595</v>
      </c>
      <c r="C11" s="22"/>
      <c r="D11" s="22"/>
      <c r="E11" s="21" t="s">
        <v>30</v>
      </c>
      <c r="F11" s="21" t="s">
        <v>22</v>
      </c>
      <c r="G11" s="21" t="s">
        <v>4502</v>
      </c>
      <c r="H11" s="1" t="s">
        <v>4596</v>
      </c>
      <c r="I11" s="1" t="s">
        <v>933</v>
      </c>
      <c r="J11" s="1" t="s">
        <v>4597</v>
      </c>
      <c r="K11" s="1" t="s">
        <v>4598</v>
      </c>
      <c r="L11" s="1" t="s">
        <v>4600</v>
      </c>
      <c r="M11" s="40" t="s">
        <v>4601</v>
      </c>
      <c r="N11" s="3" t="s">
        <v>24</v>
      </c>
      <c r="O11" s="2" t="s">
        <v>3910</v>
      </c>
      <c r="P11" s="12">
        <v>46036</v>
      </c>
    </row>
    <row r="12" spans="1:22" ht="180">
      <c r="A12" s="21">
        <v>11</v>
      </c>
      <c r="B12" s="1" t="s">
        <v>4602</v>
      </c>
      <c r="C12" s="22"/>
      <c r="D12" s="22"/>
      <c r="E12" s="21" t="s">
        <v>30</v>
      </c>
      <c r="F12" s="21" t="s">
        <v>22</v>
      </c>
      <c r="G12" s="21" t="s">
        <v>4502</v>
      </c>
      <c r="H12" s="1" t="s">
        <v>4603</v>
      </c>
      <c r="I12" s="1" t="s">
        <v>933</v>
      </c>
      <c r="J12" s="1" t="s">
        <v>4604</v>
      </c>
      <c r="K12" s="1" t="s">
        <v>4605</v>
      </c>
      <c r="L12" s="1" t="s">
        <v>4606</v>
      </c>
      <c r="M12" s="1" t="s">
        <v>4607</v>
      </c>
      <c r="N12" s="3" t="s">
        <v>24</v>
      </c>
      <c r="O12" s="2" t="s">
        <v>3910</v>
      </c>
      <c r="P12" s="12">
        <v>46036</v>
      </c>
    </row>
    <row r="13" spans="1:22" ht="165">
      <c r="A13" s="21">
        <v>12</v>
      </c>
      <c r="B13" s="1" t="s">
        <v>4608</v>
      </c>
      <c r="C13" s="22"/>
      <c r="D13" s="22"/>
      <c r="E13" s="21" t="s">
        <v>30</v>
      </c>
      <c r="F13" s="21" t="s">
        <v>22</v>
      </c>
      <c r="G13" s="21" t="s">
        <v>4502</v>
      </c>
      <c r="H13" s="1" t="s">
        <v>4609</v>
      </c>
      <c r="I13" s="1" t="s">
        <v>933</v>
      </c>
      <c r="J13" s="1" t="s">
        <v>4610</v>
      </c>
      <c r="K13" s="1" t="s">
        <v>4612</v>
      </c>
      <c r="L13" s="1" t="s">
        <v>4613</v>
      </c>
      <c r="M13" s="1" t="s">
        <v>4616</v>
      </c>
      <c r="N13" s="19" t="s">
        <v>47</v>
      </c>
      <c r="O13" s="2" t="s">
        <v>3910</v>
      </c>
      <c r="P13" s="12">
        <v>46036</v>
      </c>
    </row>
    <row r="14" spans="1:22" ht="150">
      <c r="A14" s="21">
        <v>13</v>
      </c>
      <c r="B14" s="1" t="s">
        <v>4617</v>
      </c>
      <c r="C14" s="22"/>
      <c r="D14" s="22"/>
      <c r="E14" s="21" t="s">
        <v>30</v>
      </c>
      <c r="F14" s="21" t="s">
        <v>22</v>
      </c>
      <c r="G14" s="21" t="s">
        <v>4502</v>
      </c>
      <c r="H14" s="1" t="s">
        <v>4618</v>
      </c>
      <c r="I14" s="1" t="s">
        <v>933</v>
      </c>
      <c r="J14" s="1" t="s">
        <v>4619</v>
      </c>
      <c r="K14" s="1" t="s">
        <v>4620</v>
      </c>
      <c r="L14" s="1" t="s">
        <v>4621</v>
      </c>
      <c r="M14" s="1" t="s">
        <v>4622</v>
      </c>
      <c r="N14" s="20" t="s">
        <v>333</v>
      </c>
      <c r="O14" s="2" t="s">
        <v>3910</v>
      </c>
      <c r="P14" s="12">
        <v>46036</v>
      </c>
    </row>
    <row r="15" spans="1:22" ht="165">
      <c r="A15" s="21">
        <v>14</v>
      </c>
      <c r="B15" s="1" t="s">
        <v>4623</v>
      </c>
      <c r="C15" s="22"/>
      <c r="D15" s="22"/>
      <c r="E15" s="21" t="s">
        <v>30</v>
      </c>
      <c r="F15" s="21" t="s">
        <v>22</v>
      </c>
      <c r="G15" s="21" t="s">
        <v>4502</v>
      </c>
      <c r="H15" s="1" t="s">
        <v>4624</v>
      </c>
      <c r="I15" s="1" t="s">
        <v>933</v>
      </c>
      <c r="J15" s="1" t="s">
        <v>4625</v>
      </c>
      <c r="K15" s="1" t="s">
        <v>4626</v>
      </c>
      <c r="L15" s="1" t="s">
        <v>4627</v>
      </c>
      <c r="M15" s="1" t="s">
        <v>4628</v>
      </c>
      <c r="N15" s="111" t="s">
        <v>47</v>
      </c>
      <c r="O15" s="2" t="s">
        <v>4629</v>
      </c>
      <c r="P15" s="48">
        <v>46036</v>
      </c>
    </row>
    <row r="16" spans="1:22" ht="165">
      <c r="A16" s="21">
        <v>15</v>
      </c>
      <c r="B16" s="1" t="s">
        <v>4630</v>
      </c>
      <c r="C16" s="22"/>
      <c r="D16" s="22"/>
      <c r="E16" s="21" t="s">
        <v>30</v>
      </c>
      <c r="F16" s="21" t="s">
        <v>22</v>
      </c>
      <c r="G16" s="21" t="s">
        <v>4502</v>
      </c>
      <c r="H16" s="1" t="s">
        <v>4631</v>
      </c>
      <c r="I16" s="1" t="s">
        <v>933</v>
      </c>
      <c r="J16" s="1" t="s">
        <v>4632</v>
      </c>
      <c r="K16" s="1" t="s">
        <v>4633</v>
      </c>
      <c r="L16" s="1" t="s">
        <v>4634</v>
      </c>
      <c r="M16" s="1" t="s">
        <v>4635</v>
      </c>
      <c r="N16" s="20" t="s">
        <v>333</v>
      </c>
      <c r="O16" s="2" t="s">
        <v>3910</v>
      </c>
      <c r="P16" s="12">
        <v>46036</v>
      </c>
    </row>
    <row r="17" spans="1:17" ht="225">
      <c r="A17" s="21">
        <v>16</v>
      </c>
      <c r="B17" s="1" t="s">
        <v>4636</v>
      </c>
      <c r="C17" s="22"/>
      <c r="D17" s="22"/>
      <c r="E17" s="21" t="s">
        <v>30</v>
      </c>
      <c r="F17" s="21" t="s">
        <v>22</v>
      </c>
      <c r="G17" s="21" t="s">
        <v>4502</v>
      </c>
      <c r="H17" s="1" t="s">
        <v>4637</v>
      </c>
      <c r="I17" s="1" t="s">
        <v>933</v>
      </c>
      <c r="J17" s="1" t="s">
        <v>4638</v>
      </c>
      <c r="K17" s="1" t="s">
        <v>4639</v>
      </c>
      <c r="L17" s="1" t="s">
        <v>4640</v>
      </c>
      <c r="M17" s="1" t="s">
        <v>4641</v>
      </c>
      <c r="N17" s="111" t="s">
        <v>47</v>
      </c>
      <c r="O17" s="2" t="s">
        <v>3910</v>
      </c>
      <c r="P17" s="12">
        <v>46036</v>
      </c>
    </row>
    <row r="18" spans="1:17" ht="150">
      <c r="A18" s="21">
        <v>17</v>
      </c>
      <c r="B18" s="1" t="s">
        <v>4642</v>
      </c>
      <c r="C18" s="22"/>
      <c r="D18" s="22"/>
      <c r="E18" s="21" t="s">
        <v>30</v>
      </c>
      <c r="F18" s="21" t="s">
        <v>22</v>
      </c>
      <c r="G18" s="21" t="s">
        <v>4502</v>
      </c>
      <c r="H18" s="1" t="s">
        <v>4643</v>
      </c>
      <c r="I18" s="1" t="s">
        <v>933</v>
      </c>
      <c r="J18" s="1" t="s">
        <v>4644</v>
      </c>
      <c r="K18" s="1" t="s">
        <v>4645</v>
      </c>
      <c r="L18" s="1" t="s">
        <v>4646</v>
      </c>
      <c r="M18" s="1" t="s">
        <v>4647</v>
      </c>
      <c r="N18" s="20" t="s">
        <v>333</v>
      </c>
      <c r="O18" s="2" t="s">
        <v>3910</v>
      </c>
      <c r="P18" s="12">
        <v>46036</v>
      </c>
    </row>
    <row r="19" spans="1:17" ht="165">
      <c r="A19" s="21">
        <v>18</v>
      </c>
      <c r="B19" s="1" t="s">
        <v>4648</v>
      </c>
      <c r="C19" s="22"/>
      <c r="D19" s="22"/>
      <c r="E19" s="21" t="s">
        <v>30</v>
      </c>
      <c r="F19" s="21" t="s">
        <v>22</v>
      </c>
      <c r="G19" s="21" t="s">
        <v>4502</v>
      </c>
      <c r="H19" s="1" t="s">
        <v>4649</v>
      </c>
      <c r="I19" s="1" t="s">
        <v>933</v>
      </c>
      <c r="J19" s="1" t="s">
        <v>4650</v>
      </c>
      <c r="K19" s="1" t="s">
        <v>4651</v>
      </c>
      <c r="L19" s="1" t="s">
        <v>4652</v>
      </c>
      <c r="M19" s="1" t="s">
        <v>4653</v>
      </c>
      <c r="N19" s="3" t="s">
        <v>24</v>
      </c>
      <c r="O19" s="2" t="s">
        <v>3910</v>
      </c>
      <c r="P19" s="12">
        <v>46036</v>
      </c>
    </row>
    <row r="20" spans="1:17" ht="165">
      <c r="A20" s="21">
        <v>19</v>
      </c>
      <c r="B20" s="1" t="s">
        <v>4654</v>
      </c>
      <c r="C20" s="22"/>
      <c r="D20" s="22"/>
      <c r="E20" s="21" t="s">
        <v>30</v>
      </c>
      <c r="F20" s="21" t="s">
        <v>22</v>
      </c>
      <c r="G20" s="21" t="s">
        <v>4502</v>
      </c>
      <c r="H20" s="1" t="s">
        <v>4655</v>
      </c>
      <c r="I20" s="1" t="s">
        <v>933</v>
      </c>
      <c r="J20" s="1" t="s">
        <v>4656</v>
      </c>
      <c r="K20" s="1" t="s">
        <v>4657</v>
      </c>
      <c r="L20" s="1" t="s">
        <v>4658</v>
      </c>
      <c r="M20" s="1" t="s">
        <v>4659</v>
      </c>
      <c r="N20" s="3" t="s">
        <v>24</v>
      </c>
      <c r="O20" s="2" t="s">
        <v>3910</v>
      </c>
      <c r="P20" s="12">
        <v>46036</v>
      </c>
    </row>
    <row r="21" spans="1:17" ht="210">
      <c r="A21" s="21">
        <v>20</v>
      </c>
      <c r="B21" s="1" t="s">
        <v>4660</v>
      </c>
      <c r="C21" s="22"/>
      <c r="D21" s="22"/>
      <c r="E21" s="21" t="s">
        <v>30</v>
      </c>
      <c r="F21" s="21" t="s">
        <v>22</v>
      </c>
      <c r="G21" s="21" t="s">
        <v>4502</v>
      </c>
      <c r="H21" s="1" t="s">
        <v>4661</v>
      </c>
      <c r="I21" s="1" t="s">
        <v>933</v>
      </c>
      <c r="J21" s="1" t="s">
        <v>4662</v>
      </c>
      <c r="K21" s="1" t="s">
        <v>4663</v>
      </c>
      <c r="L21" s="1" t="s">
        <v>4664</v>
      </c>
      <c r="M21" s="1" t="s">
        <v>4665</v>
      </c>
      <c r="N21" s="111" t="s">
        <v>47</v>
      </c>
      <c r="O21" s="2" t="s">
        <v>3910</v>
      </c>
      <c r="P21" s="12">
        <v>46036</v>
      </c>
    </row>
    <row r="22" spans="1:17" ht="135">
      <c r="A22" s="21">
        <v>21</v>
      </c>
      <c r="B22" s="1" t="s">
        <v>4666</v>
      </c>
      <c r="C22" s="22"/>
      <c r="D22" s="22"/>
      <c r="E22" s="21" t="s">
        <v>30</v>
      </c>
      <c r="F22" s="21" t="s">
        <v>22</v>
      </c>
      <c r="G22" s="21" t="s">
        <v>4502</v>
      </c>
      <c r="H22" s="1" t="s">
        <v>4667</v>
      </c>
      <c r="I22" s="1" t="s">
        <v>933</v>
      </c>
      <c r="J22" s="1" t="s">
        <v>4668</v>
      </c>
      <c r="K22" s="1" t="s">
        <v>4669</v>
      </c>
      <c r="L22" s="5" t="s">
        <v>4670</v>
      </c>
      <c r="M22" s="5" t="s">
        <v>4671</v>
      </c>
      <c r="N22" s="3" t="s">
        <v>24</v>
      </c>
      <c r="O22" s="2" t="s">
        <v>3910</v>
      </c>
      <c r="P22" s="12">
        <v>46036</v>
      </c>
    </row>
    <row r="23" spans="1:17" ht="150">
      <c r="A23" s="21">
        <v>22</v>
      </c>
      <c r="B23" s="1" t="s">
        <v>4672</v>
      </c>
      <c r="C23" s="22"/>
      <c r="D23" s="22"/>
      <c r="E23" s="21" t="s">
        <v>30</v>
      </c>
      <c r="F23" s="21" t="s">
        <v>22</v>
      </c>
      <c r="G23" s="21" t="s">
        <v>4502</v>
      </c>
      <c r="H23" s="1" t="s">
        <v>4673</v>
      </c>
      <c r="I23" s="1" t="s">
        <v>933</v>
      </c>
      <c r="J23" s="1" t="s">
        <v>4674</v>
      </c>
      <c r="K23" s="1" t="s">
        <v>4675</v>
      </c>
      <c r="L23" s="1" t="s">
        <v>4676</v>
      </c>
      <c r="M23" s="1" t="s">
        <v>4677</v>
      </c>
      <c r="N23" s="3" t="s">
        <v>24</v>
      </c>
      <c r="O23" s="2" t="s">
        <v>3910</v>
      </c>
      <c r="P23" s="12">
        <v>46036</v>
      </c>
    </row>
    <row r="24" spans="1:17" ht="165">
      <c r="A24" s="21">
        <v>23</v>
      </c>
      <c r="B24" s="1" t="s">
        <v>4678</v>
      </c>
      <c r="C24" s="22"/>
      <c r="D24" s="22"/>
      <c r="E24" s="21" t="s">
        <v>30</v>
      </c>
      <c r="F24" s="21" t="s">
        <v>22</v>
      </c>
      <c r="G24" s="21" t="s">
        <v>4502</v>
      </c>
      <c r="H24" s="1" t="s">
        <v>4679</v>
      </c>
      <c r="I24" s="1" t="s">
        <v>933</v>
      </c>
      <c r="J24" s="1" t="s">
        <v>4680</v>
      </c>
      <c r="K24" s="1" t="s">
        <v>4681</v>
      </c>
      <c r="L24" s="1" t="s">
        <v>4682</v>
      </c>
      <c r="M24" s="1" t="s">
        <v>4683</v>
      </c>
      <c r="N24" s="111" t="s">
        <v>47</v>
      </c>
      <c r="O24" s="2" t="s">
        <v>3910</v>
      </c>
      <c r="P24" s="12">
        <v>46036</v>
      </c>
    </row>
    <row r="25" spans="1:17" ht="165">
      <c r="A25" s="21">
        <v>24</v>
      </c>
      <c r="B25" s="1" t="s">
        <v>4684</v>
      </c>
      <c r="C25" s="22"/>
      <c r="D25" s="22"/>
      <c r="E25" s="21" t="s">
        <v>30</v>
      </c>
      <c r="F25" s="21" t="s">
        <v>22</v>
      </c>
      <c r="G25" s="21" t="s">
        <v>4502</v>
      </c>
      <c r="H25" s="1" t="s">
        <v>4685</v>
      </c>
      <c r="I25" s="1" t="s">
        <v>933</v>
      </c>
      <c r="J25" s="1" t="s">
        <v>4686</v>
      </c>
      <c r="K25" s="1" t="s">
        <v>4687</v>
      </c>
      <c r="L25" s="1" t="s">
        <v>4688</v>
      </c>
      <c r="M25" s="1" t="s">
        <v>4689</v>
      </c>
      <c r="N25" s="111" t="s">
        <v>47</v>
      </c>
      <c r="O25" s="2" t="s">
        <v>3910</v>
      </c>
      <c r="P25" s="12">
        <v>46036</v>
      </c>
    </row>
    <row r="26" spans="1:17" ht="150">
      <c r="A26" s="21">
        <v>25</v>
      </c>
      <c r="B26" s="1" t="s">
        <v>4690</v>
      </c>
      <c r="C26" s="22"/>
      <c r="D26" s="22"/>
      <c r="E26" s="21" t="s">
        <v>30</v>
      </c>
      <c r="F26" s="21" t="s">
        <v>22</v>
      </c>
      <c r="G26" s="21" t="s">
        <v>4502</v>
      </c>
      <c r="H26" s="1" t="s">
        <v>4691</v>
      </c>
      <c r="I26" s="1" t="s">
        <v>933</v>
      </c>
      <c r="J26" s="1" t="s">
        <v>4692</v>
      </c>
      <c r="K26" s="1" t="s">
        <v>4693</v>
      </c>
      <c r="L26" s="1" t="s">
        <v>4694</v>
      </c>
      <c r="M26" s="5" t="s">
        <v>4705</v>
      </c>
      <c r="N26" s="111" t="s">
        <v>47</v>
      </c>
      <c r="O26" s="2" t="s">
        <v>3910</v>
      </c>
      <c r="P26" s="12">
        <v>46036</v>
      </c>
    </row>
    <row r="27" spans="1:17" ht="150">
      <c r="A27" s="21">
        <v>26</v>
      </c>
      <c r="B27" s="1" t="s">
        <v>4695</v>
      </c>
      <c r="C27" s="22"/>
      <c r="D27" s="22"/>
      <c r="E27" s="21" t="s">
        <v>30</v>
      </c>
      <c r="F27" s="21" t="s">
        <v>22</v>
      </c>
      <c r="G27" s="21" t="s">
        <v>4502</v>
      </c>
      <c r="H27" s="1" t="s">
        <v>4696</v>
      </c>
      <c r="I27" s="1" t="s">
        <v>933</v>
      </c>
      <c r="J27" s="1" t="s">
        <v>4697</v>
      </c>
      <c r="K27" s="1" t="s">
        <v>4698</v>
      </c>
      <c r="L27" s="1" t="s">
        <v>4699</v>
      </c>
      <c r="M27" s="5" t="s">
        <v>4706</v>
      </c>
      <c r="N27" s="111" t="s">
        <v>47</v>
      </c>
      <c r="O27" s="2" t="s">
        <v>3910</v>
      </c>
      <c r="P27" s="12">
        <v>46036</v>
      </c>
    </row>
    <row r="28" spans="1:17" ht="165">
      <c r="A28" s="21">
        <v>27</v>
      </c>
      <c r="B28" s="1" t="s">
        <v>4700</v>
      </c>
      <c r="C28" s="23" t="s">
        <v>4844</v>
      </c>
      <c r="D28" s="36">
        <v>46039</v>
      </c>
      <c r="E28" s="21" t="s">
        <v>30</v>
      </c>
      <c r="F28" s="21" t="s">
        <v>22</v>
      </c>
      <c r="G28" s="21" t="s">
        <v>4502</v>
      </c>
      <c r="H28" s="1" t="s">
        <v>4701</v>
      </c>
      <c r="I28" s="1" t="s">
        <v>933</v>
      </c>
      <c r="J28" s="1" t="s">
        <v>4702</v>
      </c>
      <c r="K28" s="1" t="s">
        <v>4703</v>
      </c>
      <c r="L28" s="1" t="s">
        <v>4704</v>
      </c>
      <c r="M28" s="5" t="s">
        <v>4707</v>
      </c>
      <c r="N28" s="111" t="s">
        <v>47</v>
      </c>
      <c r="O28" s="2" t="s">
        <v>3910</v>
      </c>
      <c r="P28" s="12">
        <v>46036</v>
      </c>
      <c r="Q28" s="40" t="s">
        <v>3159</v>
      </c>
    </row>
    <row r="29" spans="1:17" ht="180">
      <c r="A29" s="21">
        <v>28</v>
      </c>
      <c r="B29" s="1" t="s">
        <v>4708</v>
      </c>
      <c r="C29" s="23" t="s">
        <v>4847</v>
      </c>
      <c r="D29" s="36">
        <v>46039</v>
      </c>
      <c r="E29" s="21" t="s">
        <v>30</v>
      </c>
      <c r="F29" s="21" t="s">
        <v>22</v>
      </c>
      <c r="G29" s="21" t="s">
        <v>4502</v>
      </c>
      <c r="H29" s="1" t="s">
        <v>4709</v>
      </c>
      <c r="I29" s="1" t="s">
        <v>933</v>
      </c>
      <c r="J29" s="1" t="s">
        <v>4710</v>
      </c>
      <c r="K29" s="1" t="s">
        <v>4711</v>
      </c>
      <c r="L29" s="1" t="s">
        <v>4846</v>
      </c>
      <c r="M29" s="1" t="s">
        <v>4712</v>
      </c>
      <c r="N29" s="111" t="s">
        <v>47</v>
      </c>
      <c r="O29" s="2" t="s">
        <v>3910</v>
      </c>
      <c r="P29" s="12">
        <v>46036</v>
      </c>
      <c r="Q29" s="40" t="s">
        <v>3159</v>
      </c>
    </row>
    <row r="30" spans="1:17" ht="180">
      <c r="A30" s="21">
        <v>29</v>
      </c>
      <c r="B30" s="1" t="s">
        <v>4713</v>
      </c>
      <c r="C30" s="23" t="s">
        <v>4847</v>
      </c>
      <c r="D30" s="36">
        <v>46039</v>
      </c>
      <c r="E30" s="21" t="s">
        <v>30</v>
      </c>
      <c r="F30" s="21" t="s">
        <v>22</v>
      </c>
      <c r="G30" s="21" t="s">
        <v>4502</v>
      </c>
      <c r="H30" s="1" t="s">
        <v>4714</v>
      </c>
      <c r="I30" s="1" t="s">
        <v>933</v>
      </c>
      <c r="J30" s="1" t="s">
        <v>4715</v>
      </c>
      <c r="K30" s="1" t="s">
        <v>4716</v>
      </c>
      <c r="L30" s="1" t="s">
        <v>4717</v>
      </c>
      <c r="M30" s="1" t="s">
        <v>4718</v>
      </c>
      <c r="N30" s="111" t="s">
        <v>47</v>
      </c>
      <c r="O30" s="2" t="s">
        <v>3910</v>
      </c>
      <c r="P30" s="12">
        <v>46036</v>
      </c>
      <c r="Q30" s="40" t="s">
        <v>3159</v>
      </c>
    </row>
    <row r="31" spans="1:17" ht="195">
      <c r="A31" s="21">
        <v>30</v>
      </c>
      <c r="B31" s="1" t="s">
        <v>4719</v>
      </c>
      <c r="C31" s="22"/>
      <c r="D31" s="22"/>
      <c r="E31" s="21" t="s">
        <v>30</v>
      </c>
      <c r="F31" s="21" t="s">
        <v>22</v>
      </c>
      <c r="G31" s="21" t="s">
        <v>4502</v>
      </c>
      <c r="H31" s="1" t="s">
        <v>4720</v>
      </c>
      <c r="I31" s="1" t="s">
        <v>933</v>
      </c>
      <c r="J31" s="1" t="s">
        <v>4721</v>
      </c>
      <c r="K31" s="1" t="s">
        <v>4722</v>
      </c>
      <c r="L31" s="5" t="s">
        <v>4723</v>
      </c>
      <c r="M31" s="1" t="s">
        <v>4724</v>
      </c>
      <c r="N31" s="111" t="s">
        <v>47</v>
      </c>
      <c r="O31" s="2" t="s">
        <v>3910</v>
      </c>
      <c r="P31" s="12">
        <v>46036</v>
      </c>
    </row>
    <row r="32" spans="1:17" ht="150">
      <c r="A32" s="21">
        <v>31</v>
      </c>
      <c r="B32" s="1" t="s">
        <v>4725</v>
      </c>
      <c r="C32" s="22"/>
      <c r="D32" s="22"/>
      <c r="E32" s="21" t="s">
        <v>30</v>
      </c>
      <c r="F32" s="21" t="s">
        <v>22</v>
      </c>
      <c r="G32" s="21" t="s">
        <v>4502</v>
      </c>
      <c r="H32" s="5" t="s">
        <v>4726</v>
      </c>
      <c r="I32" s="1" t="s">
        <v>933</v>
      </c>
      <c r="J32" s="5" t="s">
        <v>4727</v>
      </c>
      <c r="K32" s="5" t="s">
        <v>4728</v>
      </c>
      <c r="L32" s="5" t="s">
        <v>4729</v>
      </c>
      <c r="M32" s="5" t="s">
        <v>4730</v>
      </c>
      <c r="N32" s="3" t="s">
        <v>24</v>
      </c>
      <c r="O32" s="2" t="s">
        <v>3910</v>
      </c>
      <c r="P32" s="12">
        <v>46036</v>
      </c>
    </row>
    <row r="33" spans="1:17" ht="240">
      <c r="A33" s="21">
        <v>32</v>
      </c>
      <c r="B33" s="1" t="s">
        <v>4731</v>
      </c>
      <c r="C33" s="22"/>
      <c r="D33" s="22"/>
      <c r="E33" s="21" t="s">
        <v>30</v>
      </c>
      <c r="F33" s="21" t="s">
        <v>22</v>
      </c>
      <c r="G33" s="21" t="s">
        <v>4502</v>
      </c>
      <c r="H33" s="5" t="s">
        <v>4732</v>
      </c>
      <c r="I33" s="1" t="s">
        <v>933</v>
      </c>
      <c r="J33" s="1" t="s">
        <v>4743</v>
      </c>
      <c r="K33" s="1" t="s">
        <v>4733</v>
      </c>
      <c r="L33" s="5" t="s">
        <v>4734</v>
      </c>
      <c r="M33" s="5" t="s">
        <v>4749</v>
      </c>
      <c r="N33" s="3" t="s">
        <v>24</v>
      </c>
      <c r="O33" s="2" t="s">
        <v>3910</v>
      </c>
      <c r="P33" s="12">
        <v>46036</v>
      </c>
    </row>
    <row r="34" spans="1:17" ht="150">
      <c r="A34" s="21">
        <v>33</v>
      </c>
      <c r="B34" s="1" t="s">
        <v>4735</v>
      </c>
      <c r="C34" s="22"/>
      <c r="D34" s="22"/>
      <c r="E34" s="21" t="s">
        <v>30</v>
      </c>
      <c r="F34" s="21" t="s">
        <v>22</v>
      </c>
      <c r="G34" s="21" t="s">
        <v>4502</v>
      </c>
      <c r="H34" s="1" t="s">
        <v>4736</v>
      </c>
      <c r="I34" s="1" t="s">
        <v>933</v>
      </c>
      <c r="J34" s="5" t="s">
        <v>4737</v>
      </c>
      <c r="K34" s="1" t="s">
        <v>4738</v>
      </c>
      <c r="L34" s="1" t="s">
        <v>4739</v>
      </c>
      <c r="M34" s="1" t="s">
        <v>258</v>
      </c>
      <c r="N34" s="3" t="s">
        <v>24</v>
      </c>
      <c r="O34" s="2" t="s">
        <v>3910</v>
      </c>
      <c r="P34" s="12">
        <v>46037</v>
      </c>
    </row>
    <row r="35" spans="1:17" ht="150">
      <c r="A35" s="21">
        <v>34</v>
      </c>
      <c r="B35" s="1" t="s">
        <v>4740</v>
      </c>
      <c r="C35" s="22"/>
      <c r="D35" s="22"/>
      <c r="E35" s="21" t="s">
        <v>30</v>
      </c>
      <c r="F35" s="21" t="s">
        <v>22</v>
      </c>
      <c r="G35" s="21" t="s">
        <v>4502</v>
      </c>
      <c r="H35" s="5" t="s">
        <v>4741</v>
      </c>
      <c r="I35" s="1" t="s">
        <v>933</v>
      </c>
      <c r="J35" s="1" t="s">
        <v>4742</v>
      </c>
      <c r="K35" s="1" t="s">
        <v>4750</v>
      </c>
      <c r="L35" s="1" t="s">
        <v>4751</v>
      </c>
      <c r="M35" s="1" t="s">
        <v>4752</v>
      </c>
      <c r="N35" s="111" t="s">
        <v>47</v>
      </c>
      <c r="O35" s="2" t="s">
        <v>3910</v>
      </c>
      <c r="P35" s="12">
        <v>46037</v>
      </c>
    </row>
    <row r="36" spans="1:17" ht="135">
      <c r="A36" s="21">
        <v>35</v>
      </c>
      <c r="B36" s="1" t="s">
        <v>4744</v>
      </c>
      <c r="C36" s="22"/>
      <c r="D36" s="22"/>
      <c r="E36" s="21" t="s">
        <v>30</v>
      </c>
      <c r="F36" s="21" t="s">
        <v>22</v>
      </c>
      <c r="G36" s="21" t="s">
        <v>4502</v>
      </c>
      <c r="H36" s="5" t="s">
        <v>4745</v>
      </c>
      <c r="I36" s="1" t="s">
        <v>933</v>
      </c>
      <c r="J36" s="1" t="s">
        <v>4746</v>
      </c>
      <c r="K36" s="1" t="s">
        <v>4747</v>
      </c>
      <c r="L36" s="1" t="s">
        <v>4748</v>
      </c>
      <c r="M36" s="40" t="s">
        <v>258</v>
      </c>
      <c r="N36" s="3" t="s">
        <v>24</v>
      </c>
      <c r="O36" s="2" t="s">
        <v>3910</v>
      </c>
      <c r="P36" s="12">
        <v>46037</v>
      </c>
    </row>
    <row r="37" spans="1:17" ht="135">
      <c r="A37" s="21">
        <v>36</v>
      </c>
      <c r="B37" s="1" t="s">
        <v>4753</v>
      </c>
      <c r="C37" s="22"/>
      <c r="D37" s="22"/>
      <c r="E37" s="21" t="s">
        <v>30</v>
      </c>
      <c r="F37" s="21" t="s">
        <v>22</v>
      </c>
      <c r="G37" s="21" t="s">
        <v>4502</v>
      </c>
      <c r="H37" s="1" t="s">
        <v>4754</v>
      </c>
      <c r="I37" s="1" t="s">
        <v>933</v>
      </c>
      <c r="J37" s="1" t="s">
        <v>4759</v>
      </c>
      <c r="K37" s="1" t="s">
        <v>1905</v>
      </c>
      <c r="L37" s="1" t="s">
        <v>4755</v>
      </c>
      <c r="M37" s="1" t="s">
        <v>4756</v>
      </c>
      <c r="N37" s="3" t="s">
        <v>24</v>
      </c>
      <c r="O37" s="2" t="s">
        <v>3910</v>
      </c>
      <c r="P37" s="12">
        <v>46037</v>
      </c>
    </row>
    <row r="38" spans="1:17" ht="90">
      <c r="A38" s="21">
        <v>37</v>
      </c>
      <c r="B38" s="1" t="s">
        <v>4757</v>
      </c>
      <c r="C38" s="22"/>
      <c r="D38" s="22"/>
      <c r="E38" s="21" t="s">
        <v>30</v>
      </c>
      <c r="F38" s="21" t="s">
        <v>22</v>
      </c>
      <c r="G38" s="21" t="s">
        <v>4502</v>
      </c>
      <c r="H38" s="1" t="s">
        <v>4758</v>
      </c>
      <c r="I38" s="1" t="s">
        <v>933</v>
      </c>
      <c r="J38" s="1" t="s">
        <v>4760</v>
      </c>
      <c r="K38" s="1" t="s">
        <v>1905</v>
      </c>
      <c r="L38" s="1" t="s">
        <v>4349</v>
      </c>
      <c r="M38" s="1" t="s">
        <v>854</v>
      </c>
      <c r="N38" s="3" t="s">
        <v>24</v>
      </c>
      <c r="O38" s="2" t="s">
        <v>3910</v>
      </c>
      <c r="P38" s="12">
        <v>46037</v>
      </c>
    </row>
    <row r="39" spans="1:17" ht="90">
      <c r="A39" s="21">
        <v>38</v>
      </c>
      <c r="B39" s="1" t="s">
        <v>4769</v>
      </c>
      <c r="C39" s="23" t="s">
        <v>4845</v>
      </c>
      <c r="D39" s="36">
        <v>46039</v>
      </c>
      <c r="E39" s="21" t="s">
        <v>30</v>
      </c>
      <c r="F39" s="21" t="s">
        <v>22</v>
      </c>
      <c r="G39" s="21" t="s">
        <v>4502</v>
      </c>
      <c r="H39" s="5" t="s">
        <v>4770</v>
      </c>
      <c r="I39" s="1" t="s">
        <v>933</v>
      </c>
      <c r="J39" s="5" t="s">
        <v>4771</v>
      </c>
      <c r="K39" s="5" t="s">
        <v>255</v>
      </c>
      <c r="L39" s="5" t="s">
        <v>4772</v>
      </c>
      <c r="M39" s="5" t="s">
        <v>4773</v>
      </c>
      <c r="N39" s="111" t="s">
        <v>47</v>
      </c>
      <c r="O39" s="2" t="s">
        <v>3910</v>
      </c>
      <c r="P39" s="12">
        <v>46037</v>
      </c>
      <c r="Q39" s="40" t="s">
        <v>3159</v>
      </c>
    </row>
  </sheetData>
  <autoFilter ref="A1:V39">
    <filterColumn colId="13"/>
  </autoFilter>
  <hyperlinks>
    <hyperlink ref="C6" r:id="rId1" display="https://hanssupport.atlassian.net/browse/BA-476"/>
    <hyperlink ref="C7" r:id="rId2" display="https://hanssupport.atlassian.net/browse/BA-477"/>
    <hyperlink ref="C10" r:id="rId3" display="https://hanssupport.atlassian.net/browse/BA-478"/>
    <hyperlink ref="C28" r:id="rId4" display="https://hanssupport.atlassian.net/browse/BA-479"/>
    <hyperlink ref="C39" r:id="rId5" display="https://hanssupport.atlassian.net/browse/BA-480"/>
    <hyperlink ref="C29" r:id="rId6" display="https://hanssupport.atlassian.net/browse/BA-481"/>
    <hyperlink ref="C30" r:id="rId7" display="https://hanssupport.atlassian.net/browse/BA-481"/>
  </hyperlinks>
  <pageMargins left="0.7" right="0.7" top="0.75" bottom="0.75" header="0.3" footer="0.3"/>
  <pageSetup paperSize="9" orientation="portrait" verticalDpi="0" r:id="rId8"/>
</worksheet>
</file>

<file path=xl/worksheets/sheet47.xml><?xml version="1.0" encoding="utf-8"?>
<worksheet xmlns="http://schemas.openxmlformats.org/spreadsheetml/2006/main" xmlns:r="http://schemas.openxmlformats.org/officeDocument/2006/relationships">
  <dimension ref="A1:V15"/>
  <sheetViews>
    <sheetView workbookViewId="0">
      <pane ySplit="1" topLeftCell="A11" activePane="bottomLeft" state="frozen"/>
      <selection activeCell="G1" sqref="G1"/>
      <selection pane="bottomLeft" activeCell="C13" sqref="C13"/>
    </sheetView>
  </sheetViews>
  <sheetFormatPr defaultRowHeight="15"/>
  <cols>
    <col min="1" max="1" width="8.5703125" style="89" customWidth="1"/>
    <col min="2" max="2" width="22.42578125" style="89" customWidth="1"/>
    <col min="3" max="3" width="11.140625" style="89" customWidth="1"/>
    <col min="4" max="4" width="21.28515625" style="89" customWidth="1"/>
    <col min="5" max="5" width="14.28515625" style="89" customWidth="1"/>
    <col min="6" max="6" width="13.5703125" style="89" customWidth="1"/>
    <col min="7" max="7" width="16.28515625" style="89" customWidth="1"/>
    <col min="8" max="8" width="59.42578125" style="89" customWidth="1"/>
    <col min="9" max="9" width="40.140625" style="89" customWidth="1"/>
    <col min="10" max="10" width="57.42578125" style="89" customWidth="1"/>
    <col min="11" max="11" width="48.7109375" style="89" customWidth="1"/>
    <col min="12" max="12" width="62.42578125" style="89" customWidth="1"/>
    <col min="13" max="13" width="50.28515625" style="89" customWidth="1"/>
    <col min="14" max="14" width="12.28515625" style="89" customWidth="1"/>
    <col min="15" max="15" width="33.7109375" style="89" customWidth="1"/>
    <col min="16" max="16" width="20.5703125" style="89" customWidth="1"/>
    <col min="17" max="17" width="16.42578125" style="89" customWidth="1"/>
    <col min="18" max="18" width="15.5703125" style="89" customWidth="1"/>
    <col min="19" max="19" width="19.85546875" style="89" customWidth="1"/>
    <col min="20" max="20" width="20.28515625" style="89" customWidth="1"/>
    <col min="21" max="21" width="25.7109375" style="89" customWidth="1"/>
    <col min="22" max="22" width="15.140625" style="89" customWidth="1"/>
    <col min="23" max="16384" width="9.140625" style="89"/>
  </cols>
  <sheetData>
    <row r="1" spans="1:22" s="5" customFormat="1" ht="37.5">
      <c r="A1" s="13" t="s">
        <v>0</v>
      </c>
      <c r="B1" s="13" t="s">
        <v>1</v>
      </c>
      <c r="C1" s="13" t="s">
        <v>2</v>
      </c>
      <c r="D1" s="38" t="s">
        <v>1270</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row>
    <row r="2" spans="1:22" s="5" customFormat="1" ht="90">
      <c r="A2" s="1">
        <v>1</v>
      </c>
      <c r="B2" s="1" t="s">
        <v>6109</v>
      </c>
      <c r="C2" s="1"/>
      <c r="D2" s="1"/>
      <c r="E2" s="1" t="s">
        <v>30</v>
      </c>
      <c r="F2" s="1" t="s">
        <v>22</v>
      </c>
      <c r="G2" s="1" t="s">
        <v>6125</v>
      </c>
      <c r="H2" s="1" t="s">
        <v>6102</v>
      </c>
      <c r="I2" s="1" t="s">
        <v>933</v>
      </c>
      <c r="J2" s="1" t="s">
        <v>6103</v>
      </c>
      <c r="K2" s="1" t="s">
        <v>4108</v>
      </c>
      <c r="L2" s="1" t="s">
        <v>6104</v>
      </c>
      <c r="M2" s="1" t="s">
        <v>6105</v>
      </c>
      <c r="N2" s="3" t="s">
        <v>24</v>
      </c>
      <c r="O2" s="2" t="s">
        <v>3910</v>
      </c>
      <c r="P2" s="12">
        <v>46080</v>
      </c>
    </row>
    <row r="3" spans="1:22" ht="120">
      <c r="A3" s="1">
        <v>2</v>
      </c>
      <c r="B3" s="1" t="s">
        <v>6110</v>
      </c>
      <c r="C3" s="1"/>
      <c r="D3" s="1"/>
      <c r="E3" s="1" t="s">
        <v>30</v>
      </c>
      <c r="F3" s="1" t="s">
        <v>22</v>
      </c>
      <c r="G3" s="1" t="s">
        <v>6125</v>
      </c>
      <c r="H3" s="14" t="s">
        <v>6106</v>
      </c>
      <c r="I3" s="1" t="s">
        <v>933</v>
      </c>
      <c r="J3" s="1" t="s">
        <v>6139</v>
      </c>
      <c r="K3" s="112" t="s">
        <v>255</v>
      </c>
      <c r="L3" s="1" t="s">
        <v>6107</v>
      </c>
      <c r="M3" s="14" t="s">
        <v>4601</v>
      </c>
      <c r="N3" s="3" t="s">
        <v>24</v>
      </c>
      <c r="O3" s="2" t="s">
        <v>3910</v>
      </c>
      <c r="P3" s="12">
        <v>46080</v>
      </c>
    </row>
    <row r="4" spans="1:22" ht="90">
      <c r="A4" s="1">
        <v>3</v>
      </c>
      <c r="B4" s="1" t="s">
        <v>6111</v>
      </c>
      <c r="C4" s="1"/>
      <c r="D4" s="1"/>
      <c r="E4" s="1" t="s">
        <v>30</v>
      </c>
      <c r="F4" s="1" t="s">
        <v>22</v>
      </c>
      <c r="G4" s="1" t="s">
        <v>6125</v>
      </c>
      <c r="H4" s="14" t="s">
        <v>6108</v>
      </c>
      <c r="I4" s="1" t="s">
        <v>933</v>
      </c>
      <c r="J4" s="1" t="s">
        <v>6140</v>
      </c>
      <c r="K4" s="5" t="s">
        <v>4775</v>
      </c>
      <c r="L4" s="5" t="s">
        <v>4774</v>
      </c>
      <c r="M4" s="14" t="s">
        <v>4776</v>
      </c>
      <c r="N4" s="3" t="s">
        <v>24</v>
      </c>
      <c r="O4" s="2" t="s">
        <v>3910</v>
      </c>
      <c r="P4" s="12">
        <v>46080</v>
      </c>
    </row>
    <row r="5" spans="1:22" ht="285">
      <c r="A5" s="1">
        <v>4</v>
      </c>
      <c r="B5" s="1" t="s">
        <v>6112</v>
      </c>
      <c r="C5" s="23" t="s">
        <v>4833</v>
      </c>
      <c r="D5" s="36">
        <v>46080</v>
      </c>
      <c r="E5" s="1" t="s">
        <v>30</v>
      </c>
      <c r="F5" s="1" t="s">
        <v>22</v>
      </c>
      <c r="G5" s="1" t="s">
        <v>6125</v>
      </c>
      <c r="H5" s="14" t="s">
        <v>4777</v>
      </c>
      <c r="I5" s="1" t="s">
        <v>933</v>
      </c>
      <c r="J5" s="1" t="s">
        <v>6141</v>
      </c>
      <c r="K5" s="5" t="s">
        <v>6146</v>
      </c>
      <c r="L5" s="5" t="s">
        <v>6128</v>
      </c>
      <c r="M5" s="5" t="s">
        <v>6158</v>
      </c>
      <c r="N5" s="113" t="s">
        <v>47</v>
      </c>
      <c r="O5" s="2" t="s">
        <v>3910</v>
      </c>
      <c r="P5" s="12">
        <v>46080</v>
      </c>
      <c r="Q5" s="40" t="s">
        <v>3159</v>
      </c>
    </row>
    <row r="6" spans="1:22" ht="150">
      <c r="A6" s="1">
        <v>5</v>
      </c>
      <c r="B6" s="1" t="s">
        <v>6113</v>
      </c>
      <c r="C6" s="23" t="s">
        <v>4834</v>
      </c>
      <c r="D6" s="36">
        <v>46080</v>
      </c>
      <c r="E6" s="1" t="s">
        <v>30</v>
      </c>
      <c r="F6" s="1" t="s">
        <v>22</v>
      </c>
      <c r="G6" s="1" t="s">
        <v>6125</v>
      </c>
      <c r="H6" s="5" t="s">
        <v>4778</v>
      </c>
      <c r="I6" s="1" t="s">
        <v>933</v>
      </c>
      <c r="J6" s="1" t="s">
        <v>6142</v>
      </c>
      <c r="K6" s="89" t="s">
        <v>255</v>
      </c>
      <c r="L6" s="5" t="s">
        <v>6123</v>
      </c>
      <c r="M6" s="5" t="s">
        <v>6124</v>
      </c>
      <c r="N6" s="113" t="s">
        <v>47</v>
      </c>
      <c r="O6" s="2" t="s">
        <v>3910</v>
      </c>
      <c r="P6" s="12">
        <v>46080</v>
      </c>
      <c r="Q6" s="40" t="s">
        <v>3159</v>
      </c>
    </row>
    <row r="7" spans="1:22" ht="90">
      <c r="A7" s="1">
        <v>6</v>
      </c>
      <c r="B7" s="1" t="s">
        <v>6114</v>
      </c>
      <c r="C7" s="1"/>
      <c r="D7" s="1"/>
      <c r="E7" s="1" t="s">
        <v>30</v>
      </c>
      <c r="F7" s="1" t="s">
        <v>22</v>
      </c>
      <c r="G7" s="1" t="s">
        <v>6125</v>
      </c>
      <c r="H7" s="14" t="s">
        <v>6126</v>
      </c>
      <c r="I7" s="1" t="s">
        <v>933</v>
      </c>
      <c r="J7" s="1" t="s">
        <v>6143</v>
      </c>
      <c r="K7" s="5" t="s">
        <v>4779</v>
      </c>
      <c r="L7" s="5" t="s">
        <v>4781</v>
      </c>
      <c r="M7" s="14" t="s">
        <v>4780</v>
      </c>
      <c r="N7" s="3" t="s">
        <v>24</v>
      </c>
      <c r="O7" s="2" t="s">
        <v>3910</v>
      </c>
      <c r="P7" s="12">
        <v>46080</v>
      </c>
    </row>
    <row r="8" spans="1:22" ht="285">
      <c r="A8" s="1">
        <v>7</v>
      </c>
      <c r="B8" s="1" t="s">
        <v>6115</v>
      </c>
      <c r="C8" s="23" t="s">
        <v>4835</v>
      </c>
      <c r="D8" s="36">
        <v>46080</v>
      </c>
      <c r="E8" s="1" t="s">
        <v>30</v>
      </c>
      <c r="F8" s="1" t="s">
        <v>22</v>
      </c>
      <c r="G8" s="1" t="s">
        <v>6125</v>
      </c>
      <c r="H8" s="14" t="s">
        <v>4782</v>
      </c>
      <c r="I8" s="1" t="s">
        <v>933</v>
      </c>
      <c r="J8" s="1" t="s">
        <v>6127</v>
      </c>
      <c r="K8" s="5" t="s">
        <v>6147</v>
      </c>
      <c r="L8" s="5" t="s">
        <v>6129</v>
      </c>
      <c r="M8" s="5" t="s">
        <v>6159</v>
      </c>
      <c r="N8" s="113" t="s">
        <v>47</v>
      </c>
      <c r="O8" s="2" t="s">
        <v>3910</v>
      </c>
      <c r="P8" s="12">
        <v>46080</v>
      </c>
      <c r="Q8" s="89" t="s">
        <v>3159</v>
      </c>
    </row>
    <row r="9" spans="1:22" ht="150">
      <c r="A9" s="1">
        <v>8</v>
      </c>
      <c r="B9" s="1" t="s">
        <v>6116</v>
      </c>
      <c r="C9" s="23" t="s">
        <v>4836</v>
      </c>
      <c r="D9" s="36">
        <v>46080</v>
      </c>
      <c r="E9" s="1" t="s">
        <v>30</v>
      </c>
      <c r="F9" s="1" t="s">
        <v>22</v>
      </c>
      <c r="G9" s="1" t="s">
        <v>6125</v>
      </c>
      <c r="H9" s="5" t="s">
        <v>4783</v>
      </c>
      <c r="I9" s="1" t="s">
        <v>933</v>
      </c>
      <c r="J9" s="1" t="s">
        <v>6144</v>
      </c>
      <c r="K9" s="89" t="s">
        <v>255</v>
      </c>
      <c r="L9" s="5" t="s">
        <v>6123</v>
      </c>
      <c r="M9" s="5" t="s">
        <v>6130</v>
      </c>
      <c r="N9" s="113" t="s">
        <v>47</v>
      </c>
      <c r="O9" s="2" t="s">
        <v>3910</v>
      </c>
      <c r="P9" s="12">
        <v>46080</v>
      </c>
      <c r="Q9" s="89" t="s">
        <v>3159</v>
      </c>
    </row>
    <row r="10" spans="1:22" ht="90">
      <c r="A10" s="1">
        <v>9</v>
      </c>
      <c r="B10" s="1" t="s">
        <v>6117</v>
      </c>
      <c r="C10" s="1"/>
      <c r="D10" s="1"/>
      <c r="E10" s="1" t="s">
        <v>30</v>
      </c>
      <c r="F10" s="1" t="s">
        <v>22</v>
      </c>
      <c r="G10" s="1" t="s">
        <v>6125</v>
      </c>
      <c r="H10" s="14" t="s">
        <v>4784</v>
      </c>
      <c r="I10" s="1" t="s">
        <v>933</v>
      </c>
      <c r="J10" s="1" t="s">
        <v>6131</v>
      </c>
      <c r="K10" s="5" t="s">
        <v>4785</v>
      </c>
      <c r="L10" s="5" t="s">
        <v>4786</v>
      </c>
      <c r="M10" s="14" t="s">
        <v>4787</v>
      </c>
      <c r="N10" s="3" t="s">
        <v>24</v>
      </c>
      <c r="O10" s="2" t="s">
        <v>3910</v>
      </c>
      <c r="P10" s="12">
        <v>46080</v>
      </c>
    </row>
    <row r="11" spans="1:22" ht="285">
      <c r="A11" s="1">
        <v>10</v>
      </c>
      <c r="B11" s="1" t="s">
        <v>6118</v>
      </c>
      <c r="C11" s="23" t="s">
        <v>4837</v>
      </c>
      <c r="D11" s="36">
        <v>46080</v>
      </c>
      <c r="E11" s="1" t="s">
        <v>30</v>
      </c>
      <c r="F11" s="1" t="s">
        <v>22</v>
      </c>
      <c r="G11" s="1" t="s">
        <v>6125</v>
      </c>
      <c r="H11" s="14" t="s">
        <v>4788</v>
      </c>
      <c r="I11" s="1" t="s">
        <v>933</v>
      </c>
      <c r="J11" s="1" t="s">
        <v>6132</v>
      </c>
      <c r="K11" s="5" t="s">
        <v>6148</v>
      </c>
      <c r="L11" s="5" t="s">
        <v>6133</v>
      </c>
      <c r="M11" s="5" t="s">
        <v>6159</v>
      </c>
      <c r="N11" s="113" t="s">
        <v>47</v>
      </c>
      <c r="O11" s="2" t="s">
        <v>3910</v>
      </c>
      <c r="P11" s="12">
        <v>46080</v>
      </c>
      <c r="Q11" s="89" t="s">
        <v>3159</v>
      </c>
    </row>
    <row r="12" spans="1:22" ht="150">
      <c r="A12" s="1">
        <v>11</v>
      </c>
      <c r="B12" s="1" t="s">
        <v>6119</v>
      </c>
      <c r="C12" s="23" t="s">
        <v>4838</v>
      </c>
      <c r="D12" s="36">
        <v>46080</v>
      </c>
      <c r="E12" s="1" t="s">
        <v>30</v>
      </c>
      <c r="F12" s="1" t="s">
        <v>22</v>
      </c>
      <c r="G12" s="1" t="s">
        <v>6125</v>
      </c>
      <c r="H12" s="5" t="s">
        <v>4789</v>
      </c>
      <c r="I12" s="1" t="s">
        <v>933</v>
      </c>
      <c r="J12" s="1" t="s">
        <v>6134</v>
      </c>
      <c r="K12" s="89" t="s">
        <v>255</v>
      </c>
      <c r="L12" s="5" t="s">
        <v>6123</v>
      </c>
      <c r="M12" s="5" t="s">
        <v>6130</v>
      </c>
      <c r="N12" s="113" t="s">
        <v>47</v>
      </c>
      <c r="O12" s="2" t="s">
        <v>3910</v>
      </c>
      <c r="P12" s="12">
        <v>46080</v>
      </c>
      <c r="Q12" s="89" t="s">
        <v>3159</v>
      </c>
    </row>
    <row r="13" spans="1:22" ht="90">
      <c r="A13" s="1">
        <v>12</v>
      </c>
      <c r="B13" s="1" t="s">
        <v>6120</v>
      </c>
      <c r="C13" s="1"/>
      <c r="D13" s="1"/>
      <c r="E13" s="1" t="s">
        <v>30</v>
      </c>
      <c r="F13" s="1" t="s">
        <v>22</v>
      </c>
      <c r="G13" s="1" t="s">
        <v>6125</v>
      </c>
      <c r="H13" s="14" t="s">
        <v>4790</v>
      </c>
      <c r="I13" s="1" t="s">
        <v>933</v>
      </c>
      <c r="J13" s="1" t="s">
        <v>6135</v>
      </c>
      <c r="K13" s="5" t="s">
        <v>4791</v>
      </c>
      <c r="L13" s="5" t="s">
        <v>4792</v>
      </c>
      <c r="M13" s="14" t="s">
        <v>4793</v>
      </c>
      <c r="N13" s="3" t="s">
        <v>24</v>
      </c>
      <c r="O13" s="2" t="s">
        <v>3910</v>
      </c>
      <c r="P13" s="12">
        <v>46080</v>
      </c>
    </row>
    <row r="14" spans="1:22" ht="285">
      <c r="A14" s="1">
        <v>13</v>
      </c>
      <c r="B14" s="1" t="s">
        <v>6121</v>
      </c>
      <c r="C14" s="23" t="s">
        <v>4839</v>
      </c>
      <c r="D14" s="36">
        <v>46080</v>
      </c>
      <c r="E14" s="1" t="s">
        <v>30</v>
      </c>
      <c r="F14" s="1" t="s">
        <v>22</v>
      </c>
      <c r="G14" s="1" t="s">
        <v>6125</v>
      </c>
      <c r="H14" s="14" t="s">
        <v>4794</v>
      </c>
      <c r="I14" s="1" t="s">
        <v>933</v>
      </c>
      <c r="J14" s="1" t="s">
        <v>6136</v>
      </c>
      <c r="K14" s="5" t="s">
        <v>6148</v>
      </c>
      <c r="L14" s="5" t="s">
        <v>6137</v>
      </c>
      <c r="M14" s="5" t="s">
        <v>6159</v>
      </c>
      <c r="N14" s="113" t="s">
        <v>47</v>
      </c>
      <c r="O14" s="2" t="s">
        <v>3910</v>
      </c>
      <c r="P14" s="12">
        <v>46080</v>
      </c>
      <c r="Q14" s="89" t="s">
        <v>3159</v>
      </c>
    </row>
    <row r="15" spans="1:22" ht="150">
      <c r="A15" s="1">
        <v>14</v>
      </c>
      <c r="B15" s="1" t="s">
        <v>6122</v>
      </c>
      <c r="C15" s="23" t="s">
        <v>4840</v>
      </c>
      <c r="D15" s="36">
        <v>46080</v>
      </c>
      <c r="E15" s="1" t="s">
        <v>30</v>
      </c>
      <c r="F15" s="1" t="s">
        <v>22</v>
      </c>
      <c r="G15" s="1" t="s">
        <v>6125</v>
      </c>
      <c r="H15" s="5" t="s">
        <v>4795</v>
      </c>
      <c r="I15" s="1" t="s">
        <v>933</v>
      </c>
      <c r="J15" s="1" t="s">
        <v>6138</v>
      </c>
      <c r="K15" s="89" t="s">
        <v>255</v>
      </c>
      <c r="L15" s="5" t="s">
        <v>6123</v>
      </c>
      <c r="M15" s="5" t="s">
        <v>6130</v>
      </c>
      <c r="N15" s="113" t="s">
        <v>47</v>
      </c>
      <c r="O15" s="2" t="s">
        <v>3910</v>
      </c>
      <c r="P15" s="12">
        <v>46080</v>
      </c>
      <c r="Q15" s="89" t="s">
        <v>3159</v>
      </c>
    </row>
  </sheetData>
  <autoFilter ref="A1:V15"/>
  <hyperlinks>
    <hyperlink ref="C5" r:id="rId1" display="https://hanssupport.atlassian.net/browse/BA-467"/>
    <hyperlink ref="C6" r:id="rId2" display="https://hanssupport.atlassian.net/browse/BA-468"/>
    <hyperlink ref="C8" r:id="rId3" display="https://hanssupport.atlassian.net/browse/BA-469"/>
    <hyperlink ref="C9" r:id="rId4" display="https://hanssupport.atlassian.net/browse/BA-470"/>
    <hyperlink ref="C11" r:id="rId5" display="https://hanssupport.atlassian.net/browse/BA-471"/>
    <hyperlink ref="C12" r:id="rId6" display="https://hanssupport.atlassian.net/browse/BA-472"/>
    <hyperlink ref="C14" r:id="rId7" display="https://hanssupport.atlassian.net/browse/BA-473"/>
    <hyperlink ref="C15" r:id="rId8" display="https://hanssupport.atlassian.net/browse/BA-474"/>
  </hyperlinks>
  <pageMargins left="0.7" right="0.7" top="0.75" bottom="0.75" header="0.3" footer="0.3"/>
  <pageSetup paperSize="9" orientation="portrait" verticalDpi="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Tracker Log</vt:lpstr>
      <vt:lpstr>Bank_BRO</vt:lpstr>
      <vt:lpstr>CFS Master</vt:lpstr>
      <vt:lpstr>Currency</vt:lpstr>
      <vt:lpstr>RITC</vt:lpstr>
      <vt:lpstr>Port</vt:lpstr>
      <vt:lpstr>Loading &amp; CHA Port</vt:lpstr>
      <vt:lpstr>CHA Port Master</vt:lpstr>
      <vt:lpstr>Transporter Master</vt:lpstr>
      <vt:lpstr>Drawback Schedule</vt:lpstr>
      <vt:lpstr>EDI-Country</vt:lpstr>
      <vt:lpstr>Licence Master New</vt:lpstr>
      <vt:lpstr>eSanchit Code</vt:lpstr>
      <vt:lpstr>CESS Schedule Master</vt:lpstr>
      <vt:lpstr>Rodtep Master</vt:lpstr>
      <vt:lpstr>Vehicle Owner Master</vt:lpstr>
      <vt:lpstr>Item Template Master</vt:lpstr>
      <vt:lpstr>ROSL DBK</vt:lpstr>
      <vt:lpstr>Licence Master</vt:lpstr>
      <vt:lpstr>Zone Master</vt:lpstr>
      <vt:lpstr>Country Master</vt:lpstr>
      <vt:lpstr>Region Master</vt:lpstr>
      <vt:lpstr>FF Port Master</vt:lpstr>
      <vt:lpstr>Action Master</vt:lpstr>
      <vt:lpstr>Period Master</vt:lpstr>
      <vt:lpstr>Cost Center Master</vt:lpstr>
      <vt:lpstr>IMO Master</vt:lpstr>
      <vt:lpstr>Unit Master</vt:lpstr>
      <vt:lpstr>CHA Service</vt:lpstr>
      <vt:lpstr>Pricing</vt:lpstr>
      <vt:lpstr>Sea Charge Master</vt:lpstr>
      <vt:lpstr>Segment Master</vt:lpstr>
      <vt:lpstr>Trigger Master</vt:lpstr>
      <vt:lpstr>Principle Line HBL Master</vt:lpstr>
      <vt:lpstr>Project Type Master</vt:lpstr>
      <vt:lpstr>Notes Master</vt:lpstr>
      <vt:lpstr>Vessel</vt:lpstr>
      <vt:lpstr>Schedule</vt:lpstr>
      <vt:lpstr>Shipment Status</vt:lpstr>
      <vt:lpstr>Destuffing</vt:lpstr>
      <vt:lpstr>Document</vt:lpstr>
      <vt:lpstr>Container</vt:lpstr>
      <vt:lpstr>Stuffing Master</vt:lpstr>
      <vt:lpstr>Daily Currency Rate</vt:lpstr>
      <vt:lpstr>Container Yard Master</vt:lpstr>
      <vt:lpstr>Create Branch</vt:lpstr>
      <vt:lpstr>Shipment Plan Master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noida</dc:creator>
  <cp:lastModifiedBy>Hans noida</cp:lastModifiedBy>
  <dcterms:created xsi:type="dcterms:W3CDTF">2025-11-07T09:15:40Z</dcterms:created>
  <dcterms:modified xsi:type="dcterms:W3CDTF">2026-03-11T11:50:39Z</dcterms:modified>
</cp:coreProperties>
</file>
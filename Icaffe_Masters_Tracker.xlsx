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ICaffeMaster_Tracker" sheetId="1" r:id="rId1"/>
  </sheets>
  <calcPr calcId="145621"/>
</workbook>
</file>

<file path=xl/calcChain.xml><?xml version="1.0" encoding="utf-8"?>
<calcChain xmlns="http://schemas.openxmlformats.org/spreadsheetml/2006/main">
  <c r="M2" i="1" l="1"/>
  <c r="M8" i="1"/>
  <c r="M7" i="1"/>
  <c r="M6" i="1"/>
  <c r="M5" i="1"/>
  <c r="M4" i="1"/>
  <c r="M3" i="1"/>
  <c r="M9" i="1"/>
</calcChain>
</file>

<file path=xl/sharedStrings.xml><?xml version="1.0" encoding="utf-8"?>
<sst xmlns="http://schemas.openxmlformats.org/spreadsheetml/2006/main" count="57" uniqueCount="45">
  <si>
    <t>MODULES</t>
  </si>
  <si>
    <t>SUB-MODULES</t>
  </si>
  <si>
    <t>TOTAL TC</t>
  </si>
  <si>
    <t>PASS TC</t>
  </si>
  <si>
    <t>FAIL TC</t>
  </si>
  <si>
    <t>LOGED IN TRELLO</t>
  </si>
  <si>
    <t>BUG_FIXED</t>
  </si>
  <si>
    <t>REMARKS</t>
  </si>
  <si>
    <t>DATE</t>
  </si>
  <si>
    <t>REFERENCE SHEET NAME</t>
  </si>
  <si>
    <t>Party&gt;Exporter&gt; Other Details&gt; Contact Details&gt;</t>
  </si>
  <si>
    <t xml:space="preserve">68+                                                                                                                                                                                                                                            09+                                                                                                                                                                                                                                                    32 =109 </t>
  </si>
  <si>
    <t>Test Data updated</t>
  </si>
  <si>
    <t>13-08-2025 08-09-2025  09-09-2025</t>
  </si>
  <si>
    <t>Party&gt;Consignee&gt;</t>
  </si>
  <si>
    <t>19-08-2025 09-09-2025</t>
  </si>
  <si>
    <t>Party&gt;Sub Agent&gt;     Contact Details&gt;</t>
  </si>
  <si>
    <t>56+          38=93</t>
  </si>
  <si>
    <t>30-08-2025  01-09-2025   09-09-2025</t>
  </si>
  <si>
    <t>Party&gt;Overseas Agent&gt;                     Contact Details&gt;</t>
  </si>
  <si>
    <t xml:space="preserve">51+                                        36=87                      </t>
  </si>
  <si>
    <t xml:space="preserve">03-09-2025        06-09-2025  09-09-2025 </t>
  </si>
  <si>
    <t>Party&gt;ShipLine&gt;         Contact Details</t>
  </si>
  <si>
    <t>64+              36=100</t>
  </si>
  <si>
    <t>06-09-2025  10-09-2025</t>
  </si>
  <si>
    <t>IATA Agent&gt;               Contact Details</t>
  </si>
  <si>
    <t>37 +          34 = 71</t>
  </si>
  <si>
    <t>15-09-2025                  01-10-2025</t>
  </si>
  <si>
    <t>Vendor Master</t>
  </si>
  <si>
    <t>23-09-2025  01-10-2025</t>
  </si>
  <si>
    <t>13.Masters.party.vendormaster</t>
  </si>
  <si>
    <t>Akash varun</t>
  </si>
  <si>
    <t>Bank BRO</t>
  </si>
  <si>
    <t>1.Master.Party.Exporter
2.Master.Party.Exporter.Otherdetails 3.Master.Party.Exporter.ContactDetails</t>
  </si>
  <si>
    <t>4.Master.Party.Consignee</t>
  </si>
  <si>
    <t>5.Masters.Party.SubAgent   6.Masters.Party.SubAgent</t>
  </si>
  <si>
    <t>7.Masters.Party.OverseasAgent 8.Masters.Party.OverSeasAge.Contact</t>
  </si>
  <si>
    <t>09.Masters.Party.ShipLine                        10.Masters.party.ShipLine.Contact</t>
  </si>
  <si>
    <t>11.Masters.party.IATAAgent                 12.Masters.party.IATAAgent.ContactDetails</t>
  </si>
  <si>
    <t>FILE NAME</t>
  </si>
  <si>
    <t>1. Masters&gt;</t>
  </si>
  <si>
    <t>TESTER Name</t>
  </si>
  <si>
    <t>Shivam singh</t>
  </si>
  <si>
    <t>14.Bank_BRO</t>
  </si>
  <si>
    <t>20                         Hold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</si>
</sst>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1" applyAlignment="1">
      <alignment horizontal="left"/>
    </xf>
    <xf numFmtId="0" fontId="1" fillId="3" borderId="2" xfId="1" applyFill="1" applyBorder="1"/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2" borderId="1" xfId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5" fillId="0" borderId="9" xfId="2" applyBorder="1" applyAlignment="1">
      <alignment horizontal="left" vertical="top" wrapText="1"/>
    </xf>
    <xf numFmtId="0" fontId="5" fillId="0" borderId="7" xfId="2" applyBorder="1" applyAlignment="1">
      <alignment horizontal="left" vertical="top" wrapText="1"/>
    </xf>
    <xf numFmtId="0" fontId="5" fillId="0" borderId="8" xfId="2" applyBorder="1" applyAlignment="1">
      <alignment horizontal="left" vertical="top" wrapText="1"/>
    </xf>
    <xf numFmtId="0" fontId="5" fillId="0" borderId="10" xfId="2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pane ySplit="1" topLeftCell="A2" activePane="bottomLeft" state="frozen"/>
      <selection activeCell="B1" sqref="B1"/>
      <selection pane="bottomLeft" activeCell="E9" sqref="E9"/>
    </sheetView>
  </sheetViews>
  <sheetFormatPr defaultRowHeight="15" x14ac:dyDescent="0.25"/>
  <cols>
    <col min="2" max="2" width="10" customWidth="1"/>
    <col min="3" max="3" width="17" customWidth="1"/>
    <col min="7" max="7" width="16.42578125" customWidth="1"/>
    <col min="8" max="10" width="14.28515625" customWidth="1"/>
    <col min="11" max="11" width="10.140625" bestFit="1" customWidth="1"/>
    <col min="12" max="12" width="37" customWidth="1"/>
    <col min="13" max="13" width="22.5703125" customWidth="1"/>
  </cols>
  <sheetData>
    <row r="1" spans="1:1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1" t="s">
        <v>41</v>
      </c>
      <c r="J1" s="2" t="s">
        <v>7</v>
      </c>
      <c r="K1" s="2" t="s">
        <v>8</v>
      </c>
      <c r="L1" s="2" t="s">
        <v>9</v>
      </c>
      <c r="M1" s="2" t="s">
        <v>39</v>
      </c>
      <c r="N1" s="3"/>
    </row>
    <row r="2" spans="1:14" ht="44.25" customHeight="1" x14ac:dyDescent="0.25">
      <c r="A2" s="4"/>
      <c r="B2" s="12" t="s">
        <v>40</v>
      </c>
      <c r="C2" s="5" t="s">
        <v>10</v>
      </c>
      <c r="D2" s="6" t="s">
        <v>11</v>
      </c>
      <c r="E2" s="7">
        <v>86</v>
      </c>
      <c r="F2" s="7">
        <v>23</v>
      </c>
      <c r="G2" s="7">
        <v>23</v>
      </c>
      <c r="H2" s="5" t="s">
        <v>44</v>
      </c>
      <c r="I2" s="6" t="s">
        <v>31</v>
      </c>
      <c r="J2" s="8" t="s">
        <v>12</v>
      </c>
      <c r="K2" s="9" t="s">
        <v>13</v>
      </c>
      <c r="L2" s="9" t="s">
        <v>33</v>
      </c>
      <c r="M2" s="16" t="str">
        <f>HYPERLINK("[Icaffe_Export Sea_Masters Test Cases.xlsx]Master.Party.Exporter!A1","Go to Master.Party.Exporter")</f>
        <v>Go to Master.Party.Exporter</v>
      </c>
    </row>
    <row r="3" spans="1:14" ht="36" customHeight="1" x14ac:dyDescent="0.25">
      <c r="A3" s="4"/>
      <c r="B3" s="13"/>
      <c r="C3" s="5" t="s">
        <v>14</v>
      </c>
      <c r="D3" s="5">
        <v>44</v>
      </c>
      <c r="E3" s="5">
        <v>35</v>
      </c>
      <c r="F3" s="5">
        <v>9</v>
      </c>
      <c r="G3" s="5">
        <v>9</v>
      </c>
      <c r="H3" s="5">
        <v>8</v>
      </c>
      <c r="I3" s="6" t="s">
        <v>31</v>
      </c>
      <c r="J3" s="8" t="s">
        <v>12</v>
      </c>
      <c r="K3" s="9" t="s">
        <v>15</v>
      </c>
      <c r="L3" s="5" t="s">
        <v>34</v>
      </c>
      <c r="M3" s="16" t="str">
        <f>HYPERLINK("[Icaffe_Export Sea_Masters Test Cases.xlsx]Master.Party.Consignee!A1","Go to Master.Party.Consignee")</f>
        <v>Go to Master.Party.Consignee</v>
      </c>
    </row>
    <row r="4" spans="1:14" ht="47.25" customHeight="1" x14ac:dyDescent="0.25">
      <c r="A4" s="4"/>
      <c r="B4" s="13"/>
      <c r="C4" s="5" t="s">
        <v>16</v>
      </c>
      <c r="D4" s="5" t="s">
        <v>17</v>
      </c>
      <c r="E4" s="5">
        <v>79</v>
      </c>
      <c r="F4" s="5">
        <v>16</v>
      </c>
      <c r="G4" s="5">
        <v>16</v>
      </c>
      <c r="H4" s="5">
        <v>16</v>
      </c>
      <c r="I4" s="6" t="s">
        <v>31</v>
      </c>
      <c r="J4" s="8" t="s">
        <v>12</v>
      </c>
      <c r="K4" s="9" t="s">
        <v>18</v>
      </c>
      <c r="L4" s="5" t="s">
        <v>35</v>
      </c>
      <c r="M4" s="17" t="str">
        <f>HYPERLINK("[Icaffe_Export Sea_Masters Test Cases.xlsx]Masters.Party.SubAgent!A1","Go to Masters.Party.SubAgent")</f>
        <v>Go to Masters.Party.SubAgent</v>
      </c>
    </row>
    <row r="5" spans="1:14" ht="49.5" customHeight="1" x14ac:dyDescent="0.25">
      <c r="A5" s="4"/>
      <c r="B5" s="13"/>
      <c r="C5" s="5" t="s">
        <v>19</v>
      </c>
      <c r="D5" s="5" t="s">
        <v>20</v>
      </c>
      <c r="E5" s="5">
        <v>62</v>
      </c>
      <c r="F5" s="5">
        <v>25</v>
      </c>
      <c r="G5" s="5">
        <v>25</v>
      </c>
      <c r="H5" s="5">
        <v>25</v>
      </c>
      <c r="I5" s="6" t="s">
        <v>31</v>
      </c>
      <c r="J5" s="8" t="s">
        <v>12</v>
      </c>
      <c r="K5" s="9" t="s">
        <v>21</v>
      </c>
      <c r="L5" s="5" t="s">
        <v>36</v>
      </c>
      <c r="M5" s="17" t="str">
        <f>HYPERLINK("[Icaffe_Export Sea_Masters Test Cases.xlsx]Masters.Party.OverSeasAgent!A1","Go to Masters.Party.OverSeasAgent")</f>
        <v>Go to Masters.Party.OverSeasAgent</v>
      </c>
    </row>
    <row r="6" spans="1:14" ht="39" customHeight="1" x14ac:dyDescent="0.25">
      <c r="A6" s="4"/>
      <c r="B6" s="13"/>
      <c r="C6" s="5" t="s">
        <v>22</v>
      </c>
      <c r="D6" s="5" t="s">
        <v>23</v>
      </c>
      <c r="E6" s="5">
        <v>76</v>
      </c>
      <c r="F6" s="5">
        <v>24</v>
      </c>
      <c r="G6" s="5">
        <v>24</v>
      </c>
      <c r="H6" s="5">
        <v>24</v>
      </c>
      <c r="I6" s="6" t="s">
        <v>31</v>
      </c>
      <c r="J6" s="8" t="s">
        <v>12</v>
      </c>
      <c r="K6" s="9" t="s">
        <v>24</v>
      </c>
      <c r="L6" s="5" t="s">
        <v>37</v>
      </c>
      <c r="M6" s="17" t="str">
        <f>HYPERLINK("[Icaffe_Export Sea_Masters Test Cases.xlsx]Masters.Party.ShipLine!A1","Go to Masters.Party.ShipLine")</f>
        <v>Go to Masters.Party.ShipLine</v>
      </c>
    </row>
    <row r="7" spans="1:14" ht="45" customHeight="1" x14ac:dyDescent="0.25">
      <c r="A7" s="4"/>
      <c r="B7" s="13"/>
      <c r="C7" s="5" t="s">
        <v>25</v>
      </c>
      <c r="D7" s="5" t="s">
        <v>26</v>
      </c>
      <c r="E7" s="5">
        <v>60</v>
      </c>
      <c r="F7" s="5">
        <v>11</v>
      </c>
      <c r="G7" s="5">
        <v>11</v>
      </c>
      <c r="H7" s="5">
        <v>11</v>
      </c>
      <c r="I7" s="6" t="s">
        <v>31</v>
      </c>
      <c r="J7" s="8" t="s">
        <v>12</v>
      </c>
      <c r="K7" s="9" t="s">
        <v>27</v>
      </c>
      <c r="L7" s="5" t="s">
        <v>38</v>
      </c>
      <c r="M7" s="17" t="str">
        <f>HYPERLINK("[Icaffe_Export Sea_Masters Test Cases.xlsx]Masters.party.IATAAgent!A1","Go to Masters.party.IATAAgent")</f>
        <v>Go to Masters.party.IATAAgent</v>
      </c>
    </row>
    <row r="8" spans="1:14" ht="31.5" customHeight="1" x14ac:dyDescent="0.25">
      <c r="A8" s="4"/>
      <c r="B8" s="13"/>
      <c r="C8" s="5" t="s">
        <v>28</v>
      </c>
      <c r="D8" s="5">
        <v>69</v>
      </c>
      <c r="E8" s="5">
        <v>60</v>
      </c>
      <c r="F8" s="5">
        <v>9</v>
      </c>
      <c r="G8" s="5">
        <v>9</v>
      </c>
      <c r="H8" s="5">
        <v>7</v>
      </c>
      <c r="I8" s="6" t="s">
        <v>31</v>
      </c>
      <c r="J8" s="8" t="s">
        <v>12</v>
      </c>
      <c r="K8" s="9" t="s">
        <v>29</v>
      </c>
      <c r="L8" s="5" t="s">
        <v>30</v>
      </c>
      <c r="M8" s="18" t="str">
        <f>HYPERLINK("[Icaffe_Export Sea_Masters Test Cases.xlsx]Masters.party.VendorMaster!A1","Go to Masters.party.VendorMaster")</f>
        <v>Go to Masters.party.VendorMaster</v>
      </c>
    </row>
    <row r="9" spans="1:14" x14ac:dyDescent="0.25">
      <c r="A9" s="4"/>
      <c r="B9" s="14"/>
      <c r="C9" s="5" t="s">
        <v>32</v>
      </c>
      <c r="D9" s="5">
        <v>55</v>
      </c>
      <c r="E9" s="5"/>
      <c r="F9" s="5"/>
      <c r="G9" s="5"/>
      <c r="H9" s="5"/>
      <c r="I9" s="6" t="s">
        <v>42</v>
      </c>
      <c r="J9" s="5"/>
      <c r="K9" s="5"/>
      <c r="L9" s="5" t="s">
        <v>43</v>
      </c>
      <c r="M9" s="15" t="str">
        <f>HYPERLINK("[Bank_BRO Test Cases By Shivam Singh.xlsx]Bank_BRO!A1","Go to Bank_BRO")</f>
        <v>Go to Bank_BRO</v>
      </c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</sheetData>
  <mergeCells count="1">
    <mergeCell ref="B2:B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ICaffeMaster_Tracker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2025-11-12T11:23:05Z</dcterms:created>
  <dcterms:modified xsi:type="dcterms:W3CDTF">2025-11-13T11:54:12Z</dcterms:modified>
</cp:coreProperties>
</file>